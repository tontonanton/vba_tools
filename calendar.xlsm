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excell tools\calendar\"/>
    </mc:Choice>
  </mc:AlternateContent>
  <bookViews>
    <workbookView xWindow="0" yWindow="0" windowWidth="28800" windowHeight="10470"/>
  </bookViews>
  <sheets>
    <sheet name="Accueil" sheetId="6" r:id="rId1"/>
    <sheet name="journalier" sheetId="5" r:id="rId2"/>
    <sheet name="hebdomadaire" sheetId="2" r:id="rId3"/>
    <sheet name="activités" sheetId="7" r:id="rId4"/>
    <sheet name="params" sheetId="3" r:id="rId5"/>
    <sheet name="Form_Theme" sheetId="4" r:id="rId6"/>
    <sheet name="DATA_VIEW" sheetId="8" r:id="rId7"/>
  </sheets>
  <functionGroups builtInGroupCount="18"/>
  <definedNames>
    <definedName name="ACTIVITES_LIST">activités!$B$6</definedName>
    <definedName name="ACTIVITIES_LIST">params!$B$9</definedName>
    <definedName name="CALENDAR_DATE">hebdomadaire!$H$4</definedName>
    <definedName name="CALENDAR_DAY_1">hebdomadaire!$D$6</definedName>
    <definedName name="DAILY_HOURS">journalier!$B$4</definedName>
    <definedName name="DATA_VIEW_QUERY">DATA_VIEW!$B$3</definedName>
    <definedName name="DATA_VIEW_SOURCE">DATA_VIEW!$B$3</definedName>
    <definedName name="DISPLAYED_DAY">journalier!$C$3</definedName>
    <definedName name="WEEKLY_HOURS">hebdomadaire!$C$6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H6" i="2" s="1"/>
  <c r="J6" i="2" s="1"/>
  <c r="L6" i="2" s="1"/>
  <c r="F6" i="2" l="1"/>
</calcChain>
</file>

<file path=xl/sharedStrings.xml><?xml version="1.0" encoding="utf-8"?>
<sst xmlns="http://schemas.openxmlformats.org/spreadsheetml/2006/main" count="121" uniqueCount="75">
  <si>
    <t>semaine du</t>
  </si>
  <si>
    <t>Liste des activités possibles</t>
  </si>
  <si>
    <t>la mise en forme appliquée au cellules sera reproduite dans la légende et affichage du calendrier</t>
  </si>
  <si>
    <t>Activité</t>
  </si>
  <si>
    <t>Ne pas laisser de ligne vide entre les activités</t>
  </si>
  <si>
    <t>PARAMETRES</t>
  </si>
  <si>
    <t>FORM THEMES CONFIG</t>
  </si>
  <si>
    <t>Contrôle Type</t>
  </si>
  <si>
    <t>Form Name</t>
  </si>
  <si>
    <t>Control Name</t>
  </si>
  <si>
    <t>Control Content/Value</t>
  </si>
  <si>
    <t>Theme Name</t>
  </si>
  <si>
    <t>Applyed Style</t>
  </si>
  <si>
    <t>label</t>
  </si>
  <si>
    <t>default</t>
  </si>
  <si>
    <t>Label</t>
  </si>
  <si>
    <t>combobox, listbox</t>
  </si>
  <si>
    <t>textbox</t>
  </si>
  <si>
    <t>TextBox</t>
  </si>
  <si>
    <t>checkbox</t>
  </si>
  <si>
    <t>optionbutton</t>
  </si>
  <si>
    <t>commandbutton</t>
  </si>
  <si>
    <t>button</t>
  </si>
  <si>
    <t>page</t>
  </si>
  <si>
    <t>multipage</t>
  </si>
  <si>
    <t>frame</t>
  </si>
  <si>
    <t>scrollbar</t>
  </si>
  <si>
    <t>form</t>
  </si>
  <si>
    <t>title</t>
  </si>
  <si>
    <t>spinbutton</t>
  </si>
  <si>
    <t>deleteButton</t>
  </si>
  <si>
    <t>saveButton</t>
  </si>
  <si>
    <t>Réunion EIAP</t>
  </si>
  <si>
    <t>Réunion Encadrement</t>
  </si>
  <si>
    <t>listbox</t>
  </si>
  <si>
    <t>PLANNING JOURNALIER</t>
  </si>
  <si>
    <t>PLANNING</t>
  </si>
  <si>
    <t>Activités connues, mise en forme individuelle par activité</t>
  </si>
  <si>
    <t>MISE EN FORME DES ACTIVITES</t>
  </si>
  <si>
    <t>ACTIVITES CONNUES</t>
  </si>
  <si>
    <t>EIAP</t>
  </si>
  <si>
    <t>Nouvelle activité</t>
  </si>
  <si>
    <t>La couleur intérieure, la bordure ainsi que couleur taille et type de police seront appliquées sur les calendriers</t>
  </si>
  <si>
    <t>PLANNING HEBDOMADAIRE</t>
  </si>
  <si>
    <t>GESTION DE PROJETS A METTRE EN ŒUVRE</t>
  </si>
  <si>
    <t>TODO</t>
  </si>
  <si>
    <t>GROUPE D'UTILISATEURS : nom de groupe qui possede des auteurs d'events</t>
  </si>
  <si>
    <t>plusieur groupes attachés à un event</t>
  </si>
  <si>
    <t>plusieurs users attachés à un event</t>
  </si>
  <si>
    <t>choix des tooglers utilisés</t>
  </si>
  <si>
    <t>vue mensuelle</t>
  </si>
  <si>
    <t>module de stats</t>
  </si>
  <si>
    <t>reset le toogler depuis bouton</t>
  </si>
  <si>
    <t>id</t>
  </si>
  <si>
    <t>user</t>
  </si>
  <si>
    <t>debut</t>
  </si>
  <si>
    <t>fin</t>
  </si>
  <si>
    <t>activite</t>
  </si>
  <si>
    <t>description</t>
  </si>
  <si>
    <t>vmoffice</t>
  </si>
  <si>
    <t>ZIZIC-07473</t>
  </si>
  <si>
    <t>Nouvelle activité en update</t>
  </si>
  <si>
    <t>Consultant</t>
  </si>
  <si>
    <t>Description de ouf</t>
  </si>
  <si>
    <t>Une nouvelle activité</t>
  </si>
  <si>
    <t>for grouping tests</t>
  </si>
  <si>
    <t>Encore un overlap</t>
  </si>
  <si>
    <t>encore un test</t>
  </si>
  <si>
    <t>NOUVELLE ACTIVITÉ</t>
  </si>
  <si>
    <t>ma description</t>
  </si>
  <si>
    <t>Woiulala</t>
  </si>
  <si>
    <t>CONSULTATION DE DONNEES</t>
  </si>
  <si>
    <t>activity</t>
  </si>
  <si>
    <t>Consultant en grande précarité</t>
  </si>
  <si>
    <t>Pas de 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</si>
</sst>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4"/>
      <color theme="8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2"/>
      <color rgb="FFC00000"/>
      <name val="Calibri"/>
      <family val="2"/>
      <scheme val="minor"/>
    </font>
    <font>
      <sz val="18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9C9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dotted">
        <color theme="2" tint="-0.499984740745262"/>
      </left>
      <right style="dotted">
        <color theme="2" tint="-0.499984740745262"/>
      </right>
      <top style="dotted">
        <color theme="2" tint="-0.499984740745262"/>
      </top>
      <bottom style="dotted">
        <color theme="2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/>
      <bottom style="thin">
        <color theme="9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2" xfId="0" applyBorder="1"/>
    <xf numFmtId="0" fontId="0" fillId="2" borderId="2" xfId="0" applyFill="1" applyBorder="1"/>
    <xf numFmtId="20" fontId="4" fillId="0" borderId="0" xfId="0" applyNumberFormat="1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6" fillId="0" borderId="0" xfId="0" applyFont="1" applyBorder="1" applyAlignment="1"/>
    <xf numFmtId="0" fontId="6" fillId="0" borderId="0" xfId="0" applyFont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9" fillId="7" borderId="7" xfId="0" applyFont="1" applyFill="1" applyBorder="1" applyAlignment="1">
      <alignment horizontal="left" vertical="center"/>
    </xf>
    <xf numFmtId="0" fontId="9" fillId="7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left" vertical="center"/>
    </xf>
    <xf numFmtId="0" fontId="9" fillId="7" borderId="8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left" vertical="center"/>
    </xf>
    <xf numFmtId="0" fontId="9" fillId="8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 vertical="center"/>
    </xf>
    <xf numFmtId="0" fontId="10" fillId="9" borderId="0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11" fillId="9" borderId="0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14" fillId="10" borderId="0" xfId="0" applyFont="1" applyFill="1" applyBorder="1"/>
    <xf numFmtId="0" fontId="11" fillId="3" borderId="0" xfId="0" applyFont="1" applyFill="1" applyBorder="1" applyAlignment="1">
      <alignment horizontal="left" vertical="center"/>
    </xf>
    <xf numFmtId="0" fontId="0" fillId="0" borderId="13" xfId="0" applyBorder="1"/>
    <xf numFmtId="0" fontId="0" fillId="2" borderId="13" xfId="0" applyFill="1" applyBorder="1"/>
    <xf numFmtId="0" fontId="0" fillId="2" borderId="12" xfId="0" applyFill="1" applyBorder="1"/>
    <xf numFmtId="20" fontId="17" fillId="0" borderId="0" xfId="0" applyNumberFormat="1" applyFont="1" applyAlignment="1">
      <alignment horizontal="right" vertical="center"/>
    </xf>
    <xf numFmtId="0" fontId="0" fillId="3" borderId="14" xfId="0" applyFill="1" applyBorder="1"/>
    <xf numFmtId="0" fontId="0" fillId="3" borderId="15" xfId="0" applyFill="1" applyBorder="1"/>
    <xf numFmtId="164" fontId="7" fillId="3" borderId="15" xfId="0" applyNumberFormat="1" applyFont="1" applyFill="1" applyBorder="1" applyAlignment="1">
      <alignment horizontal="center" vertical="center"/>
    </xf>
    <xf numFmtId="164" fontId="3" fillId="3" borderId="15" xfId="0" applyNumberFormat="1" applyFont="1" applyFill="1" applyBorder="1" applyAlignment="1">
      <alignment vertical="center"/>
    </xf>
    <xf numFmtId="0" fontId="0" fillId="3" borderId="16" xfId="0" applyFill="1" applyBorder="1"/>
    <xf numFmtId="0" fontId="0" fillId="2" borderId="0" xfId="0" applyFill="1"/>
    <xf numFmtId="0" fontId="0" fillId="2" borderId="17" xfId="0" applyFill="1" applyBorder="1"/>
    <xf numFmtId="0" fontId="18" fillId="12" borderId="18" xfId="0" applyFont="1" applyFill="1" applyBorder="1" applyAlignment="1">
      <alignment horizontal="left" vertical="top"/>
    </xf>
    <xf numFmtId="0" fontId="4" fillId="13" borderId="1" xfId="0" applyFont="1" applyFill="1" applyBorder="1" applyAlignment="1">
      <alignment horizontal="left" vertical="top"/>
    </xf>
    <xf numFmtId="0" fontId="19" fillId="14" borderId="19" xfId="0" applyFont="1" applyFill="1" applyBorder="1" applyAlignment="1">
      <alignment horizontal="left" vertical="top"/>
    </xf>
    <xf numFmtId="164" fontId="20" fillId="12" borderId="20" xfId="0" applyNumberFormat="1" applyFont="1" applyFill="1" applyBorder="1" applyAlignment="1">
      <alignment horizontal="center" vertical="center"/>
    </xf>
    <xf numFmtId="0" fontId="0" fillId="2" borderId="21" xfId="0" applyFill="1" applyBorder="1"/>
    <xf numFmtId="14" fontId="0" fillId="0" borderId="0" xfId="0" applyNumberFormat="1"/>
    <xf numFmtId="0" fontId="5" fillId="2" borderId="4" xfId="0" applyFont="1" applyFill="1" applyBorder="1"/>
    <xf numFmtId="0" fontId="16" fillId="2" borderId="1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21" fillId="2" borderId="22" xfId="0" applyFont="1" applyFill="1" applyBorder="1" applyAlignment="1">
      <alignment horizontal="left" vertical="top"/>
    </xf>
    <xf numFmtId="0" fontId="21" fillId="2" borderId="23" xfId="0" applyFont="1" applyFill="1" applyBorder="1" applyAlignment="1">
      <alignment horizontal="left" vertical="top"/>
    </xf>
    <xf numFmtId="0" fontId="21" fillId="2" borderId="24" xfId="0" applyFont="1" applyFill="1" applyBorder="1" applyAlignment="1">
      <alignment horizontal="left" vertical="top"/>
    </xf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FFC9C9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ctivit&#233;s!A1"/><Relationship Id="rId2" Type="http://schemas.openxmlformats.org/officeDocument/2006/relationships/hyperlink" Target="#hebdomadaire!A1"/><Relationship Id="rId1" Type="http://schemas.openxmlformats.org/officeDocument/2006/relationships/hyperlink" Target="#journalier!A1"/><Relationship Id="rId4" Type="http://schemas.openxmlformats.org/officeDocument/2006/relationships/hyperlink" Target="#DATA_VIEW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ebdomadaire!A1"/><Relationship Id="rId1" Type="http://schemas.openxmlformats.org/officeDocument/2006/relationships/hyperlink" Target="#Accueil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journalier!A1"/><Relationship Id="rId1" Type="http://schemas.openxmlformats.org/officeDocument/2006/relationships/hyperlink" Target="#Accuei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ccuei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alenda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alenda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ccuei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252412</xdr:colOff>
      <xdr:row>3</xdr:row>
      <xdr:rowOff>85725</xdr:rowOff>
    </xdr:from>
    <xdr:to>
      <xdr:col>4</xdr:col>
      <xdr:colOff>270412</xdr:colOff>
      <xdr:row>5</xdr:row>
      <xdr:rowOff>136725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1014412" y="838200"/>
          <a:ext cx="2304000" cy="432000"/>
        </a:xfrm>
        <a:prstGeom prst="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PLANNING</a:t>
          </a:r>
          <a:r>
            <a:rPr lang="fr-FR" sz="1200" baseline="0"/>
            <a:t> QUOTIDIEN</a:t>
          </a:r>
          <a:endParaRPr lang="fr-FR" sz="1200"/>
        </a:p>
      </xdr:txBody>
    </xdr:sp>
    <xdr:clientData/>
  </xdr:twoCellAnchor>
  <xdr:twoCellAnchor>
    <xdr:from>
      <xdr:col>1</xdr:col>
      <xdr:colOff>252412</xdr:colOff>
      <xdr:row>6</xdr:row>
      <xdr:rowOff>25400</xdr:rowOff>
    </xdr:from>
    <xdr:to>
      <xdr:col>4</xdr:col>
      <xdr:colOff>270412</xdr:colOff>
      <xdr:row>8</xdr:row>
      <xdr:rowOff>76400</xdr:rowOff>
    </xdr:to>
    <xdr:sp macro="" textlink="">
      <xdr:nvSpPr>
        <xdr:cNvPr id="3" name="Rectangle 2">
          <a:hlinkClick xmlns:r="http://schemas.openxmlformats.org/officeDocument/2006/relationships" r:id="rId2"/>
        </xdr:cNvPr>
        <xdr:cNvSpPr/>
      </xdr:nvSpPr>
      <xdr:spPr>
        <a:xfrm>
          <a:off x="1014412" y="1349375"/>
          <a:ext cx="2304000" cy="432000"/>
        </a:xfrm>
        <a:prstGeom prst="rect">
          <a:avLst/>
        </a:prstGeom>
        <a:solidFill>
          <a:srgbClr val="0070C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PLANNING</a:t>
          </a:r>
          <a:r>
            <a:rPr lang="fr-FR" sz="1200" baseline="0"/>
            <a:t> HEBDOMADAIRE</a:t>
          </a:r>
          <a:endParaRPr lang="fr-FR" sz="1200"/>
        </a:p>
      </xdr:txBody>
    </xdr:sp>
    <xdr:clientData/>
  </xdr:twoCellAnchor>
  <xdr:twoCellAnchor>
    <xdr:from>
      <xdr:col>1</xdr:col>
      <xdr:colOff>252412</xdr:colOff>
      <xdr:row>8</xdr:row>
      <xdr:rowOff>155575</xdr:rowOff>
    </xdr:from>
    <xdr:to>
      <xdr:col>4</xdr:col>
      <xdr:colOff>270412</xdr:colOff>
      <xdr:row>11</xdr:row>
      <xdr:rowOff>16075</xdr:rowOff>
    </xdr:to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1014412" y="1860550"/>
          <a:ext cx="2304000" cy="432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MISE EN FORME DES ACTIVITES</a:t>
          </a:r>
        </a:p>
      </xdr:txBody>
    </xdr:sp>
    <xdr:clientData/>
  </xdr:twoCellAnchor>
  <xdr:twoCellAnchor>
    <xdr:from>
      <xdr:col>1</xdr:col>
      <xdr:colOff>252412</xdr:colOff>
      <xdr:row>11</xdr:row>
      <xdr:rowOff>95250</xdr:rowOff>
    </xdr:from>
    <xdr:to>
      <xdr:col>4</xdr:col>
      <xdr:colOff>270412</xdr:colOff>
      <xdr:row>13</xdr:row>
      <xdr:rowOff>146250</xdr:rowOff>
    </xdr:to>
    <xdr:sp macro="" textlink="">
      <xdr:nvSpPr>
        <xdr:cNvPr id="5" name="Rectangle 4">
          <a:hlinkClick xmlns:r="http://schemas.openxmlformats.org/officeDocument/2006/relationships" r:id="rId4"/>
        </xdr:cNvPr>
        <xdr:cNvSpPr/>
      </xdr:nvSpPr>
      <xdr:spPr>
        <a:xfrm>
          <a:off x="1014412" y="2371725"/>
          <a:ext cx="2304000" cy="43200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CONSULTATION DES DONNEES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5153025</xdr:colOff>
      <xdr:row>2</xdr:row>
      <xdr:rowOff>104775</xdr:rowOff>
    </xdr:from>
    <xdr:to>
      <xdr:col>2</xdr:col>
      <xdr:colOff>5369025</xdr:colOff>
      <xdr:row>2</xdr:row>
      <xdr:rowOff>248775</xdr:rowOff>
    </xdr:to>
    <xdr:sp macro="[0]!previousDay" textlink="">
      <xdr:nvSpPr>
        <xdr:cNvPr id="2" name="Flèche droite 1"/>
        <xdr:cNvSpPr/>
      </xdr:nvSpPr>
      <xdr:spPr>
        <a:xfrm flipH="1">
          <a:off x="6705600" y="723900"/>
          <a:ext cx="216000" cy="144000"/>
        </a:xfrm>
        <a:prstGeom prst="rightArrow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7524750</xdr:colOff>
      <xdr:row>2</xdr:row>
      <xdr:rowOff>104775</xdr:rowOff>
    </xdr:from>
    <xdr:to>
      <xdr:col>2</xdr:col>
      <xdr:colOff>7740750</xdr:colOff>
      <xdr:row>2</xdr:row>
      <xdr:rowOff>248775</xdr:rowOff>
    </xdr:to>
    <xdr:sp macro="[0]!nextDay" textlink="">
      <xdr:nvSpPr>
        <xdr:cNvPr id="3" name="Flèche droite 2"/>
        <xdr:cNvSpPr/>
      </xdr:nvSpPr>
      <xdr:spPr>
        <a:xfrm>
          <a:off x="9077325" y="723900"/>
          <a:ext cx="216000" cy="144000"/>
        </a:xfrm>
        <a:prstGeom prst="rightArrow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47624</xdr:colOff>
      <xdr:row>0</xdr:row>
      <xdr:rowOff>47625</xdr:rowOff>
    </xdr:from>
    <xdr:to>
      <xdr:col>1</xdr:col>
      <xdr:colOff>135899</xdr:colOff>
      <xdr:row>0</xdr:row>
      <xdr:rowOff>335625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47624" y="47625"/>
          <a:ext cx="936000" cy="288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Accueil</a:t>
          </a:r>
        </a:p>
      </xdr:txBody>
    </xdr:sp>
    <xdr:clientData/>
  </xdr:twoCellAnchor>
  <xdr:twoCellAnchor>
    <xdr:from>
      <xdr:col>5</xdr:col>
      <xdr:colOff>257175</xdr:colOff>
      <xdr:row>2</xdr:row>
      <xdr:rowOff>0</xdr:rowOff>
    </xdr:from>
    <xdr:to>
      <xdr:col>6</xdr:col>
      <xdr:colOff>742950</xdr:colOff>
      <xdr:row>3</xdr:row>
      <xdr:rowOff>28575</xdr:rowOff>
    </xdr:to>
    <xdr:sp macro="" textlink="">
      <xdr:nvSpPr>
        <xdr:cNvPr id="5" name="MODEL_ACTIVITY_SHAPE"/>
        <xdr:cNvSpPr/>
      </xdr:nvSpPr>
      <xdr:spPr>
        <a:xfrm>
          <a:off x="16240125" y="619125"/>
          <a:ext cx="1247775" cy="371475"/>
        </a:xfrm>
        <a:prstGeom prst="roundRect">
          <a:avLst>
            <a:gd name="adj" fmla="val 641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>
                  <a:lumMod val="65000"/>
                  <a:lumOff val="35000"/>
                </a:schemeClr>
              </a:solidFill>
            </a:rPr>
            <a:t>MODEL ACTIVITE</a:t>
          </a:r>
        </a:p>
      </xdr:txBody>
    </xdr:sp>
    <xdr:clientData/>
  </xdr:twoCellAnchor>
  <xdr:twoCellAnchor>
    <xdr:from>
      <xdr:col>2</xdr:col>
      <xdr:colOff>4838700</xdr:colOff>
      <xdr:row>2</xdr:row>
      <xdr:rowOff>123825</xdr:rowOff>
    </xdr:from>
    <xdr:to>
      <xdr:col>2</xdr:col>
      <xdr:colOff>5057775</xdr:colOff>
      <xdr:row>2</xdr:row>
      <xdr:rowOff>238125</xdr:rowOff>
    </xdr:to>
    <xdr:sp macro="[0]!previousDayWeek" textlink="">
      <xdr:nvSpPr>
        <xdr:cNvPr id="6" name="Moins 5"/>
        <xdr:cNvSpPr/>
      </xdr:nvSpPr>
      <xdr:spPr>
        <a:xfrm>
          <a:off x="6391275" y="742950"/>
          <a:ext cx="219075" cy="114300"/>
        </a:xfrm>
        <a:prstGeom prst="mathMinus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7800975</xdr:colOff>
      <xdr:row>2</xdr:row>
      <xdr:rowOff>85725</xdr:rowOff>
    </xdr:from>
    <xdr:to>
      <xdr:col>2</xdr:col>
      <xdr:colOff>8010525</xdr:colOff>
      <xdr:row>2</xdr:row>
      <xdr:rowOff>266700</xdr:rowOff>
    </xdr:to>
    <xdr:sp macro="[0]!nextDayWeek" textlink="">
      <xdr:nvSpPr>
        <xdr:cNvPr id="7" name="Plus 6"/>
        <xdr:cNvSpPr/>
      </xdr:nvSpPr>
      <xdr:spPr>
        <a:xfrm>
          <a:off x="9353550" y="704850"/>
          <a:ext cx="209550" cy="180975"/>
        </a:xfrm>
        <a:prstGeom prst="mathPlus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161926</xdr:colOff>
      <xdr:row>0</xdr:row>
      <xdr:rowOff>47625</xdr:rowOff>
    </xdr:from>
    <xdr:to>
      <xdr:col>2</xdr:col>
      <xdr:colOff>969076</xdr:colOff>
      <xdr:row>0</xdr:row>
      <xdr:rowOff>335625</xdr:rowOff>
    </xdr:to>
    <xdr:sp macro="" textlink="">
      <xdr:nvSpPr>
        <xdr:cNvPr id="68" name="Rectangle 67">
          <a:hlinkClick xmlns:r="http://schemas.openxmlformats.org/officeDocument/2006/relationships" r:id="rId2"/>
        </xdr:cNvPr>
        <xdr:cNvSpPr/>
      </xdr:nvSpPr>
      <xdr:spPr>
        <a:xfrm>
          <a:off x="1009651" y="47625"/>
          <a:ext cx="1512000" cy="288000"/>
        </a:xfrm>
        <a:prstGeom prst="rect">
          <a:avLst/>
        </a:prstGeom>
        <a:solidFill>
          <a:srgbClr val="0070C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/>
            <a:t>Planning hebdomadaire</a:t>
          </a:r>
        </a:p>
      </xdr:txBody>
    </xdr:sp>
    <xdr:clientData/>
  </xdr:twoCellAnchor>
  <xdr:twoCellAnchor>
    <xdr:from>
      <xdr:col>2</xdr:col>
      <xdr:colOff>38100</xdr:colOff>
      <xdr:row>2</xdr:row>
      <xdr:rowOff>28575</xdr:rowOff>
    </xdr:from>
    <xdr:to>
      <xdr:col>2</xdr:col>
      <xdr:colOff>1226100</xdr:colOff>
      <xdr:row>2</xdr:row>
      <xdr:rowOff>316575</xdr:rowOff>
    </xdr:to>
    <xdr:sp macro="[0]!newActivity" textlink="">
      <xdr:nvSpPr>
        <xdr:cNvPr id="122" name="Rectangle 121"/>
        <xdr:cNvSpPr/>
      </xdr:nvSpPr>
      <xdr:spPr>
        <a:xfrm>
          <a:off x="1590675" y="638175"/>
          <a:ext cx="1188000" cy="288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Nouvelle Activité</a:t>
          </a:r>
        </a:p>
      </xdr:txBody>
    </xdr:sp>
    <xdr:clientData/>
  </xdr:twoCellAnchor>
  <xdr:twoCellAnchor>
    <xdr:from>
      <xdr:col>2</xdr:col>
      <xdr:colOff>25399</xdr:colOff>
      <xdr:row>10</xdr:row>
      <xdr:rowOff>285749</xdr:rowOff>
    </xdr:from>
    <xdr:to>
      <xdr:col>2</xdr:col>
      <xdr:colOff>4293657</xdr:colOff>
      <xdr:row>13</xdr:row>
      <xdr:rowOff>71437</xdr:rowOff>
    </xdr:to>
    <xdr:sp macro="'editActivity &quot;4&quot;'" textlink="">
      <xdr:nvSpPr>
        <xdr:cNvPr id="249" name="EVENT_4"/>
        <xdr:cNvSpPr/>
      </xdr:nvSpPr>
      <xdr:spPr>
        <a:xfrm>
          <a:off x="1577974" y="3009899"/>
          <a:ext cx="4268258" cy="642938"/>
        </a:xfrm>
        <a:prstGeom prst="roundRect">
          <a:avLst>
            <a:gd name="adj" fmla="val 6411"/>
          </a:avLst>
        </a:prstGeom>
        <a:solidFill>
          <a:srgbClr val="E2EFDA"/>
        </a:solidFill>
        <a:ln w="5080">
          <a:solidFill>
            <a:srgbClr val="548235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375623"/>
              </a:solidFill>
              <a:latin typeface="Calibri" panose="020F0502020204030204" pitchFamily="34" charset="0"/>
            </a:rPr>
            <a:t>ZIZIC-07473: 14:00 - 16:15</a:t>
          </a:r>
        </a:p>
        <a:p>
          <a:pPr algn="l"/>
          <a:r>
            <a:rPr lang="fr-FR" sz="1100" b="0" i="0">
              <a:solidFill>
                <a:srgbClr val="375623"/>
              </a:solidFill>
              <a:latin typeface="Calibri" panose="020F0502020204030204" pitchFamily="34" charset="0"/>
            </a:rPr>
            <a:t>EIAP</a:t>
          </a:r>
        </a:p>
        <a:p>
          <a:pPr algn="l"/>
          <a:r>
            <a:rPr lang="fr-FR" sz="1100" b="0" i="0">
              <a:solidFill>
                <a:srgbClr val="375623"/>
              </a:solidFill>
              <a:latin typeface="Calibri" panose="020F0502020204030204" pitchFamily="34" charset="0"/>
            </a:rPr>
            <a:t>Nouvelle activité en update</a:t>
          </a:r>
        </a:p>
      </xdr:txBody>
    </xdr:sp>
    <xdr:clientData/>
  </xdr:twoCellAnchor>
  <xdr:twoCellAnchor>
    <xdr:from>
      <xdr:col>2</xdr:col>
      <xdr:colOff>4319057</xdr:colOff>
      <xdr:row>10</xdr:row>
      <xdr:rowOff>0</xdr:rowOff>
    </xdr:from>
    <xdr:to>
      <xdr:col>2</xdr:col>
      <xdr:colOff>8587315</xdr:colOff>
      <xdr:row>11</xdr:row>
      <xdr:rowOff>214313</xdr:rowOff>
    </xdr:to>
    <xdr:sp macro="'editActivity &quot;13&quot;'" textlink="">
      <xdr:nvSpPr>
        <xdr:cNvPr id="250" name="EVENT_13"/>
        <xdr:cNvSpPr/>
      </xdr:nvSpPr>
      <xdr:spPr>
        <a:xfrm>
          <a:off x="5871632" y="2724150"/>
          <a:ext cx="4268258" cy="500063"/>
        </a:xfrm>
        <a:prstGeom prst="roundRect">
          <a:avLst>
            <a:gd name="adj" fmla="val 6411"/>
          </a:avLst>
        </a:prstGeom>
        <a:solidFill>
          <a:srgbClr val="FFF2CC"/>
        </a:solidFill>
        <a:ln w="5080">
          <a:solidFill>
            <a:srgbClr val="BF8F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vmoffice: 13:00 - 14:45</a:t>
          </a:r>
        </a:p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Réunion Encadrement</a:t>
          </a:r>
        </a:p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for grouping tests</a:t>
          </a:r>
        </a:p>
      </xdr:txBody>
    </xdr:sp>
    <xdr:clientData/>
  </xdr:twoCellAnchor>
  <xdr:twoCellAnchor>
    <xdr:from>
      <xdr:col>2</xdr:col>
      <xdr:colOff>8612716</xdr:colOff>
      <xdr:row>10</xdr:row>
      <xdr:rowOff>0</xdr:rowOff>
    </xdr:from>
    <xdr:to>
      <xdr:col>2</xdr:col>
      <xdr:colOff>12880974</xdr:colOff>
      <xdr:row>14</xdr:row>
      <xdr:rowOff>104775</xdr:rowOff>
    </xdr:to>
    <xdr:sp macro="'editActivity &quot;14&quot;'" textlink="">
      <xdr:nvSpPr>
        <xdr:cNvPr id="251" name="EVENT_14"/>
        <xdr:cNvSpPr/>
      </xdr:nvSpPr>
      <xdr:spPr>
        <a:xfrm>
          <a:off x="10165291" y="2724150"/>
          <a:ext cx="4268258" cy="1247775"/>
        </a:xfrm>
        <a:prstGeom prst="roundRect">
          <a:avLst>
            <a:gd name="adj" fmla="val 6411"/>
          </a:avLst>
        </a:prstGeom>
        <a:solidFill>
          <a:srgbClr val="FFF2CC"/>
        </a:solidFill>
        <a:ln w="5080">
          <a:solidFill>
            <a:srgbClr val="BF8F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vmoffice: 13:00 - 17:22</a:t>
          </a:r>
        </a:p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Réunion Encadrement</a:t>
          </a:r>
        </a:p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Encore un overlap</a:t>
          </a:r>
        </a:p>
      </xdr:txBody>
    </xdr:sp>
    <xdr:clientData/>
  </xdr:twoCellAnchor>
  <xdr:twoCellAnchor>
    <xdr:from>
      <xdr:col>2</xdr:col>
      <xdr:colOff>25399</xdr:colOff>
      <xdr:row>5</xdr:row>
      <xdr:rowOff>0</xdr:rowOff>
    </xdr:from>
    <xdr:to>
      <xdr:col>2</xdr:col>
      <xdr:colOff>6440487</xdr:colOff>
      <xdr:row>8</xdr:row>
      <xdr:rowOff>142875</xdr:rowOff>
    </xdr:to>
    <xdr:sp macro="'editActivity &quot;15&quot;'" textlink="">
      <xdr:nvSpPr>
        <xdr:cNvPr id="252" name="EVENT_15"/>
        <xdr:cNvSpPr/>
      </xdr:nvSpPr>
      <xdr:spPr>
        <a:xfrm>
          <a:off x="1577974" y="1295400"/>
          <a:ext cx="6415088" cy="1000125"/>
        </a:xfrm>
        <a:prstGeom prst="roundRect">
          <a:avLst>
            <a:gd name="adj" fmla="val 6411"/>
          </a:avLst>
        </a:prstGeom>
        <a:solidFill>
          <a:srgbClr val="D9E1F2"/>
        </a:solidFill>
        <a:ln w="5080">
          <a:solidFill>
            <a:srgbClr val="2037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vmoffice: 08:00 - 11:30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Nouvelle activité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encore un test</a:t>
          </a:r>
        </a:p>
      </xdr:txBody>
    </xdr:sp>
    <xdr:clientData/>
  </xdr:twoCellAnchor>
  <xdr:twoCellAnchor>
    <xdr:from>
      <xdr:col>2</xdr:col>
      <xdr:colOff>6465887</xdr:colOff>
      <xdr:row>7</xdr:row>
      <xdr:rowOff>0</xdr:rowOff>
    </xdr:from>
    <xdr:to>
      <xdr:col>2</xdr:col>
      <xdr:colOff>12880975</xdr:colOff>
      <xdr:row>9</xdr:row>
      <xdr:rowOff>142875</xdr:rowOff>
    </xdr:to>
    <xdr:sp macro="'editActivity &quot;19&quot;'" textlink="">
      <xdr:nvSpPr>
        <xdr:cNvPr id="253" name="EVENT_19"/>
        <xdr:cNvSpPr/>
      </xdr:nvSpPr>
      <xdr:spPr>
        <a:xfrm>
          <a:off x="8018462" y="1866900"/>
          <a:ext cx="6415088" cy="714375"/>
        </a:xfrm>
        <a:prstGeom prst="roundRect">
          <a:avLst>
            <a:gd name="adj" fmla="val 6411"/>
          </a:avLst>
        </a:prstGeom>
        <a:solidFill>
          <a:srgbClr val="D9E1F2"/>
        </a:solidFill>
        <a:ln w="5080">
          <a:solidFill>
            <a:srgbClr val="2037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vmoffice: 10:00 - 12:30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NOUVELLE ACTIVITÉ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ma description</a:t>
          </a:r>
        </a:p>
      </xdr:txBody>
    </xdr:sp>
    <xdr:clientData/>
  </xdr:twoCellAnchor>
  <xdr:twoCellAnchor>
    <xdr:from>
      <xdr:col>0</xdr:col>
      <xdr:colOff>63500</xdr:colOff>
      <xdr:row>3</xdr:row>
      <xdr:rowOff>0</xdr:rowOff>
    </xdr:from>
    <xdr:to>
      <xdr:col>1</xdr:col>
      <xdr:colOff>231775</xdr:colOff>
      <xdr:row>4</xdr:row>
      <xdr:rowOff>206375</xdr:rowOff>
    </xdr:to>
    <xdr:sp macro="'toogle &quot;activite&quot;,&quot;eiap&quot;'" textlink="">
      <xdr:nvSpPr>
        <xdr:cNvPr id="254" name="ACTIVITY_eiap"/>
        <xdr:cNvSpPr/>
      </xdr:nvSpPr>
      <xdr:spPr>
        <a:xfrm>
          <a:off x="63500" y="962025"/>
          <a:ext cx="1016000" cy="254000"/>
        </a:xfrm>
        <a:prstGeom prst="roundRect">
          <a:avLst>
            <a:gd name="adj" fmla="val 6411"/>
          </a:avLst>
        </a:prstGeom>
        <a:solidFill>
          <a:srgbClr val="E2EFDA"/>
        </a:solidFill>
        <a:ln w="5080">
          <a:solidFill>
            <a:srgbClr val="548235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0" i="0">
              <a:solidFill>
                <a:srgbClr val="375623"/>
              </a:solidFill>
              <a:latin typeface="Calibri" panose="020F0502020204030204" pitchFamily="34" charset="0"/>
            </a:rPr>
            <a:t>eiap</a:t>
          </a:r>
        </a:p>
      </xdr:txBody>
    </xdr:sp>
    <xdr:clientData/>
  </xdr:twoCellAnchor>
  <xdr:twoCellAnchor>
    <xdr:from>
      <xdr:col>0</xdr:col>
      <xdr:colOff>63500</xdr:colOff>
      <xdr:row>4</xdr:row>
      <xdr:rowOff>244475</xdr:rowOff>
    </xdr:from>
    <xdr:to>
      <xdr:col>1</xdr:col>
      <xdr:colOff>231775</xdr:colOff>
      <xdr:row>5</xdr:row>
      <xdr:rowOff>212725</xdr:rowOff>
    </xdr:to>
    <xdr:sp macro="'toogle &quot;activite&quot;,&quot;réunion encadrement&quot;'" textlink="">
      <xdr:nvSpPr>
        <xdr:cNvPr id="255" name="ACTIVITY_réunion encadrement"/>
        <xdr:cNvSpPr/>
      </xdr:nvSpPr>
      <xdr:spPr>
        <a:xfrm>
          <a:off x="63500" y="1254125"/>
          <a:ext cx="1016000" cy="254000"/>
        </a:xfrm>
        <a:prstGeom prst="roundRect">
          <a:avLst>
            <a:gd name="adj" fmla="val 6411"/>
          </a:avLst>
        </a:prstGeom>
        <a:solidFill>
          <a:srgbClr val="FFF2CC"/>
        </a:solidFill>
        <a:ln w="5080">
          <a:solidFill>
            <a:srgbClr val="BF8F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0" i="0">
              <a:solidFill>
                <a:srgbClr val="806000"/>
              </a:solidFill>
              <a:latin typeface="Calibri" panose="020F0502020204030204" pitchFamily="34" charset="0"/>
            </a:rPr>
            <a:t>réunion encadrement</a:t>
          </a:r>
        </a:p>
      </xdr:txBody>
    </xdr:sp>
    <xdr:clientData/>
  </xdr:twoCellAnchor>
  <xdr:twoCellAnchor>
    <xdr:from>
      <xdr:col>0</xdr:col>
      <xdr:colOff>63500</xdr:colOff>
      <xdr:row>5</xdr:row>
      <xdr:rowOff>250825</xdr:rowOff>
    </xdr:from>
    <xdr:to>
      <xdr:col>1</xdr:col>
      <xdr:colOff>231775</xdr:colOff>
      <xdr:row>6</xdr:row>
      <xdr:rowOff>219075</xdr:rowOff>
    </xdr:to>
    <xdr:sp macro="'toogle &quot;activite&quot;,&quot;nouvelle activité&quot;'" textlink="">
      <xdr:nvSpPr>
        <xdr:cNvPr id="256" name="ACTIVITY_nouvelle activité"/>
        <xdr:cNvSpPr/>
      </xdr:nvSpPr>
      <xdr:spPr>
        <a:xfrm>
          <a:off x="63500" y="1546225"/>
          <a:ext cx="1016000" cy="254000"/>
        </a:xfrm>
        <a:prstGeom prst="roundRect">
          <a:avLst>
            <a:gd name="adj" fmla="val 6411"/>
          </a:avLst>
        </a:prstGeom>
        <a:solidFill>
          <a:srgbClr val="D9E1F2"/>
        </a:solidFill>
        <a:ln w="5080">
          <a:solidFill>
            <a:srgbClr val="2037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0" i="0">
              <a:solidFill>
                <a:srgbClr val="203764"/>
              </a:solidFill>
              <a:latin typeface="Calibri" panose="020F0502020204030204" pitchFamily="34" charset="0"/>
            </a:rPr>
            <a:t>nouvelle activité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3</xdr:row>
      <xdr:rowOff>114300</xdr:rowOff>
    </xdr:from>
    <xdr:to>
      <xdr:col>7</xdr:col>
      <xdr:colOff>225525</xdr:colOff>
      <xdr:row>3</xdr:row>
      <xdr:rowOff>258300</xdr:rowOff>
    </xdr:to>
    <xdr:sp macro="[0]!previousWeek" textlink="">
      <xdr:nvSpPr>
        <xdr:cNvPr id="3" name="Flèche droite 2"/>
        <xdr:cNvSpPr/>
      </xdr:nvSpPr>
      <xdr:spPr>
        <a:xfrm flipH="1">
          <a:off x="6153150" y="847725"/>
          <a:ext cx="216000" cy="144000"/>
        </a:xfrm>
        <a:prstGeom prst="rightArrow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2333625</xdr:colOff>
      <xdr:row>3</xdr:row>
      <xdr:rowOff>114300</xdr:rowOff>
    </xdr:from>
    <xdr:to>
      <xdr:col>7</xdr:col>
      <xdr:colOff>2549625</xdr:colOff>
      <xdr:row>3</xdr:row>
      <xdr:rowOff>258300</xdr:rowOff>
    </xdr:to>
    <xdr:sp macro="[0]!nextWeek" textlink="">
      <xdr:nvSpPr>
        <xdr:cNvPr id="4" name="Flèche droite 3"/>
        <xdr:cNvSpPr/>
      </xdr:nvSpPr>
      <xdr:spPr>
        <a:xfrm flipV="1">
          <a:off x="8477250" y="847725"/>
          <a:ext cx="216000" cy="144000"/>
        </a:xfrm>
        <a:prstGeom prst="rightArrow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2390775</xdr:colOff>
      <xdr:row>3</xdr:row>
      <xdr:rowOff>114300</xdr:rowOff>
    </xdr:from>
    <xdr:to>
      <xdr:col>6</xdr:col>
      <xdr:colOff>44550</xdr:colOff>
      <xdr:row>3</xdr:row>
      <xdr:rowOff>258300</xdr:rowOff>
    </xdr:to>
    <xdr:sp macro="[0]!previousMonth" textlink="">
      <xdr:nvSpPr>
        <xdr:cNvPr id="5" name="Moins 4"/>
        <xdr:cNvSpPr/>
      </xdr:nvSpPr>
      <xdr:spPr>
        <a:xfrm flipH="1">
          <a:off x="5857875" y="847725"/>
          <a:ext cx="216000" cy="144000"/>
        </a:xfrm>
        <a:prstGeom prst="mathMinu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57150</xdr:colOff>
      <xdr:row>3</xdr:row>
      <xdr:rowOff>85725</xdr:rowOff>
    </xdr:from>
    <xdr:to>
      <xdr:col>9</xdr:col>
      <xdr:colOff>122850</xdr:colOff>
      <xdr:row>3</xdr:row>
      <xdr:rowOff>265725</xdr:rowOff>
    </xdr:to>
    <xdr:sp macro="[0]!nextMonth" textlink="">
      <xdr:nvSpPr>
        <xdr:cNvPr id="6" name="Plus 5"/>
        <xdr:cNvSpPr/>
      </xdr:nvSpPr>
      <xdr:spPr>
        <a:xfrm flipV="1">
          <a:off x="8763000" y="819150"/>
          <a:ext cx="180000" cy="180000"/>
        </a:xfrm>
        <a:prstGeom prst="mathPlu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38100</xdr:colOff>
      <xdr:row>3</xdr:row>
      <xdr:rowOff>28576</xdr:rowOff>
    </xdr:from>
    <xdr:to>
      <xdr:col>3</xdr:col>
      <xdr:colOff>1226100</xdr:colOff>
      <xdr:row>3</xdr:row>
      <xdr:rowOff>316576</xdr:rowOff>
    </xdr:to>
    <xdr:sp macro="[0]!newActivity" textlink="">
      <xdr:nvSpPr>
        <xdr:cNvPr id="58" name="Rectangle 57"/>
        <xdr:cNvSpPr/>
      </xdr:nvSpPr>
      <xdr:spPr>
        <a:xfrm>
          <a:off x="1590675" y="647701"/>
          <a:ext cx="1188000" cy="2880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Nouvelle Activité</a:t>
          </a:r>
        </a:p>
      </xdr:txBody>
    </xdr:sp>
    <xdr:clientData/>
  </xdr:twoCellAnchor>
  <xdr:twoCellAnchor editAs="absolute">
    <xdr:from>
      <xdr:col>0</xdr:col>
      <xdr:colOff>47625</xdr:colOff>
      <xdr:row>0</xdr:row>
      <xdr:rowOff>47625</xdr:rowOff>
    </xdr:from>
    <xdr:to>
      <xdr:col>2</xdr:col>
      <xdr:colOff>88275</xdr:colOff>
      <xdr:row>0</xdr:row>
      <xdr:rowOff>335625</xdr:rowOff>
    </xdr:to>
    <xdr:sp macro="" textlink="">
      <xdr:nvSpPr>
        <xdr:cNvPr id="7" name="Rectangle 6">
          <a:hlinkClick xmlns:r="http://schemas.openxmlformats.org/officeDocument/2006/relationships" r:id="rId1"/>
        </xdr:cNvPr>
        <xdr:cNvSpPr/>
      </xdr:nvSpPr>
      <xdr:spPr>
        <a:xfrm>
          <a:off x="47625" y="47625"/>
          <a:ext cx="936000" cy="288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Accueil</a:t>
          </a:r>
        </a:p>
      </xdr:txBody>
    </xdr:sp>
    <xdr:clientData/>
  </xdr:twoCellAnchor>
  <xdr:twoCellAnchor editAs="absolute">
    <xdr:from>
      <xdr:col>2</xdr:col>
      <xdr:colOff>114298</xdr:colOff>
      <xdr:row>0</xdr:row>
      <xdr:rowOff>47624</xdr:rowOff>
    </xdr:from>
    <xdr:to>
      <xdr:col>3</xdr:col>
      <xdr:colOff>969073</xdr:colOff>
      <xdr:row>0</xdr:row>
      <xdr:rowOff>335624</xdr:rowOff>
    </xdr:to>
    <xdr:sp macro="" textlink="">
      <xdr:nvSpPr>
        <xdr:cNvPr id="184" name="Rectangle 183">
          <a:hlinkClick xmlns:r="http://schemas.openxmlformats.org/officeDocument/2006/relationships" r:id="rId2"/>
        </xdr:cNvPr>
        <xdr:cNvSpPr/>
      </xdr:nvSpPr>
      <xdr:spPr>
        <a:xfrm>
          <a:off x="1009648" y="47624"/>
          <a:ext cx="1512000" cy="288000"/>
        </a:xfrm>
        <a:prstGeom prst="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/>
            <a:t>Planning journalier</a:t>
          </a:r>
        </a:p>
      </xdr:txBody>
    </xdr:sp>
    <xdr:clientData/>
  </xdr:twoCellAnchor>
  <xdr:twoCellAnchor>
    <xdr:from>
      <xdr:col>13</xdr:col>
      <xdr:colOff>657225</xdr:colOff>
      <xdr:row>3</xdr:row>
      <xdr:rowOff>0</xdr:rowOff>
    </xdr:from>
    <xdr:to>
      <xdr:col>15</xdr:col>
      <xdr:colOff>381000</xdr:colOff>
      <xdr:row>4</xdr:row>
      <xdr:rowOff>28575</xdr:rowOff>
    </xdr:to>
    <xdr:sp macro="" textlink="">
      <xdr:nvSpPr>
        <xdr:cNvPr id="2277" name="MODEL_ACTIVITY_SHAPE"/>
        <xdr:cNvSpPr/>
      </xdr:nvSpPr>
      <xdr:spPr>
        <a:xfrm>
          <a:off x="16240125" y="619125"/>
          <a:ext cx="1247775" cy="371475"/>
        </a:xfrm>
        <a:prstGeom prst="roundRect">
          <a:avLst>
            <a:gd name="adj" fmla="val 641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>
                  <a:lumMod val="65000"/>
                  <a:lumOff val="35000"/>
                </a:schemeClr>
              </a:solidFill>
            </a:rPr>
            <a:t>MODEL ACTIVITE</a:t>
          </a:r>
        </a:p>
      </xdr:txBody>
    </xdr:sp>
    <xdr:clientData/>
  </xdr:twoCellAnchor>
  <xdr:twoCellAnchor>
    <xdr:from>
      <xdr:col>7</xdr:col>
      <xdr:colOff>25400</xdr:colOff>
      <xdr:row>12</xdr:row>
      <xdr:rowOff>333374</xdr:rowOff>
    </xdr:from>
    <xdr:to>
      <xdr:col>7</xdr:col>
      <xdr:colOff>845608</xdr:colOff>
      <xdr:row>15</xdr:row>
      <xdr:rowOff>83343</xdr:rowOff>
    </xdr:to>
    <xdr:sp macro="'editActivity &quot;4&quot;'" textlink="">
      <xdr:nvSpPr>
        <xdr:cNvPr id="74" name="EVENT_4"/>
        <xdr:cNvSpPr/>
      </xdr:nvSpPr>
      <xdr:spPr>
        <a:xfrm>
          <a:off x="6931025" y="3724274"/>
          <a:ext cx="820208" cy="750094"/>
        </a:xfrm>
        <a:prstGeom prst="roundRect">
          <a:avLst>
            <a:gd name="adj" fmla="val 6411"/>
          </a:avLst>
        </a:prstGeom>
        <a:solidFill>
          <a:srgbClr val="E2EFDA"/>
        </a:solidFill>
        <a:ln w="5080">
          <a:solidFill>
            <a:srgbClr val="548235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375623"/>
              </a:solidFill>
              <a:latin typeface="Calibri" panose="020F0502020204030204" pitchFamily="34" charset="0"/>
            </a:rPr>
            <a:t>ZIZIC-07473: 14:00 - 16:15</a:t>
          </a:r>
        </a:p>
        <a:p>
          <a:pPr algn="l"/>
          <a:r>
            <a:rPr lang="fr-FR" sz="1100" b="0" i="0">
              <a:solidFill>
                <a:srgbClr val="375623"/>
              </a:solidFill>
              <a:latin typeface="Calibri" panose="020F0502020204030204" pitchFamily="34" charset="0"/>
            </a:rPr>
            <a:t>EIAP</a:t>
          </a:r>
        </a:p>
        <a:p>
          <a:pPr algn="l"/>
          <a:r>
            <a:rPr lang="fr-FR" sz="1100" b="0" i="0">
              <a:solidFill>
                <a:srgbClr val="375623"/>
              </a:solidFill>
              <a:latin typeface="Calibri" panose="020F0502020204030204" pitchFamily="34" charset="0"/>
            </a:rPr>
            <a:t>Nouvelle activité en update</a:t>
          </a:r>
        </a:p>
      </xdr:txBody>
    </xdr:sp>
    <xdr:clientData/>
  </xdr:twoCellAnchor>
  <xdr:twoCellAnchor>
    <xdr:from>
      <xdr:col>7</xdr:col>
      <xdr:colOff>871008</xdr:colOff>
      <xdr:row>11</xdr:row>
      <xdr:rowOff>333374</xdr:rowOff>
    </xdr:from>
    <xdr:to>
      <xdr:col>7</xdr:col>
      <xdr:colOff>1691216</xdr:colOff>
      <xdr:row>13</xdr:row>
      <xdr:rowOff>250030</xdr:rowOff>
    </xdr:to>
    <xdr:sp macro="'editActivity &quot;13&quot;'" textlink="">
      <xdr:nvSpPr>
        <xdr:cNvPr id="75" name="EVENT_13"/>
        <xdr:cNvSpPr/>
      </xdr:nvSpPr>
      <xdr:spPr>
        <a:xfrm>
          <a:off x="7776633" y="3390899"/>
          <a:ext cx="820208" cy="583406"/>
        </a:xfrm>
        <a:prstGeom prst="roundRect">
          <a:avLst>
            <a:gd name="adj" fmla="val 6411"/>
          </a:avLst>
        </a:prstGeom>
        <a:solidFill>
          <a:srgbClr val="FFF2CC"/>
        </a:solidFill>
        <a:ln w="5080">
          <a:solidFill>
            <a:srgbClr val="BF8F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vmoffice: 13:00 - 14:45</a:t>
          </a:r>
        </a:p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Réunion Encadrement</a:t>
          </a:r>
        </a:p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for grouping tests</a:t>
          </a:r>
        </a:p>
      </xdr:txBody>
    </xdr:sp>
    <xdr:clientData/>
  </xdr:twoCellAnchor>
  <xdr:twoCellAnchor>
    <xdr:from>
      <xdr:col>7</xdr:col>
      <xdr:colOff>1716617</xdr:colOff>
      <xdr:row>11</xdr:row>
      <xdr:rowOff>333374</xdr:rowOff>
    </xdr:from>
    <xdr:to>
      <xdr:col>7</xdr:col>
      <xdr:colOff>2536825</xdr:colOff>
      <xdr:row>16</xdr:row>
      <xdr:rowOff>122237</xdr:rowOff>
    </xdr:to>
    <xdr:sp macro="'editActivity &quot;14&quot;'" textlink="">
      <xdr:nvSpPr>
        <xdr:cNvPr id="76" name="EVENT_14"/>
        <xdr:cNvSpPr/>
      </xdr:nvSpPr>
      <xdr:spPr>
        <a:xfrm>
          <a:off x="8622242" y="3390899"/>
          <a:ext cx="820208" cy="1455738"/>
        </a:xfrm>
        <a:prstGeom prst="roundRect">
          <a:avLst>
            <a:gd name="adj" fmla="val 6411"/>
          </a:avLst>
        </a:prstGeom>
        <a:solidFill>
          <a:srgbClr val="FFF2CC"/>
        </a:solidFill>
        <a:ln w="5080">
          <a:solidFill>
            <a:srgbClr val="BF8F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vmoffice: 13:00 - 17:22</a:t>
          </a:r>
        </a:p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Réunion Encadrement</a:t>
          </a:r>
        </a:p>
        <a:p>
          <a:pPr algn="l"/>
          <a:r>
            <a:rPr lang="fr-FR" sz="1100" b="0" i="0">
              <a:solidFill>
                <a:srgbClr val="806000"/>
              </a:solidFill>
              <a:latin typeface="Calibri" panose="020F0502020204030204" pitchFamily="34" charset="0"/>
            </a:rPr>
            <a:t>Encore un overlap</a:t>
          </a:r>
        </a:p>
      </xdr:txBody>
    </xdr:sp>
    <xdr:clientData/>
  </xdr:twoCellAnchor>
  <xdr:twoCellAnchor>
    <xdr:from>
      <xdr:col>7</xdr:col>
      <xdr:colOff>25400</xdr:colOff>
      <xdr:row>7</xdr:row>
      <xdr:rowOff>0</xdr:rowOff>
    </xdr:from>
    <xdr:to>
      <xdr:col>7</xdr:col>
      <xdr:colOff>1268413</xdr:colOff>
      <xdr:row>10</xdr:row>
      <xdr:rowOff>166688</xdr:rowOff>
    </xdr:to>
    <xdr:sp macro="'editActivity &quot;15&quot;'" textlink="">
      <xdr:nvSpPr>
        <xdr:cNvPr id="77" name="EVENT_15"/>
        <xdr:cNvSpPr/>
      </xdr:nvSpPr>
      <xdr:spPr>
        <a:xfrm>
          <a:off x="6931025" y="1724025"/>
          <a:ext cx="1243013" cy="1166813"/>
        </a:xfrm>
        <a:prstGeom prst="roundRect">
          <a:avLst>
            <a:gd name="adj" fmla="val 6411"/>
          </a:avLst>
        </a:prstGeom>
        <a:solidFill>
          <a:srgbClr val="D9E1F2"/>
        </a:solidFill>
        <a:ln w="5080">
          <a:solidFill>
            <a:srgbClr val="2037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vmoffice: 08:00 - 11:30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Nouvelle activité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encore un test</a:t>
          </a:r>
        </a:p>
      </xdr:txBody>
    </xdr:sp>
    <xdr:clientData/>
  </xdr:twoCellAnchor>
  <xdr:twoCellAnchor>
    <xdr:from>
      <xdr:col>7</xdr:col>
      <xdr:colOff>1293813</xdr:colOff>
      <xdr:row>8</xdr:row>
      <xdr:rowOff>333374</xdr:rowOff>
    </xdr:from>
    <xdr:to>
      <xdr:col>7</xdr:col>
      <xdr:colOff>2536826</xdr:colOff>
      <xdr:row>11</xdr:row>
      <xdr:rowOff>166687</xdr:rowOff>
    </xdr:to>
    <xdr:sp macro="'editActivity &quot;19&quot;'" textlink="">
      <xdr:nvSpPr>
        <xdr:cNvPr id="78" name="EVENT_19"/>
        <xdr:cNvSpPr/>
      </xdr:nvSpPr>
      <xdr:spPr>
        <a:xfrm>
          <a:off x="8199438" y="2390774"/>
          <a:ext cx="1243013" cy="833438"/>
        </a:xfrm>
        <a:prstGeom prst="roundRect">
          <a:avLst>
            <a:gd name="adj" fmla="val 6411"/>
          </a:avLst>
        </a:prstGeom>
        <a:solidFill>
          <a:srgbClr val="D9E1F2"/>
        </a:solidFill>
        <a:ln w="5080">
          <a:solidFill>
            <a:srgbClr val="2037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vmoffice: 10:00 - 12:30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NOUVELLE ACTIVITÉ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ma description</a:t>
          </a:r>
        </a:p>
      </xdr:txBody>
    </xdr:sp>
    <xdr:clientData/>
  </xdr:twoCellAnchor>
  <xdr:twoCellAnchor>
    <xdr:from>
      <xdr:col>3</xdr:col>
      <xdr:colOff>25400</xdr:colOff>
      <xdr:row>7</xdr:row>
      <xdr:rowOff>0</xdr:rowOff>
    </xdr:from>
    <xdr:to>
      <xdr:col>3</xdr:col>
      <xdr:colOff>2536825</xdr:colOff>
      <xdr:row>10</xdr:row>
      <xdr:rowOff>83344</xdr:rowOff>
    </xdr:to>
    <xdr:sp macro="'editActivity &quot;18&quot;'" textlink="">
      <xdr:nvSpPr>
        <xdr:cNvPr id="79" name="EVENT_18"/>
        <xdr:cNvSpPr/>
      </xdr:nvSpPr>
      <xdr:spPr>
        <a:xfrm>
          <a:off x="1577975" y="1724025"/>
          <a:ext cx="2511425" cy="1083469"/>
        </a:xfrm>
        <a:prstGeom prst="roundRect">
          <a:avLst>
            <a:gd name="adj" fmla="val 6411"/>
          </a:avLst>
        </a:prstGeom>
        <a:solidFill>
          <a:srgbClr val="D9E1F2"/>
        </a:solidFill>
        <a:ln w="5080">
          <a:solidFill>
            <a:srgbClr val="2037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vmoffice: 08:00 - 11:15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NOUVELLE ACTIVITÉ</a:t>
          </a:r>
        </a:p>
        <a:p>
          <a:pPr algn="l"/>
          <a:r>
            <a:rPr lang="fr-FR" sz="1100" b="0" i="0">
              <a:solidFill>
                <a:srgbClr val="203764"/>
              </a:solidFill>
              <a:latin typeface="Calibri" panose="020F0502020204030204" pitchFamily="34" charset="0"/>
            </a:rPr>
            <a:t>Nouvelle activité</a:t>
          </a:r>
        </a:p>
      </xdr:txBody>
    </xdr:sp>
    <xdr:clientData/>
  </xdr:twoCellAnchor>
  <xdr:twoCellAnchor>
    <xdr:from>
      <xdr:col>0</xdr:col>
      <xdr:colOff>63500</xdr:colOff>
      <xdr:row>5</xdr:row>
      <xdr:rowOff>0</xdr:rowOff>
    </xdr:from>
    <xdr:to>
      <xdr:col>2</xdr:col>
      <xdr:colOff>184150</xdr:colOff>
      <xdr:row>6</xdr:row>
      <xdr:rowOff>15875</xdr:rowOff>
    </xdr:to>
    <xdr:sp macro="'toogle &quot;activite&quot;,&quot;eiap&quot;'" textlink="">
      <xdr:nvSpPr>
        <xdr:cNvPr id="80" name="ACTIVITY_eiap"/>
        <xdr:cNvSpPr/>
      </xdr:nvSpPr>
      <xdr:spPr>
        <a:xfrm>
          <a:off x="63500" y="1152525"/>
          <a:ext cx="1016000" cy="254000"/>
        </a:xfrm>
        <a:prstGeom prst="roundRect">
          <a:avLst>
            <a:gd name="adj" fmla="val 6411"/>
          </a:avLst>
        </a:prstGeom>
        <a:solidFill>
          <a:srgbClr val="E2EFDA"/>
        </a:solidFill>
        <a:ln w="5080">
          <a:solidFill>
            <a:srgbClr val="548235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0" i="0">
              <a:solidFill>
                <a:srgbClr val="375623"/>
              </a:solidFill>
              <a:latin typeface="Calibri" panose="020F0502020204030204" pitchFamily="34" charset="0"/>
            </a:rPr>
            <a:t>eiap</a:t>
          </a:r>
        </a:p>
      </xdr:txBody>
    </xdr:sp>
    <xdr:clientData/>
  </xdr:twoCellAnchor>
  <xdr:twoCellAnchor>
    <xdr:from>
      <xdr:col>0</xdr:col>
      <xdr:colOff>63500</xdr:colOff>
      <xdr:row>6</xdr:row>
      <xdr:rowOff>53975</xdr:rowOff>
    </xdr:from>
    <xdr:to>
      <xdr:col>2</xdr:col>
      <xdr:colOff>184150</xdr:colOff>
      <xdr:row>6</xdr:row>
      <xdr:rowOff>307975</xdr:rowOff>
    </xdr:to>
    <xdr:sp macro="'toogle &quot;activite&quot;,&quot;réunion encadrement&quot;'" textlink="">
      <xdr:nvSpPr>
        <xdr:cNvPr id="81" name="ACTIVITY_réunion encadrement"/>
        <xdr:cNvSpPr/>
      </xdr:nvSpPr>
      <xdr:spPr>
        <a:xfrm>
          <a:off x="63500" y="1444625"/>
          <a:ext cx="1016000" cy="254000"/>
        </a:xfrm>
        <a:prstGeom prst="roundRect">
          <a:avLst>
            <a:gd name="adj" fmla="val 6411"/>
          </a:avLst>
        </a:prstGeom>
        <a:solidFill>
          <a:srgbClr val="FFF2CC"/>
        </a:solidFill>
        <a:ln w="5080">
          <a:solidFill>
            <a:srgbClr val="BF8F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0" i="0">
              <a:solidFill>
                <a:srgbClr val="806000"/>
              </a:solidFill>
              <a:latin typeface="Calibri" panose="020F0502020204030204" pitchFamily="34" charset="0"/>
            </a:rPr>
            <a:t>réunion encadrement</a:t>
          </a:r>
        </a:p>
      </xdr:txBody>
    </xdr:sp>
    <xdr:clientData/>
  </xdr:twoCellAnchor>
  <xdr:twoCellAnchor>
    <xdr:from>
      <xdr:col>0</xdr:col>
      <xdr:colOff>63500</xdr:colOff>
      <xdr:row>7</xdr:row>
      <xdr:rowOff>12700</xdr:rowOff>
    </xdr:from>
    <xdr:to>
      <xdr:col>2</xdr:col>
      <xdr:colOff>184150</xdr:colOff>
      <xdr:row>7</xdr:row>
      <xdr:rowOff>266700</xdr:rowOff>
    </xdr:to>
    <xdr:sp macro="'toogle &quot;activite&quot;,&quot;nouvelle activité&quot;'" textlink="">
      <xdr:nvSpPr>
        <xdr:cNvPr id="82" name="ACTIVITY_nouvelle activité"/>
        <xdr:cNvSpPr/>
      </xdr:nvSpPr>
      <xdr:spPr>
        <a:xfrm>
          <a:off x="63500" y="1736725"/>
          <a:ext cx="1016000" cy="254000"/>
        </a:xfrm>
        <a:prstGeom prst="roundRect">
          <a:avLst>
            <a:gd name="adj" fmla="val 6411"/>
          </a:avLst>
        </a:prstGeom>
        <a:solidFill>
          <a:srgbClr val="D9E1F2"/>
        </a:solidFill>
        <a:ln w="5080">
          <a:solidFill>
            <a:srgbClr val="2037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0" i="0">
              <a:solidFill>
                <a:srgbClr val="203764"/>
              </a:solidFill>
              <a:latin typeface="Calibri" panose="020F0502020204030204" pitchFamily="34" charset="0"/>
            </a:rPr>
            <a:t>nouvelle activité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47625</xdr:rowOff>
    </xdr:from>
    <xdr:to>
      <xdr:col>1</xdr:col>
      <xdr:colOff>209550</xdr:colOff>
      <xdr:row>0</xdr:row>
      <xdr:rowOff>333375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38100" y="47625"/>
          <a:ext cx="933450" cy="28575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28575</xdr:rowOff>
    </xdr:from>
    <xdr:to>
      <xdr:col>1</xdr:col>
      <xdr:colOff>752475</xdr:colOff>
      <xdr:row>0</xdr:row>
      <xdr:rowOff>314325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38100" y="28575"/>
          <a:ext cx="942975" cy="28575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ACCUEIL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1</xdr:col>
      <xdr:colOff>771525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57150" y="66675"/>
          <a:ext cx="942975" cy="28575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ACCUEIL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314325</xdr:colOff>
      <xdr:row>2</xdr:row>
      <xdr:rowOff>581024</xdr:rowOff>
    </xdr:from>
    <xdr:to>
      <xdr:col>7</xdr:col>
      <xdr:colOff>0</xdr:colOff>
      <xdr:row>3</xdr:row>
      <xdr:rowOff>287999</xdr:rowOff>
    </xdr:to>
    <xdr:sp macro="[0]!displayDataViewQuery" textlink="">
      <xdr:nvSpPr>
        <xdr:cNvPr id="2" name="Rectangle 1"/>
        <xdr:cNvSpPr/>
      </xdr:nvSpPr>
      <xdr:spPr>
        <a:xfrm>
          <a:off x="4953000" y="981074"/>
          <a:ext cx="1600200" cy="28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AFFICHER / RAFFRAICHIR</a:t>
          </a:r>
        </a:p>
      </xdr:txBody>
    </xdr:sp>
    <xdr:clientData/>
  </xdr:twoCellAnchor>
  <xdr:twoCellAnchor>
    <xdr:from>
      <xdr:col>7</xdr:col>
      <xdr:colOff>61913</xdr:colOff>
      <xdr:row>2</xdr:row>
      <xdr:rowOff>9524</xdr:rowOff>
    </xdr:from>
    <xdr:to>
      <xdr:col>8</xdr:col>
      <xdr:colOff>604838</xdr:colOff>
      <xdr:row>2</xdr:row>
      <xdr:rowOff>297524</xdr:rowOff>
    </xdr:to>
    <xdr:sp macro="[0]!showDataSourcesSourcesList" textlink="">
      <xdr:nvSpPr>
        <xdr:cNvPr id="3" name="Rectangle 2"/>
        <xdr:cNvSpPr/>
      </xdr:nvSpPr>
      <xdr:spPr>
        <a:xfrm>
          <a:off x="6615113" y="409574"/>
          <a:ext cx="1304925" cy="288000"/>
        </a:xfrm>
        <a:prstGeom prst="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LISTE DES SOURCES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212100</xdr:colOff>
      <xdr:row>0</xdr:row>
      <xdr:rowOff>326100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38100" y="38100"/>
          <a:ext cx="936000" cy="288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Accueil</a:t>
          </a:r>
        </a:p>
      </xdr:txBody>
    </xdr:sp>
    <xdr:clientData/>
  </xdr:twoCellAnchor>
  <xdr:twoCellAnchor>
    <xdr:from>
      <xdr:col>8</xdr:col>
      <xdr:colOff>657225</xdr:colOff>
      <xdr:row>2</xdr:row>
      <xdr:rowOff>9525</xdr:rowOff>
    </xdr:from>
    <xdr:to>
      <xdr:col>10</xdr:col>
      <xdr:colOff>504825</xdr:colOff>
      <xdr:row>2</xdr:row>
      <xdr:rowOff>297525</xdr:rowOff>
    </xdr:to>
    <xdr:sp macro="[0]!DbExport" textlink="">
      <xdr:nvSpPr>
        <xdr:cNvPr id="6" name="Rectangle 5"/>
        <xdr:cNvSpPr/>
      </xdr:nvSpPr>
      <xdr:spPr>
        <a:xfrm>
          <a:off x="7972425" y="409575"/>
          <a:ext cx="1371600" cy="288000"/>
        </a:xfrm>
        <a:prstGeom prst="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EXPORT DU SCHEMA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5" name="Tableau5" displayName="Tableau5" ref="B5:G17" totalsRowShown="0">
  <autoFilter ref="B5:G17"/>
  <tableColumns count="6">
    <tableColumn id="1" name="id"/>
    <tableColumn id="2" name="user"/>
    <tableColumn id="3" name="debut" dataDxfId="1"/>
    <tableColumn id="4" name="fin" dataDxfId="0"/>
    <tableColumn id="5" name="activite"/>
    <tableColumn id="6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27"/>
  <sheetViews>
    <sheetView showGridLines="0" showRowColHeaders="0" tabSelected="1" workbookViewId="0">
      <selection sqref="A1:V1"/>
    </sheetView>
  </sheetViews>
  <sheetFormatPr baseColWidth="10" defaultRowHeight="15" x14ac:dyDescent="0.25"/>
  <sheetData>
    <row r="1" spans="1:25" ht="29.25" customHeight="1" x14ac:dyDescent="0.25">
      <c r="A1" s="52" t="s">
        <v>36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36"/>
      <c r="X1" s="36"/>
      <c r="Y1" s="36"/>
    </row>
    <row r="19" spans="2:8" x14ac:dyDescent="0.25">
      <c r="B19" s="43" t="s">
        <v>45</v>
      </c>
      <c r="C19" s="43"/>
      <c r="D19" s="43"/>
      <c r="E19" s="43"/>
      <c r="F19" s="43"/>
      <c r="G19" s="43"/>
      <c r="H19" s="43"/>
    </row>
    <row r="20" spans="2:8" x14ac:dyDescent="0.25">
      <c r="B20" t="s">
        <v>44</v>
      </c>
    </row>
    <row r="21" spans="2:8" x14ac:dyDescent="0.25">
      <c r="B21" t="s">
        <v>46</v>
      </c>
    </row>
    <row r="22" spans="2:8" x14ac:dyDescent="0.25">
      <c r="B22" t="s">
        <v>48</v>
      </c>
    </row>
    <row r="23" spans="2:8" x14ac:dyDescent="0.25">
      <c r="B23" t="s">
        <v>47</v>
      </c>
    </row>
    <row r="24" spans="2:8" x14ac:dyDescent="0.25">
      <c r="B24" t="s">
        <v>49</v>
      </c>
    </row>
    <row r="25" spans="2:8" x14ac:dyDescent="0.25">
      <c r="B25" t="s">
        <v>50</v>
      </c>
    </row>
    <row r="26" spans="2:8" x14ac:dyDescent="0.25">
      <c r="B26" t="s">
        <v>51</v>
      </c>
    </row>
    <row r="27" spans="2:8" x14ac:dyDescent="0.25">
      <c r="B27" t="s">
        <v>52</v>
      </c>
    </row>
  </sheetData>
  <mergeCells count="1">
    <mergeCell ref="A1:V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ily_view"/>
  <dimension ref="A1:H17"/>
  <sheetViews>
    <sheetView showGridLines="0" showRowColHeaders="0" workbookViewId="0">
      <selection activeCell="B4" sqref="B4"/>
    </sheetView>
  </sheetViews>
  <sheetFormatPr baseColWidth="10" defaultRowHeight="15" x14ac:dyDescent="0.25"/>
  <cols>
    <col min="1" max="1" width="12.7109375" customWidth="1"/>
    <col min="2" max="2" width="10.5703125" customWidth="1"/>
    <col min="3" max="3" width="193.5703125" customWidth="1"/>
  </cols>
  <sheetData>
    <row r="1" spans="1:8" ht="29.25" customHeight="1" x14ac:dyDescent="0.25">
      <c r="A1" s="52" t="s">
        <v>35</v>
      </c>
      <c r="B1" s="52"/>
      <c r="C1" s="52"/>
      <c r="D1" s="52"/>
      <c r="E1" s="52"/>
      <c r="F1" s="52"/>
      <c r="G1" s="52"/>
      <c r="H1" s="49"/>
    </row>
    <row r="2" spans="1:8" ht="19.7" customHeight="1" x14ac:dyDescent="0.25"/>
    <row r="3" spans="1:8" ht="27" customHeight="1" x14ac:dyDescent="0.25">
      <c r="C3" s="48">
        <v>45315</v>
      </c>
    </row>
    <row r="4" spans="1:8" ht="3.75" customHeight="1" x14ac:dyDescent="0.25"/>
    <row r="5" spans="1:8" ht="22.5" customHeight="1" x14ac:dyDescent="0.25">
      <c r="B5" s="37">
        <v>0.29166666666666669</v>
      </c>
      <c r="C5" s="34"/>
    </row>
    <row r="6" spans="1:8" ht="22.5" customHeight="1" x14ac:dyDescent="0.25">
      <c r="B6" s="37">
        <v>0.33333333333333331</v>
      </c>
      <c r="C6" s="35"/>
    </row>
    <row r="7" spans="1:8" ht="22.5" customHeight="1" x14ac:dyDescent="0.25">
      <c r="B7" s="37">
        <v>0.375</v>
      </c>
      <c r="C7" s="34"/>
    </row>
    <row r="8" spans="1:8" ht="22.5" customHeight="1" x14ac:dyDescent="0.25">
      <c r="B8" s="37">
        <v>0.41666666666666702</v>
      </c>
      <c r="C8" s="35"/>
    </row>
    <row r="9" spans="1:8" ht="22.5" customHeight="1" x14ac:dyDescent="0.25">
      <c r="B9" s="37">
        <v>0.45833333333333398</v>
      </c>
      <c r="C9" s="34"/>
    </row>
    <row r="10" spans="1:8" ht="22.5" customHeight="1" x14ac:dyDescent="0.25">
      <c r="B10" s="37">
        <v>0.5</v>
      </c>
      <c r="C10" s="35"/>
    </row>
    <row r="11" spans="1:8" ht="22.5" customHeight="1" x14ac:dyDescent="0.25">
      <c r="B11" s="37">
        <v>0.54166666666666696</v>
      </c>
      <c r="C11" s="34"/>
    </row>
    <row r="12" spans="1:8" ht="22.5" customHeight="1" x14ac:dyDescent="0.25">
      <c r="B12" s="37">
        <v>0.58333333333333304</v>
      </c>
      <c r="C12" s="35"/>
    </row>
    <row r="13" spans="1:8" ht="22.5" customHeight="1" x14ac:dyDescent="0.25">
      <c r="B13" s="37">
        <v>0.625</v>
      </c>
      <c r="C13" s="34"/>
    </row>
    <row r="14" spans="1:8" ht="22.5" customHeight="1" x14ac:dyDescent="0.25">
      <c r="B14" s="37">
        <v>0.66666666666666696</v>
      </c>
      <c r="C14" s="35"/>
    </row>
    <row r="15" spans="1:8" ht="22.5" customHeight="1" x14ac:dyDescent="0.25">
      <c r="B15" s="37">
        <v>0.70833333333333304</v>
      </c>
      <c r="C15" s="34"/>
    </row>
    <row r="16" spans="1:8" ht="22.5" customHeight="1" x14ac:dyDescent="0.25">
      <c r="B16" s="37">
        <v>0.75</v>
      </c>
      <c r="C16" s="35"/>
    </row>
    <row r="17" spans="2:3" ht="22.5" customHeight="1" x14ac:dyDescent="0.25">
      <c r="B17" s="37">
        <v>0.79166666666666696</v>
      </c>
      <c r="C17" s="34"/>
    </row>
  </sheetData>
  <dataConsolidate/>
  <mergeCells count="1">
    <mergeCell ref="A1:G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_view"/>
  <dimension ref="A1:Q19"/>
  <sheetViews>
    <sheetView showGridLines="0" showRowColHeaders="0" workbookViewId="0">
      <selection activeCell="B4" sqref="B4"/>
    </sheetView>
  </sheetViews>
  <sheetFormatPr baseColWidth="10" defaultRowHeight="15" x14ac:dyDescent="0.25"/>
  <cols>
    <col min="1" max="1" width="2.7109375" customWidth="1"/>
    <col min="2" max="2" width="10.7109375" customWidth="1"/>
    <col min="3" max="3" width="9.85546875" customWidth="1"/>
    <col min="4" max="4" width="38.42578125" customWidth="1"/>
    <col min="5" max="5" width="1.7109375" customWidth="1"/>
    <col min="6" max="6" width="38.42578125" customWidth="1"/>
    <col min="7" max="7" width="1.7109375" customWidth="1"/>
    <col min="8" max="8" width="38.42578125" customWidth="1"/>
    <col min="9" max="9" width="1.7109375" customWidth="1"/>
    <col min="10" max="10" width="38.42578125" customWidth="1"/>
    <col min="11" max="11" width="1.7109375" customWidth="1"/>
    <col min="12" max="12" width="38.42578125" customWidth="1"/>
  </cols>
  <sheetData>
    <row r="1" spans="1:17" ht="29.25" customHeight="1" x14ac:dyDescent="0.25">
      <c r="A1" s="53" t="s">
        <v>43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"/>
      <c r="O1" s="5"/>
      <c r="P1" s="5"/>
      <c r="Q1" s="5"/>
    </row>
    <row r="2" spans="1:17" ht="4.5" customHeight="1" x14ac:dyDescent="0.25"/>
    <row r="3" spans="1:17" x14ac:dyDescent="0.25">
      <c r="G3" s="7"/>
      <c r="H3" s="8" t="s">
        <v>0</v>
      </c>
      <c r="I3" s="7"/>
      <c r="J3" s="7"/>
    </row>
    <row r="4" spans="1:17" ht="27" customHeight="1" x14ac:dyDescent="0.25">
      <c r="D4" s="38"/>
      <c r="E4" s="39"/>
      <c r="F4" s="39"/>
      <c r="G4" s="39"/>
      <c r="H4" s="40">
        <v>45317</v>
      </c>
      <c r="I4" s="41"/>
      <c r="J4" s="41"/>
      <c r="K4" s="39"/>
      <c r="L4" s="42"/>
    </row>
    <row r="6" spans="1:17" ht="18.75" x14ac:dyDescent="0.25">
      <c r="D6" s="4">
        <f>CALENDAR_DATE-WEEKDAY(CALENDAR_DATE,2)+1</f>
        <v>45313</v>
      </c>
      <c r="F6" s="4">
        <f>D6+1</f>
        <v>45314</v>
      </c>
      <c r="H6" s="4">
        <f>D6+2</f>
        <v>45315</v>
      </c>
      <c r="J6" s="4">
        <f>H6+1</f>
        <v>45316</v>
      </c>
      <c r="L6" s="4">
        <f>J6+1</f>
        <v>45317</v>
      </c>
    </row>
    <row r="7" spans="1:17" ht="26.25" customHeight="1" x14ac:dyDescent="0.25">
      <c r="C7" s="3">
        <v>0.29166666666666669</v>
      </c>
      <c r="D7" s="2"/>
      <c r="F7" s="2"/>
      <c r="H7" s="2"/>
      <c r="J7" s="2"/>
      <c r="L7" s="2"/>
    </row>
    <row r="8" spans="1:17" ht="26.25" customHeight="1" x14ac:dyDescent="0.25">
      <c r="C8" s="3">
        <v>0.33333333333333331</v>
      </c>
      <c r="D8" s="1"/>
      <c r="F8" s="1"/>
      <c r="H8" s="1"/>
      <c r="J8" s="1"/>
      <c r="L8" s="1"/>
    </row>
    <row r="9" spans="1:17" ht="26.25" customHeight="1" x14ac:dyDescent="0.25">
      <c r="C9" s="3">
        <v>0.375</v>
      </c>
      <c r="D9" s="2"/>
      <c r="F9" s="2"/>
      <c r="H9" s="2"/>
      <c r="J9" s="2"/>
      <c r="L9" s="2"/>
    </row>
    <row r="10" spans="1:17" ht="26.25" customHeight="1" x14ac:dyDescent="0.25">
      <c r="C10" s="3">
        <v>0.41666666666666669</v>
      </c>
      <c r="D10" s="1"/>
      <c r="F10" s="1"/>
      <c r="H10" s="1"/>
      <c r="J10" s="1"/>
      <c r="L10" s="1"/>
    </row>
    <row r="11" spans="1:17" ht="26.25" customHeight="1" x14ac:dyDescent="0.25">
      <c r="C11" s="3">
        <v>0.45833333333333331</v>
      </c>
      <c r="D11" s="2"/>
      <c r="F11" s="2"/>
      <c r="H11" s="2"/>
      <c r="J11" s="2"/>
      <c r="L11" s="2"/>
    </row>
    <row r="12" spans="1:17" ht="26.25" customHeight="1" x14ac:dyDescent="0.25">
      <c r="C12" s="3">
        <v>0.5</v>
      </c>
      <c r="D12" s="1"/>
      <c r="F12" s="1"/>
      <c r="H12" s="1"/>
      <c r="J12" s="1"/>
      <c r="L12" s="1"/>
    </row>
    <row r="13" spans="1:17" ht="26.25" customHeight="1" x14ac:dyDescent="0.25">
      <c r="C13" s="3">
        <v>0.54166666666666663</v>
      </c>
      <c r="D13" s="2"/>
      <c r="F13" s="2"/>
      <c r="H13" s="2"/>
      <c r="J13" s="2"/>
      <c r="L13" s="2"/>
    </row>
    <row r="14" spans="1:17" ht="26.25" customHeight="1" x14ac:dyDescent="0.25">
      <c r="C14" s="3">
        <v>0.58333333333333337</v>
      </c>
      <c r="D14" s="1"/>
      <c r="F14" s="1"/>
      <c r="H14" s="1"/>
      <c r="J14" s="1"/>
      <c r="L14" s="1"/>
    </row>
    <row r="15" spans="1:17" ht="26.25" customHeight="1" x14ac:dyDescent="0.25">
      <c r="C15" s="3">
        <v>0.625</v>
      </c>
      <c r="D15" s="2"/>
      <c r="F15" s="2"/>
      <c r="H15" s="2"/>
      <c r="J15" s="2"/>
      <c r="L15" s="2"/>
    </row>
    <row r="16" spans="1:17" ht="26.25" customHeight="1" x14ac:dyDescent="0.25">
      <c r="C16" s="3">
        <v>0.66666666666666663</v>
      </c>
      <c r="D16" s="1"/>
      <c r="F16" s="1"/>
      <c r="H16" s="1"/>
      <c r="J16" s="1"/>
      <c r="L16" s="1"/>
    </row>
    <row r="17" spans="3:12" ht="26.25" customHeight="1" x14ac:dyDescent="0.25">
      <c r="C17" s="3">
        <v>0.70833333333333337</v>
      </c>
      <c r="D17" s="2"/>
      <c r="F17" s="2"/>
      <c r="H17" s="2"/>
      <c r="J17" s="2"/>
      <c r="L17" s="2"/>
    </row>
    <row r="18" spans="3:12" ht="26.25" customHeight="1" x14ac:dyDescent="0.25">
      <c r="C18" s="3">
        <v>0.75</v>
      </c>
      <c r="D18" s="1"/>
      <c r="F18" s="1"/>
      <c r="H18" s="1"/>
      <c r="J18" s="1"/>
      <c r="L18" s="1"/>
    </row>
    <row r="19" spans="3:12" ht="26.25" customHeight="1" x14ac:dyDescent="0.25">
      <c r="C19" s="3">
        <v>0.79166666666666663</v>
      </c>
      <c r="D19" s="2"/>
      <c r="F19" s="2"/>
      <c r="H19" s="2"/>
      <c r="J19" s="2"/>
      <c r="L19" s="2"/>
    </row>
  </sheetData>
  <mergeCells count="1">
    <mergeCell ref="A1:M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W12"/>
  <sheetViews>
    <sheetView showGridLines="0" showRowColHeaders="0" workbookViewId="0">
      <selection sqref="A1:U1"/>
    </sheetView>
  </sheetViews>
  <sheetFormatPr baseColWidth="10" defaultRowHeight="15" x14ac:dyDescent="0.25"/>
  <cols>
    <col min="2" max="2" width="20.42578125" customWidth="1"/>
  </cols>
  <sheetData>
    <row r="1" spans="1:23" ht="29.25" customHeight="1" x14ac:dyDescent="0.25">
      <c r="A1" s="54" t="s">
        <v>38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44"/>
      <c r="W1" s="44"/>
    </row>
    <row r="3" spans="1:23" x14ac:dyDescent="0.25">
      <c r="B3" t="s">
        <v>37</v>
      </c>
    </row>
    <row r="4" spans="1:23" x14ac:dyDescent="0.25">
      <c r="B4" t="s">
        <v>42</v>
      </c>
    </row>
    <row r="6" spans="1:23" x14ac:dyDescent="0.25">
      <c r="B6" t="s">
        <v>39</v>
      </c>
    </row>
    <row r="7" spans="1:23" ht="5.0999999999999996" customHeight="1" x14ac:dyDescent="0.25"/>
    <row r="8" spans="1:23" ht="20.100000000000001" customHeight="1" x14ac:dyDescent="0.25">
      <c r="B8" s="45" t="s">
        <v>40</v>
      </c>
    </row>
    <row r="9" spans="1:23" ht="5.0999999999999996" customHeight="1" x14ac:dyDescent="0.25"/>
    <row r="10" spans="1:23" ht="20.100000000000001" customHeight="1" x14ac:dyDescent="0.25">
      <c r="B10" s="46" t="s">
        <v>41</v>
      </c>
    </row>
    <row r="11" spans="1:23" ht="5.0999999999999996" customHeight="1" x14ac:dyDescent="0.25"/>
    <row r="12" spans="1:23" ht="20.100000000000001" customHeight="1" x14ac:dyDescent="0.25">
      <c r="B12" s="47" t="s">
        <v>33</v>
      </c>
    </row>
  </sheetData>
  <mergeCells count="1">
    <mergeCell ref="A1:U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11"/>
  <sheetViews>
    <sheetView workbookViewId="0">
      <selection activeCell="B12" sqref="B12"/>
    </sheetView>
  </sheetViews>
  <sheetFormatPr baseColWidth="10" defaultRowHeight="15" x14ac:dyDescent="0.25"/>
  <cols>
    <col min="1" max="1" width="3.42578125" customWidth="1"/>
    <col min="2" max="2" width="29.42578125" customWidth="1"/>
  </cols>
  <sheetData>
    <row r="1" spans="1:20" ht="27" customHeight="1" x14ac:dyDescent="0.25">
      <c r="A1" s="55" t="s">
        <v>5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</row>
    <row r="2" spans="1:20" ht="27" customHeight="1" x14ac:dyDescent="0.25"/>
    <row r="5" spans="1:20" x14ac:dyDescent="0.25">
      <c r="B5" t="s">
        <v>1</v>
      </c>
    </row>
    <row r="6" spans="1:20" ht="14.25" customHeight="1" x14ac:dyDescent="0.25">
      <c r="B6" t="s">
        <v>2</v>
      </c>
    </row>
    <row r="7" spans="1:20" x14ac:dyDescent="0.25">
      <c r="B7" t="s">
        <v>4</v>
      </c>
    </row>
    <row r="8" spans="1:20" ht="3.75" customHeight="1" x14ac:dyDescent="0.25"/>
    <row r="9" spans="1:20" x14ac:dyDescent="0.25">
      <c r="B9" s="6" t="s">
        <v>3</v>
      </c>
    </row>
    <row r="10" spans="1:20" x14ac:dyDescent="0.25">
      <c r="B10" t="s">
        <v>32</v>
      </c>
    </row>
    <row r="11" spans="1:20" x14ac:dyDescent="0.25">
      <c r="B11" t="s">
        <v>33</v>
      </c>
    </row>
  </sheetData>
  <mergeCells count="1">
    <mergeCell ref="A1:T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Q18"/>
  <sheetViews>
    <sheetView showGridLines="0" showRowColHeaders="0" workbookViewId="0">
      <selection sqref="A1:Q1"/>
    </sheetView>
  </sheetViews>
  <sheetFormatPr baseColWidth="10" defaultColWidth="11.42578125" defaultRowHeight="15" x14ac:dyDescent="0.25"/>
  <cols>
    <col min="1" max="1" width="3.42578125" customWidth="1"/>
    <col min="2" max="4" width="25.140625" customWidth="1"/>
    <col min="5" max="5" width="28.28515625" customWidth="1"/>
    <col min="6" max="6" width="21.140625" customWidth="1"/>
    <col min="7" max="7" width="18.28515625" customWidth="1"/>
  </cols>
  <sheetData>
    <row r="1" spans="1:17" ht="31.5" customHeight="1" x14ac:dyDescent="0.25">
      <c r="A1" s="56" t="s">
        <v>6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</row>
    <row r="3" spans="1:17" ht="22.5" customHeight="1" x14ac:dyDescent="0.25"/>
    <row r="4" spans="1:17" ht="20.25" customHeight="1" thickBot="1" x14ac:dyDescent="0.3">
      <c r="B4" s="9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21" t="s">
        <v>12</v>
      </c>
    </row>
    <row r="5" spans="1:17" ht="20.25" customHeight="1" thickTop="1" x14ac:dyDescent="0.25">
      <c r="B5" s="11" t="s">
        <v>13</v>
      </c>
      <c r="C5" s="12"/>
      <c r="D5" s="12"/>
      <c r="E5" s="12"/>
      <c r="F5" s="19" t="s">
        <v>14</v>
      </c>
      <c r="G5" s="22" t="s">
        <v>15</v>
      </c>
    </row>
    <row r="6" spans="1:17" ht="20.25" customHeight="1" x14ac:dyDescent="0.25">
      <c r="B6" s="13" t="s">
        <v>16</v>
      </c>
      <c r="C6" s="14"/>
      <c r="D6" s="14"/>
      <c r="E6" s="14"/>
      <c r="F6" s="20" t="s">
        <v>14</v>
      </c>
      <c r="G6" s="33" t="s">
        <v>34</v>
      </c>
    </row>
    <row r="7" spans="1:17" ht="20.25" customHeight="1" x14ac:dyDescent="0.25">
      <c r="B7" s="11" t="s">
        <v>17</v>
      </c>
      <c r="C7" s="12"/>
      <c r="D7" s="12"/>
      <c r="E7" s="12"/>
      <c r="F7" s="19" t="s">
        <v>14</v>
      </c>
      <c r="G7" s="23" t="s">
        <v>18</v>
      </c>
    </row>
    <row r="8" spans="1:17" ht="20.25" customHeight="1" x14ac:dyDescent="0.25">
      <c r="B8" s="13" t="s">
        <v>19</v>
      </c>
      <c r="C8" s="14"/>
      <c r="D8" s="14"/>
      <c r="E8" s="14"/>
      <c r="F8" s="20" t="s">
        <v>14</v>
      </c>
      <c r="G8" s="24" t="s">
        <v>19</v>
      </c>
    </row>
    <row r="9" spans="1:17" ht="20.25" customHeight="1" x14ac:dyDescent="0.25">
      <c r="B9" s="11" t="s">
        <v>20</v>
      </c>
      <c r="C9" s="12"/>
      <c r="D9" s="12"/>
      <c r="E9" s="12"/>
      <c r="F9" s="19" t="s">
        <v>14</v>
      </c>
      <c r="G9" s="24" t="s">
        <v>20</v>
      </c>
    </row>
    <row r="10" spans="1:17" ht="20.25" customHeight="1" x14ac:dyDescent="0.25">
      <c r="B10" s="17" t="s">
        <v>21</v>
      </c>
      <c r="C10" s="18"/>
      <c r="D10" s="18" t="s">
        <v>30</v>
      </c>
      <c r="E10" s="18"/>
      <c r="F10" s="20" t="s">
        <v>14</v>
      </c>
      <c r="G10" s="25" t="s">
        <v>30</v>
      </c>
    </row>
    <row r="11" spans="1:17" ht="20.25" customHeight="1" x14ac:dyDescent="0.25">
      <c r="B11" s="13" t="s">
        <v>21</v>
      </c>
      <c r="C11" s="18"/>
      <c r="D11" s="14" t="s">
        <v>31</v>
      </c>
      <c r="E11" s="14"/>
      <c r="F11" s="20" t="s">
        <v>14</v>
      </c>
      <c r="G11" s="26" t="s">
        <v>22</v>
      </c>
    </row>
    <row r="12" spans="1:17" ht="20.25" customHeight="1" x14ac:dyDescent="0.25">
      <c r="B12" s="11" t="s">
        <v>23</v>
      </c>
      <c r="C12" s="12"/>
      <c r="D12" s="12"/>
      <c r="E12" s="12"/>
      <c r="F12" s="19" t="s">
        <v>14</v>
      </c>
      <c r="G12" s="27" t="s">
        <v>23</v>
      </c>
    </row>
    <row r="13" spans="1:17" ht="20.25" customHeight="1" x14ac:dyDescent="0.25">
      <c r="B13" s="13" t="s">
        <v>24</v>
      </c>
      <c r="C13" s="14"/>
      <c r="D13" s="14"/>
      <c r="E13" s="14"/>
      <c r="F13" s="20" t="s">
        <v>14</v>
      </c>
      <c r="G13" s="27" t="s">
        <v>24</v>
      </c>
    </row>
    <row r="14" spans="1:17" ht="18" customHeight="1" x14ac:dyDescent="0.25">
      <c r="B14" s="11" t="s">
        <v>25</v>
      </c>
      <c r="C14" s="12"/>
      <c r="D14" s="12"/>
      <c r="E14" s="12"/>
      <c r="F14" s="19" t="s">
        <v>14</v>
      </c>
      <c r="G14" s="28" t="s">
        <v>25</v>
      </c>
    </row>
    <row r="15" spans="1:17" ht="15.75" x14ac:dyDescent="0.25">
      <c r="B15" s="13" t="s">
        <v>26</v>
      </c>
      <c r="C15" s="14"/>
      <c r="D15" s="14"/>
      <c r="E15" s="14"/>
      <c r="F15" s="20" t="s">
        <v>14</v>
      </c>
      <c r="G15" s="29" t="s">
        <v>26</v>
      </c>
    </row>
    <row r="16" spans="1:17" ht="15.75" x14ac:dyDescent="0.25">
      <c r="B16" s="15" t="s">
        <v>27</v>
      </c>
      <c r="C16" s="16"/>
      <c r="D16" s="16"/>
      <c r="E16" s="16"/>
      <c r="F16" s="19" t="s">
        <v>14</v>
      </c>
      <c r="G16" s="30" t="s">
        <v>27</v>
      </c>
    </row>
    <row r="17" spans="2:7" ht="21" x14ac:dyDescent="0.25">
      <c r="B17" s="17" t="s">
        <v>13</v>
      </c>
      <c r="C17" s="18"/>
      <c r="D17" s="18" t="s">
        <v>28</v>
      </c>
      <c r="E17" s="18"/>
      <c r="F17" s="20" t="s">
        <v>14</v>
      </c>
      <c r="G17" s="31" t="s">
        <v>28</v>
      </c>
    </row>
    <row r="18" spans="2:7" ht="15.75" x14ac:dyDescent="0.25">
      <c r="B18" s="15" t="s">
        <v>29</v>
      </c>
      <c r="C18" s="16"/>
      <c r="D18" s="16"/>
      <c r="E18" s="16"/>
      <c r="F18" s="19" t="s">
        <v>14</v>
      </c>
      <c r="G18" s="32" t="s">
        <v>29</v>
      </c>
    </row>
  </sheetData>
  <mergeCells count="1">
    <mergeCell ref="A1:Q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V17"/>
  <sheetViews>
    <sheetView showGridLines="0" showRowColHeaders="0" workbookViewId="0">
      <selection activeCell="B3" sqref="B3:G3"/>
    </sheetView>
  </sheetViews>
  <sheetFormatPr baseColWidth="10" defaultRowHeight="15" x14ac:dyDescent="0.25"/>
  <cols>
    <col min="2" max="2" width="5" bestFit="1" customWidth="1"/>
    <col min="3" max="3" width="11" bestFit="1" customWidth="1"/>
    <col min="4" max="5" width="10.7109375" bestFit="1" customWidth="1"/>
    <col min="6" max="6" width="20.7109375" bestFit="1" customWidth="1"/>
    <col min="7" max="7" width="28.7109375" bestFit="1" customWidth="1"/>
  </cols>
  <sheetData>
    <row r="1" spans="1:22" ht="27.75" customHeight="1" x14ac:dyDescent="0.35">
      <c r="A1" s="56" t="s">
        <v>71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1"/>
      <c r="U1" s="51"/>
      <c r="V1" s="51"/>
    </row>
    <row r="2" spans="1:22" ht="3.75" customHeight="1" x14ac:dyDescent="0.25"/>
    <row r="3" spans="1:22" ht="45.75" customHeight="1" x14ac:dyDescent="0.25">
      <c r="B3" s="57" t="s">
        <v>72</v>
      </c>
      <c r="C3" s="58"/>
      <c r="D3" s="58"/>
      <c r="E3" s="58"/>
      <c r="F3" s="58"/>
      <c r="G3" s="59"/>
    </row>
    <row r="4" spans="1:22" ht="31.5" customHeight="1" x14ac:dyDescent="0.25"/>
    <row r="5" spans="1:22" x14ac:dyDescent="0.25">
      <c r="B5" t="s">
        <v>53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</row>
    <row r="6" spans="1:22" x14ac:dyDescent="0.25">
      <c r="B6">
        <v>1</v>
      </c>
      <c r="C6" t="s">
        <v>59</v>
      </c>
      <c r="D6" s="50">
        <v>45324.333333333336</v>
      </c>
      <c r="E6" s="50">
        <v>45324.395833333336</v>
      </c>
      <c r="F6" t="s">
        <v>40</v>
      </c>
      <c r="G6" t="s">
        <v>73</v>
      </c>
    </row>
    <row r="7" spans="1:22" x14ac:dyDescent="0.25">
      <c r="B7">
        <v>4</v>
      </c>
      <c r="C7" t="s">
        <v>60</v>
      </c>
      <c r="D7" s="50">
        <v>45315.583333333336</v>
      </c>
      <c r="E7" s="50">
        <v>45315.677083333336</v>
      </c>
      <c r="F7" t="s">
        <v>40</v>
      </c>
      <c r="G7" t="s">
        <v>61</v>
      </c>
    </row>
    <row r="8" spans="1:22" x14ac:dyDescent="0.25">
      <c r="B8">
        <v>5</v>
      </c>
      <c r="C8" t="s">
        <v>60</v>
      </c>
      <c r="D8" s="50">
        <v>45324.541666666664</v>
      </c>
      <c r="E8" s="50">
        <v>45324.634027777778</v>
      </c>
      <c r="F8" t="s">
        <v>40</v>
      </c>
      <c r="G8" t="s">
        <v>62</v>
      </c>
    </row>
    <row r="9" spans="1:22" x14ac:dyDescent="0.25">
      <c r="B9">
        <v>8</v>
      </c>
      <c r="D9" s="50">
        <v>45361.416666666664</v>
      </c>
      <c r="E9" s="50">
        <v>45361.458333333336</v>
      </c>
      <c r="F9" t="s">
        <v>33</v>
      </c>
      <c r="G9" t="s">
        <v>63</v>
      </c>
    </row>
    <row r="10" spans="1:22" x14ac:dyDescent="0.25">
      <c r="B10">
        <v>9</v>
      </c>
      <c r="C10" t="s">
        <v>59</v>
      </c>
      <c r="D10" s="50">
        <v>45362.375</v>
      </c>
      <c r="E10" s="50">
        <v>45362.5625</v>
      </c>
      <c r="F10" t="s">
        <v>33</v>
      </c>
      <c r="G10" t="s">
        <v>74</v>
      </c>
    </row>
    <row r="11" spans="1:22" x14ac:dyDescent="0.25">
      <c r="B11">
        <v>10</v>
      </c>
      <c r="D11" s="50">
        <v>45301.423611111109</v>
      </c>
      <c r="E11" s="50">
        <v>45301.520833333336</v>
      </c>
      <c r="F11" t="s">
        <v>33</v>
      </c>
      <c r="G11" t="s">
        <v>64</v>
      </c>
    </row>
    <row r="12" spans="1:22" x14ac:dyDescent="0.25">
      <c r="B12">
        <v>13</v>
      </c>
      <c r="C12" t="s">
        <v>59</v>
      </c>
      <c r="D12" s="50">
        <v>45315.541666666664</v>
      </c>
      <c r="E12" s="50">
        <v>45315.614583333336</v>
      </c>
      <c r="F12" t="s">
        <v>33</v>
      </c>
      <c r="G12" t="s">
        <v>65</v>
      </c>
    </row>
    <row r="13" spans="1:22" x14ac:dyDescent="0.25">
      <c r="B13">
        <v>14</v>
      </c>
      <c r="C13" t="s">
        <v>59</v>
      </c>
      <c r="D13" s="50">
        <v>45315.541666666664</v>
      </c>
      <c r="E13" s="50">
        <v>45315.723611111112</v>
      </c>
      <c r="F13" t="s">
        <v>33</v>
      </c>
      <c r="G13" t="s">
        <v>66</v>
      </c>
    </row>
    <row r="14" spans="1:22" x14ac:dyDescent="0.25">
      <c r="B14">
        <v>15</v>
      </c>
      <c r="C14" t="s">
        <v>59</v>
      </c>
      <c r="D14" s="50">
        <v>45315.333333333336</v>
      </c>
      <c r="E14" s="50">
        <v>45315.479166666664</v>
      </c>
      <c r="F14" t="s">
        <v>41</v>
      </c>
      <c r="G14" t="s">
        <v>67</v>
      </c>
    </row>
    <row r="15" spans="1:22" x14ac:dyDescent="0.25">
      <c r="B15">
        <v>18</v>
      </c>
      <c r="C15" t="s">
        <v>59</v>
      </c>
      <c r="D15" s="50">
        <v>45313.333333333336</v>
      </c>
      <c r="E15" s="50">
        <v>45313.46875</v>
      </c>
      <c r="F15" t="s">
        <v>68</v>
      </c>
      <c r="G15" t="s">
        <v>41</v>
      </c>
    </row>
    <row r="16" spans="1:22" x14ac:dyDescent="0.25">
      <c r="B16">
        <v>19</v>
      </c>
      <c r="C16" t="s">
        <v>59</v>
      </c>
      <c r="D16" s="50">
        <v>45315.416666666664</v>
      </c>
      <c r="E16" s="50">
        <v>45315.520833333336</v>
      </c>
      <c r="F16" t="s">
        <v>68</v>
      </c>
      <c r="G16" t="s">
        <v>69</v>
      </c>
    </row>
    <row r="17" spans="2:7" x14ac:dyDescent="0.25">
      <c r="B17">
        <v>20</v>
      </c>
      <c r="C17" t="s">
        <v>59</v>
      </c>
      <c r="D17" s="50">
        <v>45320.4375</v>
      </c>
      <c r="E17" s="50">
        <v>45320.635416666664</v>
      </c>
      <c r="F17" t="s">
        <v>68</v>
      </c>
      <c r="G17" t="s">
        <v>70</v>
      </c>
    </row>
  </sheetData>
  <mergeCells count="2">
    <mergeCell ref="A1:S1"/>
    <mergeCell ref="B3:G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9</vt:i4>
      </vt:variant>
    </vt:vector>
  </HeadingPairs>
  <TitlesOfParts>
    <vt:vector size="16" baseType="lpstr">
      <vt:lpstr>Accueil</vt:lpstr>
      <vt:lpstr>journalier</vt:lpstr>
      <vt:lpstr>hebdomadaire</vt:lpstr>
      <vt:lpstr>activités</vt:lpstr>
      <vt:lpstr>params</vt:lpstr>
      <vt:lpstr>Form_Theme</vt:lpstr>
      <vt:lpstr>DATA_VIEW</vt:lpstr>
      <vt:lpstr>ACTIVITES_LIST</vt:lpstr>
      <vt:lpstr>ACTIVITIES_LIST</vt:lpstr>
      <vt:lpstr>CALENDAR_DATE</vt:lpstr>
      <vt:lpstr>CALENDAR_DAY_1</vt:lpstr>
      <vt:lpstr>DAILY_HOURS</vt:lpstr>
      <vt:lpstr>DATA_VIEW_QUERY</vt:lpstr>
      <vt:lpstr>DATA_VIEW_SOURCE</vt:lpstr>
      <vt:lpstr>DISPLAYED_DAY</vt:lpstr>
      <vt:lpstr>WEEKLY_HOURS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vmoffice</dc:creator>
  <cp:lastModifiedBy>vmoffice</cp:lastModifiedBy>
  <dcterms:created xsi:type="dcterms:W3CDTF">2024-02-03T07:37:36Z</dcterms:created>
  <dcterms:modified xsi:type="dcterms:W3CDTF">2024-03-17T08:14:08Z</dcterms:modified>
</cp:coreProperties>
</file>