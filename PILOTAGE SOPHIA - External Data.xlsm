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2.xml" ContentType="application/vnd.openxmlformats-officedocument.spreadsheetml.comments+xml"/>
  <Override PartName="/xl/drawings/drawing8.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Z:\excell tools\PILOTAGE SOPHIA\"/>
    </mc:Choice>
  </mc:AlternateContent>
  <bookViews>
    <workbookView xWindow="0" yWindow="0" windowWidth="28800" windowHeight="10050" tabRatio="891" firstSheet="1" activeTab="1"/>
  </bookViews>
  <sheets>
    <sheet name="supervisions" sheetId="50" state="hidden" r:id="rId1"/>
    <sheet name="Accueil" sheetId="1" r:id="rId2"/>
    <sheet name="ICS" sheetId="24" r:id="rId3"/>
    <sheet name="Encadrement" sheetId="2" r:id="rId4"/>
    <sheet name="Calendrier" sheetId="41" r:id="rId5"/>
    <sheet name="Présence" sheetId="53" r:id="rId6"/>
    <sheet name="DataState" sheetId="54" r:id="rId7"/>
    <sheet name="PARAMETRES" sheetId="38" r:id="rId8"/>
    <sheet name="EFFECTIFS" sheetId="4" r:id="rId9"/>
    <sheet name="PLANNING_DATA" sheetId="39" r:id="rId10"/>
    <sheet name="salles" sheetId="43" state="hidden" r:id="rId11"/>
    <sheet name="referents" sheetId="44" state="hidden" r:id="rId12"/>
    <sheet name="pega" sheetId="45" state="hidden" r:id="rId13"/>
    <sheet name="formations" sheetId="46" state="hidden" r:id="rId14"/>
    <sheet name="formations_inscriptions" sheetId="47" state="hidden" r:id="rId15"/>
    <sheet name="horav" sheetId="52" state="hidden" r:id="rId16"/>
    <sheet name="flags" sheetId="51" state="hidden" r:id="rId17"/>
    <sheet name="form_skin" sheetId="31" r:id="rId18"/>
  </sheets>
  <functionGroups builtInGroupCount="18"/>
  <definedNames>
    <definedName name="_xlnm._FilterDatabase" localSheetId="8" hidden="1">EFFECTIFS!$D$5:$J$31</definedName>
    <definedName name="_xlnm._FilterDatabase" localSheetId="3" hidden="1">Encadrement!#REF!</definedName>
    <definedName name="_xlnm._FilterDatabase" localSheetId="14" hidden="1">formations_inscriptions!$A$1:$B$17</definedName>
    <definedName name="_xlnm._FilterDatabase" localSheetId="9" hidden="1">PLANNING_DATA!$A$1:$F$1</definedName>
    <definedName name="ACTIVITE_DATE">Présence!$G$4</definedName>
    <definedName name="ACTIVITE_ICS_HEADER">Présence!$B$6</definedName>
    <definedName name="ACTIVITE_TELEPHONIQUE_HEADER">Présence!$A$1</definedName>
    <definedName name="C_1_DT">Encadrement!$C$7</definedName>
    <definedName name="C_2_DT">Encadrement!$H$7</definedName>
    <definedName name="C_3_DT">Encadrement!$M$7</definedName>
    <definedName name="C_4_DT">Encadrement!$R$7</definedName>
    <definedName name="C_5_DT">Encadrement!$W$7</definedName>
    <definedName name="C_6_DT">Encadrement!$AB$7</definedName>
    <definedName name="CADRES_PLANNING_PATH">PARAMETRES!$C$6</definedName>
    <definedName name="CADRES_VUE_HEADER">Encadrement!$B$8</definedName>
    <definedName name="CALENDAR_1">Calendrier!$C$6</definedName>
    <definedName name="CALENDAR_2">Calendrier!$E$6</definedName>
    <definedName name="CALENDAR_3">Calendrier!$G$6</definedName>
    <definedName name="CALENDAR_4">Calendrier!$I$6</definedName>
    <definedName name="CALENDAR_5">Calendrier!$K$6</definedName>
    <definedName name="CALENDAR_6">Calendrier!$M$6</definedName>
    <definedName name="CALENDAR_DATE">Calendrier!$G$4</definedName>
    <definedName name="CALENDAR_HOUR_HEADER">Calendrier!$B$7</definedName>
    <definedName name="CALENDAR_TYPE_TITLE">Calendrier!$A$1</definedName>
    <definedName name="CAMENDAR_DATE">Calendrier!$G$4</definedName>
    <definedName name="CIS_1_DT">ICS!$D$7</definedName>
    <definedName name="CIS_2_DT">ICS!$K$7</definedName>
    <definedName name="CIS_3_DT">ICS!$R$7</definedName>
    <definedName name="CIS_4_DT">ICS!$Y$7</definedName>
    <definedName name="CIS_5_DT">ICS!$AF$7</definedName>
    <definedName name="CIS_6_DT">ICS!$AM$7</definedName>
    <definedName name="DATA_DATES_HEADER">DataState!$B$11</definedName>
    <definedName name="DATA_HOLE_HEADER">DataState!$B$16</definedName>
    <definedName name="DISPLAYED_TEAM_NAME">ICS!$B$6</definedName>
    <definedName name="EFFECTIF_HEAD">Tableau3[[#Headers],[n°agent]]</definedName>
    <definedName name="FAKE_USER">PARAMETRES!$C$16</definedName>
    <definedName name="HOME_DATE">Accueil!$K$8</definedName>
    <definedName name="HORAV_FILES_PATH">PARAMETRES!$C$10</definedName>
    <definedName name="ICS_PLANNING_HEADER">ICS!$B$8</definedName>
    <definedName name="ICS_PLANNING_PATH">PARAMETRES!$C$4</definedName>
    <definedName name="JOUR_CADRES">Encadrement!$O$4</definedName>
    <definedName name="JOUR_ICS">ICS!$R$4</definedName>
    <definedName name="LAST_PEGA_FILE_DATE">PARAMETRES!#REF!</definedName>
    <definedName name="PEGA_FOLDER">PARAMETRES!$C$8</definedName>
    <definedName name="PLAGE_MATIN">PARAMETRES!#REF!</definedName>
    <definedName name="PLAGE_SOIR">PARAMETRES!#REF!</definedName>
    <definedName name="REPAS_ARRIVEE_MAX">Présence!$M$4</definedName>
    <definedName name="REPAS_DEPART_MIN">Présence!$N$4</definedName>
    <definedName name="REPAS_DUREE">Présence!$O$4</definedName>
    <definedName name="SALLES_LIST">Tableau58[[#Headers],[salles possibles]]</definedName>
    <definedName name="TEMPS_COM_EXPR">PARAMETRES!$C$14</definedName>
    <definedName name="TEMPS_COM_MODEL">PARAMETRES!$C$12</definedName>
    <definedName name="USERS_LIST">Tableau8[[#Headers],[utilisateur]]</definedName>
    <definedName name="USERS_TABLE">Tableau8[[#Headers],[utilisateur]]</definedName>
    <definedName name="Z_315A58E5_6659_4E22_8975_B4F24C88D2B9_.wvu.Cols" localSheetId="3" hidden="1">Encadrement!#REF!</definedName>
    <definedName name="Z_315A58E5_6659_4E22_8975_B4F24C88D2B9_.wvu.FilterData" localSheetId="3" hidden="1">Encadrement!#REF!</definedName>
    <definedName name="Z_5863F5CF_7431_4D0A_A4E3_E0B6BDE019D1_.wvu.Cols" localSheetId="3" hidden="1">Encadrement!#REF!</definedName>
    <definedName name="Z_5863F5CF_7431_4D0A_A4E3_E0B6BDE019D1_.wvu.FilterData" localSheetId="3" hidden="1">Encadrement!#REF!</definedName>
  </definedNames>
  <calcPr calcId="152511" calcMode="autoNoTable"/>
  <customWorkbookViews>
    <customWorkbookView name="RONDEY SOPHIE (CPAM ALPES-MARITIMES) - Affichage personnalisé" guid="{5863F5CF-7431-4D0A-A4E3-E0B6BDE019D1}" mergeInterval="0" personalView="1" maximized="1" windowWidth="1680" windowHeight="752" activeSheetId="3"/>
    <customWorkbookView name="PAILLERY LUDOVIC (CPAM ALPES-MARITIMES) - Affichage personnalisé" guid="{315A58E5-6659-4E22-8975-B4F24C88D2B9}" mergeInterval="0" personalView="1" maximized="1" windowWidth="1680" windowHeight="784" activeSheetId="1"/>
  </customWorkbookViews>
</workbook>
</file>

<file path=xl/calcChain.xml><?xml version="1.0" encoding="utf-8"?>
<calcChain xmlns="http://schemas.openxmlformats.org/spreadsheetml/2006/main">
  <c r="M6" i="41" l="1"/>
  <c r="K6" i="41"/>
  <c r="I6" i="41"/>
  <c r="G6" i="41"/>
  <c r="E6" i="41"/>
  <c r="O6" i="41" l="1"/>
  <c r="P6" i="4" l="1"/>
  <c r="P7"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S12" i="4" l="1"/>
  <c r="S8" i="4"/>
  <c r="S10" i="4"/>
  <c r="S7" i="4"/>
  <c r="S6" i="4"/>
  <c r="S9" i="4"/>
  <c r="S11" i="4"/>
</calcChain>
</file>

<file path=xl/comments1.xml><?xml version="1.0" encoding="utf-8"?>
<comments xmlns="http://schemas.openxmlformats.org/spreadsheetml/2006/main">
  <authors>
    <author>vmoffice</author>
  </authors>
  <commentList>
    <comment ref="L4" authorId="0" shapeId="0">
      <text>
        <r>
          <rPr>
            <sz val="9"/>
            <color indexed="81"/>
            <rFont val="Tahoma"/>
            <family val="2"/>
          </rPr>
          <t>Sert à prendre en compte la pause repas pour la présence sur la plage horaire possible du repas.
Si une personne arrive avant l'heure mini et part après le début de l'heure maxi, alors une pause repas de la valeur indiquée sera décomptée automatiquement entre 12h00 et 14h00. 
Cette pause est affectée aléatoirement à la tranche horaire de 12h00 ou 13h00 si aucune formation sur ce créneau horaire. 
Si formation sur le créneau 12h00 - 14h00, elle est affectée à l'horaire disponible 12h00 ou 13h00.</t>
        </r>
      </text>
    </comment>
  </commentList>
</comments>
</file>

<file path=xl/comments2.xml><?xml version="1.0" encoding="utf-8"?>
<comments xmlns="http://schemas.openxmlformats.org/spreadsheetml/2006/main">
  <authors>
    <author>vmoffice</author>
  </authors>
  <commentList>
    <comment ref="C16" authorId="0" shapeId="0">
      <text>
        <r>
          <rPr>
            <sz val="9"/>
            <color indexed="81"/>
            <rFont val="Tahoma"/>
            <family val="2"/>
          </rPr>
          <t>doit être de la forme nom-numagt
Permet à un admin de tester l'application sous l'identité d'un autre utilisateur</t>
        </r>
      </text>
    </comment>
  </commentList>
</comments>
</file>

<file path=xl/comments3.xml><?xml version="1.0" encoding="utf-8"?>
<comments xmlns="http://schemas.openxmlformats.org/spreadsheetml/2006/main">
  <authors>
    <author>vmoffice</author>
  </authors>
  <commentList>
    <comment ref="N5" authorId="0" shapeId="0">
      <text>
        <r>
          <rPr>
            <sz val="9"/>
            <color indexed="81"/>
            <rFont val="Tahoma"/>
            <family val="2"/>
          </rPr>
          <t>Si plusieurs missions possibles, séparer les noms par une virgule</t>
        </r>
      </text>
    </comment>
  </commentList>
</comments>
</file>

<file path=xl/sharedStrings.xml><?xml version="1.0" encoding="utf-8"?>
<sst xmlns="http://schemas.openxmlformats.org/spreadsheetml/2006/main" count="4576" uniqueCount="399">
  <si>
    <t xml:space="preserve"> </t>
  </si>
  <si>
    <t>ABS</t>
  </si>
  <si>
    <t>C</t>
  </si>
  <si>
    <t>RES</t>
  </si>
  <si>
    <t xml:space="preserve">PAYRAUDEAU Nathalie </t>
  </si>
  <si>
    <t>Inval 21 h</t>
  </si>
  <si>
    <t>P110601-668911W</t>
  </si>
  <si>
    <t>7589/4</t>
  </si>
  <si>
    <t>36h</t>
  </si>
  <si>
    <t>P110601-668921W</t>
  </si>
  <si>
    <t>7841/1</t>
  </si>
  <si>
    <t>P110601-668910W</t>
  </si>
  <si>
    <t>7890/0</t>
  </si>
  <si>
    <t>39h A</t>
  </si>
  <si>
    <t>P110601-668925W</t>
  </si>
  <si>
    <t>7935/3</t>
  </si>
  <si>
    <t>P110601-668913W</t>
  </si>
  <si>
    <t>8106/7</t>
  </si>
  <si>
    <t>P110601-668927W</t>
  </si>
  <si>
    <t>8306/1</t>
  </si>
  <si>
    <t>P110601-668959W</t>
  </si>
  <si>
    <t>8308/3</t>
  </si>
  <si>
    <t>P110601-668918W</t>
  </si>
  <si>
    <t>7820/7</t>
  </si>
  <si>
    <t>P110601-668935W</t>
  </si>
  <si>
    <t>7884/5</t>
  </si>
  <si>
    <t>7607/7</t>
  </si>
  <si>
    <t>39h</t>
  </si>
  <si>
    <t>P110601-668917W</t>
  </si>
  <si>
    <t>8123/7</t>
  </si>
  <si>
    <t>Retraite prog 24h</t>
  </si>
  <si>
    <t>P110601-668905W</t>
  </si>
  <si>
    <t>8124/3</t>
  </si>
  <si>
    <t>8218/5</t>
  </si>
  <si>
    <t>P110601-668943W</t>
  </si>
  <si>
    <t>7840/5</t>
  </si>
  <si>
    <t>P110601-668929W</t>
  </si>
  <si>
    <t>8302/7</t>
  </si>
  <si>
    <t>P110601-668934W</t>
  </si>
  <si>
    <t>7605/5</t>
  </si>
  <si>
    <t>7595/9</t>
  </si>
  <si>
    <t>P110601-668936W</t>
  </si>
  <si>
    <t>8122/1</t>
  </si>
  <si>
    <t>P110601-668938W</t>
  </si>
  <si>
    <t>7973/7</t>
  </si>
  <si>
    <t>P110601-668933W</t>
  </si>
  <si>
    <t>9245/5</t>
  </si>
  <si>
    <t>P110601-668939W</t>
  </si>
  <si>
    <t>7826/3</t>
  </si>
  <si>
    <t>Inval 20 h</t>
  </si>
  <si>
    <t>P110601-668940W</t>
  </si>
  <si>
    <t>7592/1</t>
  </si>
  <si>
    <t>P110601-668928W</t>
  </si>
  <si>
    <t>8217/9</t>
  </si>
  <si>
    <t>P110601-668945W</t>
  </si>
  <si>
    <t>7938/1</t>
  </si>
  <si>
    <t>P110601-668912W</t>
  </si>
  <si>
    <t>7739/3</t>
  </si>
  <si>
    <t>Inval 12 h</t>
  </si>
  <si>
    <t>P110601-668901W</t>
  </si>
  <si>
    <t>7590/9</t>
  </si>
  <si>
    <t>LUNDI</t>
  </si>
  <si>
    <t>MARDI</t>
  </si>
  <si>
    <t>MERCREDI</t>
  </si>
  <si>
    <t>JEUDI</t>
  </si>
  <si>
    <t>VENDREDI</t>
  </si>
  <si>
    <t>SAMEDI</t>
  </si>
  <si>
    <t>Ouv / Ferm</t>
  </si>
  <si>
    <t>Planning</t>
  </si>
  <si>
    <t>contrat</t>
  </si>
  <si>
    <t>n°agent</t>
  </si>
  <si>
    <t>SX</t>
  </si>
  <si>
    <t>MAS</t>
  </si>
  <si>
    <t xml:space="preserve">Mail personnel </t>
  </si>
  <si>
    <t xml:space="preserve">06 82 97 71 18 </t>
  </si>
  <si>
    <t>verofonice@gmail.com</t>
  </si>
  <si>
    <t>06 61 53 27 38</t>
  </si>
  <si>
    <t>leogene29@gmail.com</t>
  </si>
  <si>
    <t>janine.nelou@gmail.com</t>
  </si>
  <si>
    <t>p.lopez134@laposte.net</t>
  </si>
  <si>
    <t>patricia.vives@icloud.com</t>
  </si>
  <si>
    <t>natalieparaud@gmail.com</t>
  </si>
  <si>
    <t>amelie.pottier06@gmail.com.</t>
  </si>
  <si>
    <t>lidwine.pezzoli@gmail.com</t>
  </si>
  <si>
    <t>06 09 52 42 40</t>
  </si>
  <si>
    <t>gumball1407@gmail.com</t>
  </si>
  <si>
    <t>06 50 14 88 00</t>
  </si>
  <si>
    <t>sciortinojc@gmail.com</t>
  </si>
  <si>
    <t>santoinho@hotmail.fr</t>
  </si>
  <si>
    <t xml:space="preserve">06 13 37  70 50 </t>
  </si>
  <si>
    <t>robbesylvie@yahoo.fr</t>
  </si>
  <si>
    <t>06 32 26 79 57</t>
  </si>
  <si>
    <t xml:space="preserve">senesi.vi@gmail.com </t>
  </si>
  <si>
    <t>annie.dennez@laposte.net</t>
  </si>
  <si>
    <t xml:space="preserve">06 88 57 61 32 </t>
  </si>
  <si>
    <t>chantal.groetz@gmail.com</t>
  </si>
  <si>
    <t>06 09 48 28 91</t>
  </si>
  <si>
    <t>natsurlenet@hotmail.com</t>
  </si>
  <si>
    <t>nathaliebaer5@gmail.com</t>
  </si>
  <si>
    <t>garnier06000@gmail.com</t>
  </si>
  <si>
    <t>cloclo06974@gmail.com</t>
  </si>
  <si>
    <t>06 64 02 84 55</t>
  </si>
  <si>
    <t>severine.jumel53@orange.fr</t>
  </si>
  <si>
    <t>arlette.papot@hotmail.fr</t>
  </si>
  <si>
    <t xml:space="preserve">christine.soler06@free.fr  </t>
  </si>
  <si>
    <t>06 20 76 58 10</t>
  </si>
  <si>
    <t>sportaneri@gmail.com</t>
  </si>
  <si>
    <t>07 70 68 16 87</t>
  </si>
  <si>
    <t>ffoulatier@gmail.com</t>
  </si>
  <si>
    <t>06 12 06 92 54</t>
  </si>
  <si>
    <t>nadine.lefevre2@9online.fr</t>
  </si>
  <si>
    <t>06 20 44 36 96</t>
  </si>
  <si>
    <t>mojan.legeard@sfr.fr</t>
  </si>
  <si>
    <t>P110601-668931W</t>
  </si>
  <si>
    <t>P110601-668920W</t>
  </si>
  <si>
    <t>P110601-668941</t>
  </si>
  <si>
    <t>Date d'Entrée</t>
  </si>
  <si>
    <t>ETP</t>
  </si>
  <si>
    <t>F</t>
  </si>
  <si>
    <t>TIOZZO Sandrine</t>
  </si>
  <si>
    <t>LEONARD Virginie</t>
  </si>
  <si>
    <t>DJAFFAL Noura</t>
  </si>
  <si>
    <t>RONDEY Sophie</t>
  </si>
  <si>
    <t>MOREL Rosalie</t>
  </si>
  <si>
    <t>PEAUD Mickael</t>
  </si>
  <si>
    <t>PAILLERY Ludovic</t>
  </si>
  <si>
    <t>7888/9</t>
  </si>
  <si>
    <t>Sandrine</t>
  </si>
  <si>
    <t>Noura</t>
  </si>
  <si>
    <t>Virginie</t>
  </si>
  <si>
    <t>10h-18h</t>
  </si>
  <si>
    <t>8h45-15h15</t>
  </si>
  <si>
    <t>9h-12h54</t>
  </si>
  <si>
    <t xml:space="preserve">13h-19h </t>
  </si>
  <si>
    <t>10h30-19h</t>
  </si>
  <si>
    <t>djaffalnoura@gmail.com</t>
  </si>
  <si>
    <t>sandrine.tiozzo@sfr.fr</t>
  </si>
  <si>
    <t>leocassandre@gmail.com</t>
  </si>
  <si>
    <t>sophie.rondey@orange.fr</t>
  </si>
  <si>
    <t>mpeaud1@gmail.com</t>
  </si>
  <si>
    <t>rosalie.morel@gmail.com</t>
  </si>
  <si>
    <t>7846/1</t>
  </si>
  <si>
    <t>9232/8</t>
  </si>
  <si>
    <t>9857/8</t>
  </si>
  <si>
    <t>8887/4</t>
  </si>
  <si>
    <t>7603/3</t>
  </si>
  <si>
    <t>8228/4</t>
  </si>
  <si>
    <t>P110601-668944W</t>
  </si>
  <si>
    <t>P110601-668906W</t>
  </si>
  <si>
    <t>P110601-668923W</t>
  </si>
  <si>
    <t>P110601-668924W</t>
  </si>
  <si>
    <t>P110601-668903W</t>
  </si>
  <si>
    <t>P110601-668926W</t>
  </si>
  <si>
    <t>P110601-668902W</t>
  </si>
  <si>
    <t>sup 19h</t>
  </si>
  <si>
    <t>Formation SST</t>
  </si>
  <si>
    <t>Tw Matin</t>
  </si>
  <si>
    <t>TW</t>
  </si>
  <si>
    <t>19h</t>
  </si>
  <si>
    <t>9h</t>
  </si>
  <si>
    <t>SUP 19H</t>
  </si>
  <si>
    <t>Sup19h</t>
  </si>
  <si>
    <t>HV</t>
  </si>
  <si>
    <t>RECUP</t>
  </si>
  <si>
    <t>19H</t>
  </si>
  <si>
    <t>09h</t>
  </si>
  <si>
    <t>TTEX</t>
  </si>
  <si>
    <t>8:45-13:00</t>
  </si>
  <si>
    <t xml:space="preserve">seminaire </t>
  </si>
  <si>
    <t>CNAM</t>
  </si>
  <si>
    <t xml:space="preserve">CNAM </t>
  </si>
  <si>
    <t>AVS</t>
  </si>
  <si>
    <t xml:space="preserve">  9h-16h30</t>
  </si>
  <si>
    <t>11h-18h30</t>
  </si>
  <si>
    <t xml:space="preserve">TEX </t>
  </si>
  <si>
    <t>8h45-13h</t>
  </si>
  <si>
    <t>NELOU Janine</t>
  </si>
  <si>
    <t xml:space="preserve">LOPEZ Patricia </t>
  </si>
  <si>
    <t>PARAUD Natalie</t>
  </si>
  <si>
    <t xml:space="preserve">ROBBE Sylvie </t>
  </si>
  <si>
    <t>SOLER THUYLIE Christine</t>
  </si>
  <si>
    <t>EFFECTIFS</t>
  </si>
  <si>
    <t>VIVES Patricia</t>
  </si>
  <si>
    <t>PEZZOLI Lidwine</t>
  </si>
  <si>
    <t xml:space="preserve">ARNAL Anne </t>
  </si>
  <si>
    <t>SCIORTINO Jean Claude</t>
  </si>
  <si>
    <t>LECLERC Elisabeth</t>
  </si>
  <si>
    <t>SENESI  Viviane</t>
  </si>
  <si>
    <t>DE CLERCK Annie</t>
  </si>
  <si>
    <t>GROETZ Chantal</t>
  </si>
  <si>
    <t xml:space="preserve">BAER Nathalie </t>
  </si>
  <si>
    <t xml:space="preserve">HILAIRE Claudine </t>
  </si>
  <si>
    <t xml:space="preserve">MASCAREL Severine </t>
  </si>
  <si>
    <t>PAPOT Arlette</t>
  </si>
  <si>
    <t>PORTANERI Sarah</t>
  </si>
  <si>
    <t>FOULATIER Frédéric</t>
  </si>
  <si>
    <t>DUPUY Nadine</t>
  </si>
  <si>
    <t xml:space="preserve">LEGEARD Mojan </t>
  </si>
  <si>
    <t>FONDACARO Véronique</t>
  </si>
  <si>
    <t xml:space="preserve">LEONELLO Geneviève </t>
  </si>
  <si>
    <t xml:space="preserve">DUFOUR Amélie </t>
  </si>
  <si>
    <t>GROSSI JeanFrançois</t>
  </si>
  <si>
    <t>semaine du</t>
  </si>
  <si>
    <t>Date sortie</t>
  </si>
  <si>
    <t>Resp Equipe</t>
  </si>
  <si>
    <t>n° PMF</t>
  </si>
  <si>
    <t>ENCADREMENT</t>
  </si>
  <si>
    <t>numagt</t>
  </si>
  <si>
    <t>Nom Equipe</t>
  </si>
  <si>
    <t>Cadre</t>
  </si>
  <si>
    <t>numagt_resp</t>
  </si>
  <si>
    <t>v</t>
  </si>
  <si>
    <t>ordre</t>
  </si>
  <si>
    <t>ordre affichage cadres</t>
  </si>
  <si>
    <t>Nom</t>
  </si>
  <si>
    <t>PLANNING ICS</t>
  </si>
  <si>
    <t>date</t>
  </si>
  <si>
    <t>Formation</t>
  </si>
  <si>
    <t>Référent</t>
  </si>
  <si>
    <t>Temps Com.</t>
  </si>
  <si>
    <t>Missions</t>
  </si>
  <si>
    <t>mission</t>
  </si>
  <si>
    <t>MAS, SX</t>
  </si>
  <si>
    <t>supervision</t>
  </si>
  <si>
    <t>CO</t>
  </si>
  <si>
    <t>id</t>
  </si>
  <si>
    <t>Model</t>
  </si>
  <si>
    <t>Control Type</t>
  </si>
  <si>
    <t>Control Name</t>
  </si>
  <si>
    <t>Control Value</t>
  </si>
  <si>
    <t>Form Name</t>
  </si>
  <si>
    <t>skins</t>
  </si>
  <si>
    <t>TITLE</t>
  </si>
  <si>
    <t>label</t>
  </si>
  <si>
    <t>title</t>
  </si>
  <si>
    <t>label_char_count</t>
  </si>
  <si>
    <t>form_list</t>
  </si>
  <si>
    <t>*count</t>
  </si>
  <si>
    <t>text_input</t>
  </si>
  <si>
    <t>combobox</t>
  </si>
  <si>
    <t>checkbox</t>
  </si>
  <si>
    <t>textbox</t>
  </si>
  <si>
    <t>info</t>
  </si>
  <si>
    <t>listbox</t>
  </si>
  <si>
    <t>Réunion</t>
  </si>
  <si>
    <t>Ecoute</t>
  </si>
  <si>
    <t>est formateur (oui si non vide)</t>
  </si>
  <si>
    <t>debut</t>
  </si>
  <si>
    <t>fin</t>
  </si>
  <si>
    <t>salle</t>
  </si>
  <si>
    <t>auteur</t>
  </si>
  <si>
    <t>fait_le</t>
  </si>
  <si>
    <t>salles possibles</t>
  </si>
  <si>
    <t>Chemin dossier planning encadrement</t>
  </si>
  <si>
    <t>utilisateur</t>
  </si>
  <si>
    <t>role</t>
  </si>
  <si>
    <t>RONDEY</t>
  </si>
  <si>
    <t>ZIZIC</t>
  </si>
  <si>
    <t>admin</t>
  </si>
  <si>
    <t>PARAMETRES</t>
  </si>
  <si>
    <t>soir</t>
  </si>
  <si>
    <t>matin</t>
  </si>
  <si>
    <t>journee</t>
  </si>
  <si>
    <t>8h45-19h15</t>
  </si>
  <si>
    <t>9h45-19h</t>
  </si>
  <si>
    <t>14h40-19h</t>
  </si>
  <si>
    <t xml:space="preserve">8h45-16h15 </t>
  </si>
  <si>
    <t>8h45-18h</t>
  </si>
  <si>
    <t>8h45-17h15</t>
  </si>
  <si>
    <t>8h45-16h45</t>
  </si>
  <si>
    <t>10h-14h30</t>
  </si>
  <si>
    <t>9h-15h15</t>
  </si>
  <si>
    <t xml:space="preserve">9h-16h15 </t>
  </si>
  <si>
    <t>9h30-16h</t>
  </si>
  <si>
    <t xml:space="preserve">8h45-16h45 </t>
  </si>
  <si>
    <t>14H-17H</t>
  </si>
  <si>
    <t>RECUP MATIN</t>
  </si>
  <si>
    <t>SUP matin - 10h45</t>
  </si>
  <si>
    <t>voir - aide  -  supervision</t>
  </si>
  <si>
    <t xml:space="preserve">TW - Supervision </t>
  </si>
  <si>
    <t>SEMINAIRE -  MANAGERIALES</t>
  </si>
  <si>
    <t xml:space="preserve">TW+CD - SUP 19h - </t>
  </si>
  <si>
    <t>SUP MATIN  - 8H-12H</t>
  </si>
  <si>
    <t>09h00 - 13h00</t>
  </si>
  <si>
    <t>RECUP MATIN - 14h-19h</t>
  </si>
  <si>
    <t>RECUP MATIN - 1/2 conges</t>
  </si>
  <si>
    <t>RECUP MATIN - 14h-18h</t>
  </si>
  <si>
    <t>08:45 - 16:30</t>
  </si>
  <si>
    <t>MODELE FORMATAGE TEMPS DE COM INVALIDE</t>
  </si>
  <si>
    <t>Expression d' invalidation de temps de com</t>
  </si>
  <si>
    <t>Qualité</t>
  </si>
  <si>
    <t>button_choice</t>
  </si>
  <si>
    <t>commandbutton</t>
  </si>
  <si>
    <t>SUPERVISION_FORM</t>
  </si>
  <si>
    <t>theme</t>
  </si>
  <si>
    <t>intervenant</t>
  </si>
  <si>
    <t>formation_id</t>
  </si>
  <si>
    <t>telephone personnel</t>
  </si>
  <si>
    <t>reservation_salle_id</t>
  </si>
  <si>
    <t>Chemin dossier des planning ICS</t>
  </si>
  <si>
    <t>RECUP - PARIS</t>
  </si>
  <si>
    <t>recup  - A-M - du  11/11</t>
  </si>
  <si>
    <t>TW - 19H</t>
  </si>
  <si>
    <t>CES</t>
  </si>
  <si>
    <t>TW - 19h</t>
  </si>
  <si>
    <t>Samedi dégradé</t>
  </si>
  <si>
    <t>TW17h</t>
  </si>
  <si>
    <t>TW19H</t>
  </si>
  <si>
    <t>TW  - 19:00:00</t>
  </si>
  <si>
    <t>TW - 19:00:00</t>
  </si>
  <si>
    <t>Dégradé</t>
  </si>
  <si>
    <t>Rec -  Samedi</t>
  </si>
  <si>
    <t>dégradé</t>
  </si>
  <si>
    <t>samedi  - degradé</t>
  </si>
  <si>
    <t>9:00 - TW</t>
  </si>
  <si>
    <t>Recup HV</t>
  </si>
  <si>
    <t>R</t>
  </si>
  <si>
    <t>TW1</t>
  </si>
  <si>
    <t>09:00:00 - TW2</t>
  </si>
  <si>
    <t>TW2</t>
  </si>
  <si>
    <t>TW3</t>
  </si>
  <si>
    <t>TW4</t>
  </si>
  <si>
    <t>RE</t>
  </si>
  <si>
    <t>activite</t>
  </si>
  <si>
    <t>temps</t>
  </si>
  <si>
    <t>appel sortant</t>
  </si>
  <si>
    <t>appel manuel</t>
  </si>
  <si>
    <t>pause</t>
  </si>
  <si>
    <t>travail administratif</t>
  </si>
  <si>
    <t>temps managérial</t>
  </si>
  <si>
    <t>formation</t>
  </si>
  <si>
    <t>rappel</t>
  </si>
  <si>
    <t>numérotation</t>
  </si>
  <si>
    <t>appel entrant</t>
  </si>
  <si>
    <t>mission spécifique</t>
  </si>
  <si>
    <t>&lt;0.5</t>
  </si>
  <si>
    <t>vmoffice</t>
  </si>
  <si>
    <t>Chemin vers fichiers Horav</t>
  </si>
  <si>
    <t>Z:\excell tools\PILOTAGE SOPHIA\fichiers source horav pega\horav</t>
  </si>
  <si>
    <t>pega</t>
  </si>
  <si>
    <t>horav</t>
  </si>
  <si>
    <t>temps_du</t>
  </si>
  <si>
    <t>temps_badge</t>
  </si>
  <si>
    <t>temps_absence</t>
  </si>
  <si>
    <t>mise en forme temps de com invalide</t>
  </si>
  <si>
    <t>Chemin vers fichiers PEGA</t>
  </si>
  <si>
    <t>HORAV</t>
  </si>
  <si>
    <t>PEGA</t>
  </si>
  <si>
    <t>Date min</t>
  </si>
  <si>
    <t>Date max</t>
  </si>
  <si>
    <t>Domaine</t>
  </si>
  <si>
    <t>Date</t>
  </si>
  <si>
    <t>ETAT DES DONNEES</t>
  </si>
  <si>
    <t>PLANNING</t>
  </si>
  <si>
    <t>Journées manquantes Horav et Pega sur la période connue</t>
  </si>
  <si>
    <t>TABLEAU DE BORD SOPHIA</t>
  </si>
  <si>
    <t>ICS</t>
  </si>
  <si>
    <t>thème nouveau</t>
  </si>
  <si>
    <t>Personne</t>
  </si>
  <si>
    <t>Thème</t>
  </si>
  <si>
    <t>Intervenant</t>
  </si>
  <si>
    <t>thème</t>
  </si>
  <si>
    <t>Personne 2</t>
  </si>
  <si>
    <t>Les colonnes avec entete en rouge sont des colonnes calculées automatiquement. Ne pas y toucher</t>
  </si>
  <si>
    <t>ACTIVITE TELEPHONIQUE</t>
  </si>
  <si>
    <t>Pause repas</t>
  </si>
  <si>
    <t>Arrive avant</t>
  </si>
  <si>
    <t>Part après</t>
  </si>
  <si>
    <t>TOUTES EQUIPES</t>
  </si>
  <si>
    <t>Utilisateur usurpé</t>
  </si>
  <si>
    <t>Périodes couvertes par les données</t>
  </si>
  <si>
    <t>Z:\excell tools\PILOTAGE SOPHIA\fichiers source horav pega\pega</t>
  </si>
  <si>
    <t>Z:\excell tools\PILOTAGE SOPHIA\sources\plannings cadres</t>
  </si>
  <si>
    <t>Z:\excell tools\PILOTAGE SOPHIA\sources\plannings ICS</t>
  </si>
  <si>
    <t>19:00:00 -  -  TW</t>
  </si>
  <si>
    <t>8h45-16h</t>
  </si>
  <si>
    <t>8h45-14h15</t>
  </si>
  <si>
    <t>12h30-16h15</t>
  </si>
  <si>
    <t>ttex</t>
  </si>
  <si>
    <t>10h-13h</t>
  </si>
  <si>
    <t>O-F</t>
  </si>
  <si>
    <t>8h45-16h15</t>
  </si>
  <si>
    <t>O</t>
  </si>
  <si>
    <t>09h00-13h00</t>
  </si>
  <si>
    <t>Date de mise à jour des données</t>
  </si>
  <si>
    <t>Horav</t>
  </si>
  <si>
    <t>Journée</t>
  </si>
  <si>
    <t>Durée (1h maxi)</t>
  </si>
  <si>
    <t>form</t>
  </si>
  <si>
    <t>MESSAGE_FORM</t>
  </si>
  <si>
    <t>message</t>
  </si>
  <si>
    <t>Nombre d'heures effectives</t>
  </si>
  <si>
    <t>Nombre de personnes</t>
  </si>
  <si>
    <t>9h-16h30</t>
  </si>
  <si>
    <t>Thème nouveau</t>
  </si>
  <si>
    <t>thème ancien</t>
  </si>
  <si>
    <t>Interevant</t>
  </si>
  <si>
    <t>SALLE</t>
  </si>
  <si>
    <t>P</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</si>
</sst>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3" formatCode="_-* #,##0.00\ _€_-;\-* #,##0.00\ _€_-;_-* &quot;-&quot;??\ _€_-;_-@_-"/>
    <numFmt numFmtId="164" formatCode="_(&quot;€&quot;* #,##0.00_);_(&quot;€&quot;* \(#,##0.00\);_(&quot;€&quot;* &quot;-&quot;??_);_(@_)"/>
    <numFmt numFmtId="165" formatCode="_(* #,##0.00_);_(* \(#,##0.00\);_(* &quot;-&quot;??_);_(@_)"/>
    <numFmt numFmtId="166" formatCode="_-* #,##0.00&quot; F&quot;_-;\-* #,##0.00&quot; F&quot;_-;_-* \-??&quot; F&quot;_-;_-@_-"/>
    <numFmt numFmtId="167" formatCode="d/m;@"/>
    <numFmt numFmtId="168" formatCode="h:mm;@"/>
    <numFmt numFmtId="169" formatCode="0#&quot; &quot;##&quot; &quot;##&quot; &quot;##&quot; &quot;##"/>
    <numFmt numFmtId="170" formatCode="[$-F800]dddd\,\ mmmm\ dd\,\ yyyy"/>
    <numFmt numFmtId="171" formatCode="[$-F400]h:mm:ss\ AM/PM"/>
    <numFmt numFmtId="172" formatCode="dddd\ dd\ mmmm"/>
    <numFmt numFmtId="173" formatCode="dd/mm/yyyy\ hh:mm:ss"/>
    <numFmt numFmtId="174" formatCode="0.00000000"/>
    <numFmt numFmtId="175" formatCode="dddd\ dd\ mmmm\ yyyy"/>
    <numFmt numFmtId="178" formatCode="dd/mm/yyyy"/>
  </numFmts>
  <fonts count="66" x14ac:knownFonts="1">
    <font>
      <sz val="11"/>
      <color theme="1"/>
      <name val="Calibri"/>
      <family val="2"/>
      <scheme val="minor"/>
    </font>
    <font>
      <sz val="11"/>
      <color theme="1"/>
      <name val="Calibri"/>
      <family val="2"/>
      <scheme val="minor"/>
    </font>
    <font>
      <sz val="9"/>
      <color theme="1"/>
      <name val="Calibri"/>
      <family val="2"/>
      <scheme val="minor"/>
    </font>
    <font>
      <sz val="11"/>
      <color indexed="8"/>
      <name val="Calibri"/>
      <family val="2"/>
      <charset val="1"/>
    </font>
    <font>
      <sz val="10"/>
      <name val="Arial"/>
      <family val="2"/>
    </font>
    <font>
      <sz val="11"/>
      <color indexed="8"/>
      <name val="Calibri"/>
      <family val="2"/>
    </font>
    <font>
      <sz val="11"/>
      <color theme="1"/>
      <name val="Calibri"/>
      <family val="2"/>
    </font>
    <font>
      <sz val="10"/>
      <color rgb="FF000000"/>
      <name val="Times New Roman"/>
      <family val="1"/>
    </font>
    <font>
      <sz val="8"/>
      <name val="Calibri"/>
      <family val="2"/>
      <scheme val="minor"/>
    </font>
    <font>
      <sz val="10"/>
      <color indexed="8"/>
      <name val="Arial"/>
      <family val="2"/>
    </font>
    <font>
      <u/>
      <sz val="11"/>
      <color theme="10"/>
      <name val="Calibri"/>
      <family val="2"/>
      <scheme val="minor"/>
    </font>
    <font>
      <sz val="10"/>
      <name val="MS Sans Serif"/>
      <family val="2"/>
    </font>
    <font>
      <sz val="10"/>
      <color indexed="8"/>
      <name val="Arial"/>
      <family val="2"/>
    </font>
    <font>
      <sz val="11"/>
      <name val="Calibri"/>
      <family val="2"/>
    </font>
    <font>
      <sz val="16"/>
      <color theme="1"/>
      <name val="Calibri"/>
      <family val="2"/>
      <scheme val="minor"/>
    </font>
    <font>
      <sz val="10"/>
      <color theme="1"/>
      <name val="Calibri"/>
      <family val="2"/>
      <scheme val="minor"/>
    </font>
    <font>
      <sz val="11"/>
      <color theme="1" tint="4.9989318521683403E-2"/>
      <name val="Calibri"/>
      <family val="2"/>
    </font>
    <font>
      <sz val="11"/>
      <color theme="1" tint="4.9989318521683403E-2"/>
      <name val="Calibri"/>
      <family val="2"/>
      <scheme val="minor"/>
    </font>
    <font>
      <b/>
      <u/>
      <sz val="18"/>
      <color theme="0"/>
      <name val="Calibri"/>
      <family val="2"/>
      <scheme val="minor"/>
    </font>
    <font>
      <b/>
      <sz val="18"/>
      <color theme="9" tint="-0.249977111117893"/>
      <name val="Calibri"/>
      <family val="2"/>
      <scheme val="minor"/>
    </font>
    <font>
      <u/>
      <sz val="11"/>
      <color rgb="FF0000FF"/>
      <name val="Calibri"/>
      <family val="2"/>
      <scheme val="minor"/>
    </font>
    <font>
      <sz val="11"/>
      <name val="Calibri"/>
      <family val="2"/>
      <scheme val="minor"/>
    </font>
    <font>
      <sz val="18"/>
      <name val="Calibri"/>
      <family val="2"/>
      <scheme val="minor"/>
    </font>
    <font>
      <sz val="18"/>
      <color theme="1" tint="0.249977111117893"/>
      <name val="Calibri"/>
      <family val="2"/>
      <scheme val="minor"/>
    </font>
    <font>
      <sz val="16"/>
      <color theme="3" tint="-0.499984740745262"/>
      <name val="Calibri"/>
      <family val="2"/>
      <scheme val="minor"/>
    </font>
    <font>
      <sz val="11"/>
      <color theme="3" tint="-0.499984740745262"/>
      <name val="Calibri"/>
      <family val="2"/>
      <scheme val="minor"/>
    </font>
    <font>
      <sz val="11"/>
      <color rgb="FFC00000"/>
      <name val="Calibri"/>
      <family val="2"/>
      <scheme val="minor"/>
    </font>
    <font>
      <sz val="11"/>
      <color theme="0" tint="-4.9989318521683403E-2"/>
      <name val="Calibri"/>
      <family val="2"/>
      <scheme val="minor"/>
    </font>
    <font>
      <sz val="11"/>
      <color theme="0" tint="-4.9989318521683403E-2"/>
      <name val="Calibri"/>
      <family val="2"/>
    </font>
    <font>
      <b/>
      <sz val="11"/>
      <color theme="9" tint="-0.249977111117893"/>
      <name val="Calibri"/>
      <family val="2"/>
      <scheme val="minor"/>
    </font>
    <font>
      <b/>
      <u/>
      <sz val="11"/>
      <color theme="0"/>
      <name val="Calibri"/>
      <family val="2"/>
      <scheme val="minor"/>
    </font>
    <font>
      <sz val="12"/>
      <color theme="3" tint="-0.499984740745262"/>
      <name val="Calibri"/>
      <family val="2"/>
      <scheme val="minor"/>
    </font>
    <font>
      <sz val="10"/>
      <color rgb="FF000000"/>
      <name val="Calibri"/>
      <family val="2"/>
      <scheme val="minor"/>
    </font>
    <font>
      <sz val="14"/>
      <color theme="3" tint="-0.499984740745262"/>
      <name val="Calibri"/>
      <family val="2"/>
      <scheme val="minor"/>
    </font>
    <font>
      <sz val="10"/>
      <color theme="3" tint="-0.499984740745262"/>
      <name val="Arial"/>
      <family val="2"/>
    </font>
    <font>
      <sz val="20"/>
      <color theme="0"/>
      <name val="Calibri"/>
      <family val="2"/>
      <scheme val="minor"/>
    </font>
    <font>
      <sz val="11"/>
      <color theme="4" tint="-0.499984740745262"/>
      <name val="Calibri"/>
      <family val="2"/>
      <scheme val="minor"/>
    </font>
    <font>
      <sz val="10"/>
      <color theme="6" tint="-0.499984740745262"/>
      <name val="Calibri"/>
      <family val="2"/>
      <scheme val="minor"/>
    </font>
    <font>
      <sz val="12"/>
      <color theme="3" tint="-0.499984740745262"/>
      <name val="Calibri"/>
      <family val="2"/>
    </font>
    <font>
      <sz val="12"/>
      <color theme="3" tint="-0.249977111117893"/>
      <name val="Calibri"/>
      <family val="2"/>
      <scheme val="minor"/>
    </font>
    <font>
      <sz val="12"/>
      <color theme="3" tint="-0.249977111117893"/>
      <name val="Calibri"/>
      <family val="2"/>
    </font>
    <font>
      <b/>
      <sz val="12"/>
      <color theme="0"/>
      <name val="Calibri"/>
      <family val="2"/>
      <scheme val="minor"/>
    </font>
    <font>
      <sz val="10"/>
      <color theme="2" tint="-0.749992370372631"/>
      <name val="Calibri"/>
      <family val="2"/>
      <scheme val="minor"/>
    </font>
    <font>
      <sz val="11"/>
      <color theme="1" tint="0.34998626667073579"/>
      <name val="Calibri"/>
      <family val="2"/>
      <scheme val="minor"/>
    </font>
    <font>
      <sz val="11"/>
      <color theme="2" tint="-0.749992370372631"/>
      <name val="Calibri"/>
      <family val="2"/>
      <scheme val="minor"/>
    </font>
    <font>
      <sz val="14"/>
      <color theme="1" tint="0.249977111117893"/>
      <name val="Calibri"/>
      <family val="2"/>
      <scheme val="minor"/>
    </font>
    <font>
      <sz val="14"/>
      <color theme="3" tint="-0.249977111117893"/>
      <name val="Calibri"/>
      <family val="2"/>
      <scheme val="minor"/>
    </font>
    <font>
      <b/>
      <sz val="11"/>
      <color rgb="FF000000"/>
      <name val="Calibri"/>
      <family val="2"/>
      <scheme val="minor"/>
    </font>
    <font>
      <sz val="11"/>
      <color rgb="FF000000"/>
      <name val="Calibri"/>
      <family val="2"/>
      <scheme val="minor"/>
    </font>
    <font>
      <b/>
      <sz val="11"/>
      <color rgb="FFFF0000"/>
      <name val="Calibri"/>
      <family val="2"/>
      <scheme val="minor"/>
    </font>
    <font>
      <sz val="11"/>
      <color theme="0"/>
      <name val="Calibri"/>
      <family val="2"/>
      <scheme val="minor"/>
    </font>
    <font>
      <sz val="12"/>
      <color theme="4" tint="-0.499984740745262"/>
      <name val="Calibri"/>
      <family val="2"/>
      <scheme val="minor"/>
    </font>
    <font>
      <sz val="11"/>
      <color rgb="FFBFBFBF"/>
      <name val="Calibri"/>
      <family val="2"/>
      <scheme val="minor"/>
    </font>
    <font>
      <b/>
      <sz val="11"/>
      <color rgb="FFBFBFBF"/>
      <name val="Calibri"/>
      <family val="2"/>
      <scheme val="minor"/>
    </font>
    <font>
      <sz val="22"/>
      <color theme="0" tint="-4.9989318521683403E-2"/>
      <name val="Calibri"/>
      <family val="2"/>
      <scheme val="minor"/>
    </font>
    <font>
      <sz val="18"/>
      <color theme="0" tint="-4.9989318521683403E-2"/>
      <name val="Calibri"/>
      <family val="2"/>
      <scheme val="minor"/>
    </font>
    <font>
      <b/>
      <sz val="11"/>
      <name val="Calibri"/>
      <family val="2"/>
      <scheme val="minor"/>
    </font>
    <font>
      <sz val="9"/>
      <color indexed="81"/>
      <name val="Tahoma"/>
      <family val="2"/>
    </font>
    <font>
      <sz val="14"/>
      <color theme="4" tint="-0.499984740745262"/>
      <name val="Calibri"/>
      <family val="2"/>
      <scheme val="minor"/>
    </font>
    <font>
      <b/>
      <sz val="11"/>
      <color theme="1"/>
      <name val="Calibri"/>
      <family val="2"/>
      <scheme val="minor"/>
    </font>
    <font>
      <sz val="10"/>
      <color rgb="FF000000"/>
      <name val="Arial"/>
      <family val="2"/>
    </font>
    <font>
      <b/>
      <sz val="10"/>
      <color rgb="FF000000"/>
      <name val="Arial"/>
      <family val="2"/>
    </font>
    <font>
      <b/>
      <sz val="10"/>
      <color rgb="FFFF0000"/>
      <name val="Arial"/>
      <family val="2"/>
    </font>
    <font>
      <sz val="10"/>
      <color rgb="FFBFBFBF"/>
      <name val="Arial"/>
      <family val="2"/>
    </font>
    <font>
      <sz val="14"/>
      <color theme="6" tint="-0.499984740745262"/>
      <name val="Calibri"/>
      <family val="2"/>
      <scheme val="minor"/>
    </font>
    <font>
      <sz val="11"/>
      <color theme="4" tint="-0.249977111117893"/>
      <name val="Calibri"/>
      <family val="2"/>
      <scheme val="minor"/>
    </font>
  </fonts>
  <fills count="38">
    <fill>
      <patternFill patternType="none"/>
    </fill>
    <fill>
      <patternFill patternType="gray125"/>
    </fill>
    <fill>
      <patternFill patternType="solid">
        <fgColor theme="0"/>
        <bgColor indexed="64"/>
      </patternFill>
    </fill>
    <fill>
      <patternFill patternType="solid">
        <fgColor rgb="FFFFFFCC"/>
        <bgColor indexed="64"/>
      </patternFill>
    </fill>
    <fill>
      <patternFill patternType="solid">
        <fgColor rgb="FFFF5050"/>
        <bgColor indexed="64"/>
      </patternFill>
    </fill>
    <fill>
      <patternFill patternType="solid">
        <fgColor rgb="FFCCFFCC"/>
        <bgColor indexed="64"/>
      </patternFill>
    </fill>
    <fill>
      <patternFill patternType="solid">
        <fgColor theme="0" tint="-4.9989318521683403E-2"/>
        <bgColor indexed="64"/>
      </patternFill>
    </fill>
    <fill>
      <patternFill patternType="solid">
        <fgColor rgb="FFFFC000"/>
        <bgColor indexed="64"/>
      </patternFill>
    </fill>
    <fill>
      <patternFill patternType="solid">
        <fgColor rgb="FFFFCCFF"/>
        <bgColor indexed="64"/>
      </patternFill>
    </fill>
    <fill>
      <patternFill patternType="solid">
        <fgColor rgb="FFFFFF99"/>
        <bgColor indexed="64"/>
      </patternFill>
    </fill>
    <fill>
      <patternFill patternType="solid">
        <fgColor rgb="FFDBFFB7"/>
        <bgColor indexed="64"/>
      </patternFill>
    </fill>
    <fill>
      <patternFill patternType="solid">
        <fgColor rgb="FFDEBDFF"/>
        <bgColor indexed="64"/>
      </patternFill>
    </fill>
    <fill>
      <patternFill patternType="solid">
        <fgColor rgb="FFFF6699"/>
        <bgColor indexed="64"/>
      </patternFill>
    </fill>
    <fill>
      <patternFill patternType="solid">
        <fgColor rgb="FF33F729"/>
        <bgColor indexed="64"/>
      </patternFill>
    </fill>
    <fill>
      <patternFill patternType="solid">
        <fgColor theme="6" tint="0.79998168889431442"/>
        <bgColor indexed="64"/>
      </patternFill>
    </fill>
    <fill>
      <patternFill patternType="solid">
        <fgColor rgb="FFFF7C80"/>
        <bgColor indexed="64"/>
      </patternFill>
    </fill>
    <fill>
      <patternFill patternType="solid">
        <fgColor rgb="FFC00000"/>
        <bgColor indexed="64"/>
      </patternFill>
    </fill>
    <fill>
      <patternFill patternType="solid">
        <fgColor theme="1" tint="0.499984740745262"/>
        <bgColor indexed="64"/>
      </patternFill>
    </fill>
    <fill>
      <patternFill patternType="solid">
        <fgColor theme="4" tint="-0.249977111117893"/>
        <bgColor indexed="64"/>
      </patternFill>
    </fill>
    <fill>
      <patternFill patternType="solid">
        <fgColor theme="4" tint="0.79998168889431442"/>
        <bgColor indexed="64"/>
      </patternFill>
    </fill>
    <fill>
      <patternFill patternType="solid">
        <fgColor rgb="FFFFFFFF"/>
        <bgColor indexed="64"/>
      </patternFill>
    </fill>
    <fill>
      <patternFill patternType="solid">
        <fgColor rgb="FFBFBFBF"/>
        <bgColor indexed="64"/>
      </patternFill>
    </fill>
    <fill>
      <patternFill patternType="solid">
        <fgColor rgb="FFF2F2F2"/>
        <bgColor indexed="64"/>
      </patternFill>
    </fill>
    <fill>
      <patternFill patternType="solid">
        <fgColor rgb="FFD9D9D9"/>
        <bgColor indexed="64"/>
      </patternFill>
    </fill>
    <fill>
      <patternFill patternType="solid">
        <fgColor rgb="FFFFFF00"/>
        <bgColor indexed="64"/>
      </patternFill>
    </fill>
    <fill>
      <patternFill patternType="solid">
        <fgColor rgb="FFC0C0C0"/>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rgb="FFF5F5F5"/>
        <bgColor indexed="64"/>
      </patternFill>
    </fill>
    <fill>
      <patternFill patternType="solid">
        <fgColor rgb="FFB7DEE8"/>
        <bgColor indexed="64"/>
      </patternFill>
    </fill>
    <fill>
      <patternFill patternType="solid">
        <fgColor rgb="FFFABF8F"/>
        <bgColor indexed="64"/>
      </patternFill>
    </fill>
    <fill>
      <patternFill patternType="solid">
        <fgColor rgb="FFFCD5B4"/>
        <bgColor indexed="64"/>
      </patternFill>
    </fill>
    <fill>
      <patternFill patternType="solid">
        <fgColor rgb="FFCCC0DA"/>
        <bgColor indexed="64"/>
      </patternFill>
    </fill>
    <fill>
      <patternFill patternType="solid">
        <fgColor rgb="FFE26B0A"/>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F3F3F3"/>
        <bgColor indexed="64"/>
      </patternFill>
    </fill>
    <fill>
      <patternFill patternType="solid">
        <fgColor rgb="FFE8E8E8"/>
        <bgColor indexed="64"/>
      </patternFill>
    </fill>
  </fills>
  <borders count="4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top style="thin">
        <color theme="1" tint="0.499984740745262"/>
      </top>
      <bottom/>
      <diagonal/>
    </border>
    <border>
      <left style="thin">
        <color theme="1" tint="0.499984740745262"/>
      </left>
      <right/>
      <top style="thin">
        <color theme="1" tint="0.499984740745262"/>
      </top>
      <bottom style="thin">
        <color theme="1" tint="0.499984740745262"/>
      </bottom>
      <diagonal/>
    </border>
    <border>
      <left/>
      <right/>
      <top/>
      <bottom style="thin">
        <color theme="1" tint="0.499984740745262"/>
      </bottom>
      <diagonal/>
    </border>
    <border>
      <left style="thin">
        <color theme="1" tint="0.499984740745262"/>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style="thin">
        <color theme="1" tint="0.499984740745262"/>
      </bottom>
      <diagonal/>
    </border>
    <border>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right style="thin">
        <color theme="1" tint="0.499984740745262"/>
      </right>
      <top/>
      <bottom/>
      <diagonal/>
    </border>
    <border>
      <left style="thin">
        <color theme="1" tint="0.499984740745262"/>
      </left>
      <right/>
      <top/>
      <bottom/>
      <diagonal/>
    </border>
    <border>
      <left/>
      <right/>
      <top/>
      <bottom style="thin">
        <color theme="6" tint="-0.499984740745262"/>
      </bottom>
      <diagonal/>
    </border>
    <border>
      <left style="thin">
        <color theme="1" tint="0.499984740745262"/>
      </left>
      <right style="thin">
        <color theme="1" tint="0.499984740745262"/>
      </right>
      <top style="thin">
        <color theme="6" tint="-0.499984740745262"/>
      </top>
      <bottom style="thin">
        <color theme="6" tint="-0.499984740745262"/>
      </bottom>
      <diagonal/>
    </border>
    <border>
      <left/>
      <right/>
      <top style="thin">
        <color theme="6" tint="-0.499984740745262"/>
      </top>
      <bottom style="thin">
        <color theme="6"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style="thin">
        <color theme="0" tint="-0.34998626667073579"/>
      </top>
      <bottom style="dotted">
        <color theme="0" tint="-0.34998626667073579"/>
      </bottom>
      <diagonal/>
    </border>
    <border>
      <left style="thin">
        <color theme="0" tint="-0.34998626667073579"/>
      </left>
      <right style="thin">
        <color theme="0" tint="-0.34998626667073579"/>
      </right>
      <top style="dotted">
        <color theme="0" tint="-0.34998626667073579"/>
      </top>
      <bottom style="dotted">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bottom style="thin">
        <color theme="0" tint="-0.34998626667073579"/>
      </bottom>
      <diagonal/>
    </border>
    <border>
      <left/>
      <right/>
      <top style="dashed">
        <color rgb="FFC8C8C8"/>
      </top>
      <bottom/>
      <diagonal/>
    </border>
    <border>
      <left/>
      <right/>
      <top style="dashed">
        <color rgb="FFC8C8C8"/>
      </top>
      <bottom style="dashed">
        <color rgb="FFC8C8C8"/>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6" tint="-0.499984740745262"/>
      </left>
      <right/>
      <top style="thin">
        <color theme="6" tint="-0.499984740745262"/>
      </top>
      <bottom style="thin">
        <color theme="6" tint="-0.499984740745262"/>
      </bottom>
      <diagonal/>
    </border>
    <border>
      <left/>
      <right style="thin">
        <color theme="6" tint="-0.499984740745262"/>
      </right>
      <top style="thin">
        <color theme="6" tint="-0.499984740745262"/>
      </top>
      <bottom style="thin">
        <color theme="6" tint="-0.499984740745262"/>
      </bottom>
      <diagonal/>
    </border>
  </borders>
  <cellStyleXfs count="77">
    <xf numFmtId="0" fontId="0" fillId="0" borderId="0"/>
    <xf numFmtId="0" fontId="3" fillId="0" borderId="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4" fontId="1" fillId="0" borderId="0" applyFont="0" applyFill="0" applyBorder="0" applyAlignment="0" applyProtection="0"/>
    <xf numFmtId="166" fontId="4" fillId="0" borderId="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2" fillId="0" borderId="0"/>
    <xf numFmtId="0" fontId="4" fillId="0" borderId="0"/>
    <xf numFmtId="0" fontId="4" fillId="0" borderId="0"/>
    <xf numFmtId="0" fontId="1" fillId="0" borderId="0"/>
    <xf numFmtId="0" fontId="4" fillId="0" borderId="0"/>
    <xf numFmtId="0" fontId="1" fillId="0" borderId="0"/>
    <xf numFmtId="0" fontId="1" fillId="0" borderId="0"/>
    <xf numFmtId="0" fontId="4" fillId="0" borderId="0"/>
    <xf numFmtId="0" fontId="1" fillId="0" borderId="0"/>
    <xf numFmtId="0" fontId="5" fillId="0" borderId="0"/>
    <xf numFmtId="0" fontId="1" fillId="0" borderId="0"/>
    <xf numFmtId="0" fontId="1" fillId="0" borderId="0"/>
    <xf numFmtId="0" fontId="1" fillId="0" borderId="0"/>
    <xf numFmtId="0" fontId="4" fillId="0" borderId="0"/>
    <xf numFmtId="0" fontId="1" fillId="0" borderId="0"/>
    <xf numFmtId="0" fontId="4" fillId="0" borderId="0"/>
    <xf numFmtId="0" fontId="6" fillId="0" borderId="0"/>
    <xf numFmtId="0" fontId="7" fillId="0" borderId="0"/>
    <xf numFmtId="0" fontId="6" fillId="0" borderId="0"/>
    <xf numFmtId="0" fontId="4" fillId="0" borderId="0"/>
    <xf numFmtId="0" fontId="1" fillId="0" borderId="0"/>
    <xf numFmtId="0" fontId="7" fillId="0" borderId="0"/>
    <xf numFmtId="0" fontId="1" fillId="0" borderId="0"/>
    <xf numFmtId="0" fontId="1" fillId="0" borderId="0"/>
    <xf numFmtId="0" fontId="1" fillId="0" borderId="0"/>
    <xf numFmtId="0" fontId="6" fillId="0" borderId="0"/>
    <xf numFmtId="0" fontId="2" fillId="0" borderId="0"/>
    <xf numFmtId="0" fontId="2" fillId="0" borderId="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0" borderId="0"/>
    <xf numFmtId="164" fontId="1" fillId="0" borderId="0" applyFont="0" applyFill="0" applyBorder="0" applyAlignment="0" applyProtection="0"/>
    <xf numFmtId="0" fontId="10" fillId="0" borderId="0" applyNumberFormat="0" applyFill="0" applyBorder="0" applyAlignment="0" applyProtection="0"/>
    <xf numFmtId="0" fontId="9" fillId="0" borderId="0">
      <alignment vertical="top"/>
    </xf>
    <xf numFmtId="0" fontId="12" fillId="0" borderId="0">
      <alignment vertical="top"/>
    </xf>
    <xf numFmtId="0" fontId="11" fillId="0" borderId="0"/>
    <xf numFmtId="0" fontId="9" fillId="0" borderId="0">
      <alignment vertical="top"/>
    </xf>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287">
    <xf numFmtId="0" fontId="0" fillId="0" borderId="0" xfId="0"/>
    <xf numFmtId="0" fontId="0" fillId="0" borderId="0" xfId="0" applyFill="1" applyBorder="1" applyAlignment="1">
      <alignment horizontal="center" vertical="center"/>
    </xf>
    <xf numFmtId="0" fontId="0" fillId="0" borderId="0" xfId="0" applyFont="1" applyBorder="1" applyAlignment="1">
      <alignment horizontal="left" vertical="center"/>
    </xf>
    <xf numFmtId="0" fontId="0" fillId="0" borderId="0" xfId="0"/>
    <xf numFmtId="0" fontId="14" fillId="0" borderId="0" xfId="0" applyFont="1" applyFill="1" applyBorder="1" applyAlignment="1">
      <alignment horizontal="center" vertical="center"/>
    </xf>
    <xf numFmtId="0" fontId="18" fillId="0" borderId="0" xfId="0" applyFont="1" applyFill="1" applyBorder="1" applyAlignment="1">
      <alignment horizontal="center" vertical="center"/>
    </xf>
    <xf numFmtId="0" fontId="18" fillId="0" borderId="0" xfId="0" applyFont="1" applyBorder="1" applyAlignment="1">
      <alignment horizontal="left" vertical="center"/>
    </xf>
    <xf numFmtId="0" fontId="18" fillId="0" borderId="0" xfId="0" applyFont="1" applyBorder="1" applyAlignment="1">
      <alignment horizontal="center" vertical="center"/>
    </xf>
    <xf numFmtId="0" fontId="19" fillId="0" borderId="0" xfId="0" applyFont="1" applyFill="1" applyBorder="1" applyAlignment="1">
      <alignment horizontal="center" vertical="center"/>
    </xf>
    <xf numFmtId="0" fontId="19" fillId="0" borderId="0" xfId="0" applyFont="1" applyBorder="1" applyAlignment="1">
      <alignment horizontal="left" vertical="center"/>
    </xf>
    <xf numFmtId="0" fontId="19" fillId="0" borderId="0" xfId="0" applyFont="1" applyBorder="1" applyAlignment="1">
      <alignment horizontal="center" vertical="center"/>
    </xf>
    <xf numFmtId="167" fontId="0" fillId="0" borderId="0" xfId="0" applyNumberFormat="1" applyFill="1" applyBorder="1" applyAlignment="1">
      <alignment horizontal="center" vertical="center"/>
    </xf>
    <xf numFmtId="167" fontId="0" fillId="0" borderId="0" xfId="0" applyNumberFormat="1" applyFont="1" applyBorder="1" applyAlignment="1">
      <alignment horizontal="left" vertical="center"/>
    </xf>
    <xf numFmtId="0" fontId="0" fillId="2" borderId="0" xfId="0" applyFill="1" applyBorder="1" applyAlignment="1">
      <alignment vertical="center"/>
    </xf>
    <xf numFmtId="0" fontId="0" fillId="0" borderId="0" xfId="0" applyFill="1"/>
    <xf numFmtId="14" fontId="0" fillId="0" borderId="0" xfId="0" applyNumberFormat="1"/>
    <xf numFmtId="0" fontId="0" fillId="0" borderId="0" xfId="0" applyBorder="1" applyAlignment="1">
      <alignment horizontal="center" vertical="center"/>
    </xf>
    <xf numFmtId="0" fontId="15" fillId="0" borderId="0" xfId="0" applyFont="1" applyBorder="1" applyAlignment="1">
      <alignment horizontal="center" vertical="center"/>
    </xf>
    <xf numFmtId="0" fontId="2" fillId="0" borderId="0" xfId="0" applyFont="1" applyBorder="1" applyAlignment="1">
      <alignment horizontal="center" vertical="center"/>
    </xf>
    <xf numFmtId="0" fontId="8" fillId="0" borderId="0" xfId="0" applyFont="1" applyBorder="1" applyAlignment="1">
      <alignment horizontal="center" vertical="center"/>
    </xf>
    <xf numFmtId="167" fontId="0" fillId="0" borderId="0" xfId="0" applyNumberFormat="1" applyBorder="1" applyAlignment="1">
      <alignment horizontal="center" vertical="center"/>
    </xf>
    <xf numFmtId="0" fontId="14" fillId="0" borderId="0" xfId="0" applyFont="1" applyBorder="1" applyAlignment="1">
      <alignment horizontal="center" vertical="center"/>
    </xf>
    <xf numFmtId="0" fontId="10" fillId="0" borderId="0" xfId="64" applyFill="1" applyAlignment="1">
      <alignment horizontal="center" vertical="center"/>
    </xf>
    <xf numFmtId="0" fontId="0" fillId="0" borderId="0" xfId="0" applyFont="1" applyFill="1" applyBorder="1" applyAlignment="1">
      <alignment horizontal="center" vertical="center"/>
    </xf>
    <xf numFmtId="0" fontId="27" fillId="17" borderId="0" xfId="0" applyFont="1" applyFill="1" applyAlignment="1">
      <alignment horizontal="center" vertical="center" wrapText="1"/>
    </xf>
    <xf numFmtId="0" fontId="27" fillId="17" borderId="2" xfId="0" applyFont="1" applyFill="1" applyBorder="1" applyAlignment="1">
      <alignment horizontal="center" vertical="center" wrapText="1"/>
    </xf>
    <xf numFmtId="0" fontId="28" fillId="17" borderId="2" xfId="67" applyFont="1" applyFill="1" applyBorder="1" applyAlignment="1">
      <alignment horizontal="center" vertical="center" wrapText="1"/>
    </xf>
    <xf numFmtId="0" fontId="27" fillId="17" borderId="3" xfId="0" applyFont="1" applyFill="1" applyBorder="1" applyAlignment="1">
      <alignment horizontal="center" vertical="center" wrapText="1"/>
    </xf>
    <xf numFmtId="0" fontId="27" fillId="17" borderId="15" xfId="0" applyFont="1" applyFill="1" applyBorder="1" applyAlignment="1">
      <alignment horizontal="center" vertical="center" wrapText="1"/>
    </xf>
    <xf numFmtId="0" fontId="27" fillId="17" borderId="19" xfId="0" applyFont="1" applyFill="1" applyBorder="1" applyAlignment="1">
      <alignment horizontal="center" vertical="center" wrapText="1"/>
    </xf>
    <xf numFmtId="0" fontId="27" fillId="17" borderId="6" xfId="0" applyFont="1" applyFill="1" applyBorder="1" applyAlignment="1">
      <alignment horizontal="center" vertical="center" wrapText="1"/>
    </xf>
    <xf numFmtId="0" fontId="21" fillId="0" borderId="0" xfId="0" applyFont="1" applyBorder="1" applyAlignment="1">
      <alignment horizontal="center" vertical="center"/>
    </xf>
    <xf numFmtId="0" fontId="0" fillId="0" borderId="0" xfId="0" applyFont="1" applyBorder="1" applyAlignment="1">
      <alignment horizontal="center" vertical="center"/>
    </xf>
    <xf numFmtId="0" fontId="27" fillId="16" borderId="0" xfId="0" applyFont="1" applyFill="1" applyAlignment="1">
      <alignment horizontal="center" vertical="center" wrapText="1"/>
    </xf>
    <xf numFmtId="0" fontId="22" fillId="0" borderId="0" xfId="64" applyFont="1" applyFill="1" applyBorder="1" applyAlignment="1">
      <alignment horizontal="center" vertical="center"/>
    </xf>
    <xf numFmtId="0" fontId="29" fillId="0" borderId="0" xfId="0" applyFont="1" applyFill="1" applyBorder="1" applyAlignment="1">
      <alignment horizontal="center" vertical="center"/>
    </xf>
    <xf numFmtId="0" fontId="29" fillId="0" borderId="0" xfId="0" applyFont="1" applyBorder="1" applyAlignment="1">
      <alignment horizontal="left" vertical="center"/>
    </xf>
    <xf numFmtId="0" fontId="29" fillId="0" borderId="0" xfId="0" applyFont="1" applyBorder="1" applyAlignment="1">
      <alignment horizontal="center" vertical="center"/>
    </xf>
    <xf numFmtId="0" fontId="30" fillId="0" borderId="0" xfId="0" applyFont="1" applyFill="1" applyBorder="1" applyAlignment="1">
      <alignment horizontal="center" vertical="center"/>
    </xf>
    <xf numFmtId="0" fontId="30" fillId="0" borderId="0" xfId="0" applyFont="1" applyBorder="1" applyAlignment="1">
      <alignment horizontal="left" vertical="center"/>
    </xf>
    <xf numFmtId="0" fontId="30" fillId="0" borderId="0" xfId="0" applyFont="1" applyBorder="1" applyAlignment="1">
      <alignment horizontal="center" vertical="center"/>
    </xf>
    <xf numFmtId="0" fontId="31" fillId="0" borderId="0" xfId="64" applyFont="1" applyFill="1" applyBorder="1" applyAlignment="1"/>
    <xf numFmtId="0" fontId="0" fillId="18" borderId="0" xfId="0" applyFill="1" applyAlignment="1">
      <alignment horizontal="center" vertical="center"/>
    </xf>
    <xf numFmtId="0" fontId="0" fillId="16" borderId="0" xfId="0" applyFill="1" applyAlignment="1">
      <alignment horizontal="center" vertical="center"/>
    </xf>
    <xf numFmtId="0" fontId="32" fillId="0" borderId="0" xfId="0" applyFont="1" applyFill="1" applyBorder="1" applyAlignment="1">
      <alignment horizontal="center" vertical="center"/>
    </xf>
    <xf numFmtId="0" fontId="0" fillId="0" borderId="0" xfId="0" applyBorder="1" applyAlignment="1">
      <alignment horizontal="center" vertical="center"/>
    </xf>
    <xf numFmtId="0" fontId="25" fillId="0" borderId="24" xfId="0" applyFont="1" applyBorder="1" applyAlignment="1">
      <alignment horizontal="center" vertical="center"/>
    </xf>
    <xf numFmtId="0" fontId="23" fillId="0" borderId="0" xfId="0" applyFont="1" applyBorder="1" applyAlignment="1">
      <alignment horizontal="center" vertical="center"/>
    </xf>
    <xf numFmtId="0" fontId="2" fillId="0" borderId="0" xfId="0" applyFont="1" applyFill="1" applyBorder="1" applyAlignment="1">
      <alignment horizontal="center" vertical="center"/>
    </xf>
    <xf numFmtId="0" fontId="35" fillId="18" borderId="0" xfId="0" applyFont="1" applyFill="1" applyAlignment="1">
      <alignment horizontal="center"/>
    </xf>
    <xf numFmtId="0" fontId="36" fillId="6" borderId="0" xfId="0" applyFont="1" applyFill="1"/>
    <xf numFmtId="0" fontId="37" fillId="6" borderId="0" xfId="0" applyFont="1" applyFill="1" applyAlignment="1">
      <alignment horizontal="right"/>
    </xf>
    <xf numFmtId="0" fontId="31" fillId="0" borderId="0" xfId="0" applyFont="1"/>
    <xf numFmtId="0" fontId="37" fillId="0" borderId="0" xfId="0" applyFont="1"/>
    <xf numFmtId="0" fontId="33" fillId="6" borderId="23" xfId="0" applyFont="1" applyFill="1" applyBorder="1" applyAlignment="1">
      <alignment horizontal="center" vertical="center"/>
    </xf>
    <xf numFmtId="16" fontId="34" fillId="6" borderId="7" xfId="0" applyNumberFormat="1" applyFont="1" applyFill="1" applyBorder="1" applyAlignment="1">
      <alignment horizontal="center" vertical="center" textRotation="90"/>
    </xf>
    <xf numFmtId="0" fontId="34" fillId="2" borderId="11" xfId="0" applyFont="1" applyFill="1" applyBorder="1" applyAlignment="1">
      <alignment horizontal="center" vertical="center" textRotation="90"/>
    </xf>
    <xf numFmtId="0" fontId="34" fillId="6" borderId="11" xfId="0" applyFont="1" applyFill="1" applyBorder="1" applyAlignment="1" applyProtection="1">
      <alignment horizontal="center" vertical="center" textRotation="90" wrapText="1"/>
      <protection locked="0"/>
    </xf>
    <xf numFmtId="0" fontId="34" fillId="2" borderId="11" xfId="0" applyFont="1" applyFill="1" applyBorder="1" applyAlignment="1" applyProtection="1">
      <alignment horizontal="center" vertical="center" textRotation="90" wrapText="1"/>
      <protection locked="0"/>
    </xf>
    <xf numFmtId="0" fontId="34" fillId="6" borderId="11" xfId="0" applyFont="1" applyFill="1" applyBorder="1" applyAlignment="1" applyProtection="1">
      <alignment horizontal="center" vertical="center" textRotation="90"/>
      <protection locked="0"/>
    </xf>
    <xf numFmtId="0" fontId="34" fillId="2" borderId="9" xfId="0" applyFont="1" applyFill="1" applyBorder="1" applyAlignment="1">
      <alignment horizontal="center" vertical="center" textRotation="90"/>
    </xf>
    <xf numFmtId="0" fontId="34" fillId="0" borderId="0" xfId="0" applyFont="1" applyFill="1" applyBorder="1" applyAlignment="1">
      <alignment horizontal="center" vertical="center" textRotation="90"/>
    </xf>
    <xf numFmtId="0" fontId="31" fillId="0" borderId="0" xfId="0" applyFont="1" applyFill="1" applyBorder="1" applyAlignment="1">
      <alignment horizontal="center" vertical="center"/>
    </xf>
    <xf numFmtId="167" fontId="38" fillId="0" borderId="0" xfId="0" applyNumberFormat="1" applyFont="1" applyFill="1" applyBorder="1" applyAlignment="1">
      <alignment horizontal="center" vertical="center"/>
    </xf>
    <xf numFmtId="0" fontId="38" fillId="6" borderId="13" xfId="67" applyFont="1" applyFill="1" applyBorder="1" applyAlignment="1">
      <alignment horizontal="right" vertical="center"/>
    </xf>
    <xf numFmtId="14" fontId="22" fillId="0" borderId="0" xfId="0" applyNumberFormat="1" applyFont="1" applyFill="1" applyBorder="1" applyAlignment="1">
      <alignment horizontal="center" vertical="center"/>
    </xf>
    <xf numFmtId="0" fontId="0" fillId="0" borderId="0" xfId="0" applyAlignment="1">
      <alignment horizontal="center" vertical="center"/>
    </xf>
    <xf numFmtId="0" fontId="17" fillId="0" borderId="1" xfId="0" applyFont="1" applyFill="1" applyBorder="1" applyAlignment="1">
      <alignment horizontal="center" vertical="center"/>
    </xf>
    <xf numFmtId="1" fontId="0" fillId="0" borderId="1" xfId="0" applyNumberFormat="1" applyFill="1" applyBorder="1"/>
    <xf numFmtId="0" fontId="16" fillId="0" borderId="1" xfId="67" applyFont="1" applyFill="1" applyBorder="1" applyAlignment="1">
      <alignment horizontal="left" vertical="center"/>
    </xf>
    <xf numFmtId="0" fontId="16" fillId="0" borderId="1" xfId="67" applyFont="1" applyFill="1" applyBorder="1" applyAlignment="1">
      <alignment horizontal="center" vertical="center"/>
    </xf>
    <xf numFmtId="14" fontId="13" fillId="0" borderId="1" xfId="0" applyNumberFormat="1" applyFont="1" applyFill="1" applyBorder="1" applyAlignment="1" applyProtection="1">
      <alignment horizontal="center" vertical="center"/>
    </xf>
    <xf numFmtId="0" fontId="0" fillId="0" borderId="1" xfId="0" applyFont="1" applyFill="1" applyBorder="1" applyAlignment="1">
      <alignment horizontal="center" vertical="center"/>
    </xf>
    <xf numFmtId="0" fontId="10" fillId="0" borderId="1" xfId="64" applyFont="1" applyFill="1" applyBorder="1" applyAlignment="1">
      <alignment vertical="center"/>
    </xf>
    <xf numFmtId="14" fontId="17" fillId="0" borderId="1" xfId="0" applyNumberFormat="1" applyFont="1" applyFill="1" applyBorder="1" applyAlignment="1">
      <alignment horizontal="center" vertical="center"/>
    </xf>
    <xf numFmtId="0" fontId="17" fillId="0" borderId="1" xfId="0" applyFont="1" applyFill="1" applyBorder="1" applyAlignment="1">
      <alignment horizontal="left" vertical="center"/>
    </xf>
    <xf numFmtId="0" fontId="0" fillId="0" borderId="1" xfId="0" applyFill="1" applyBorder="1" applyAlignment="1">
      <alignment horizontal="center"/>
    </xf>
    <xf numFmtId="0" fontId="0" fillId="0" borderId="1" xfId="0" applyNumberFormat="1" applyFill="1" applyBorder="1"/>
    <xf numFmtId="169" fontId="0" fillId="0" borderId="1" xfId="0" applyNumberFormat="1" applyFont="1" applyFill="1" applyBorder="1" applyAlignment="1">
      <alignment horizontal="center" vertical="center"/>
    </xf>
    <xf numFmtId="0" fontId="10" fillId="0" borderId="1" xfId="64" applyFont="1" applyFill="1" applyBorder="1"/>
    <xf numFmtId="0" fontId="16" fillId="0" borderId="1" xfId="0" applyNumberFormat="1" applyFont="1" applyFill="1" applyBorder="1" applyAlignment="1">
      <alignment horizontal="left" vertical="center"/>
    </xf>
    <xf numFmtId="1" fontId="0" fillId="0" borderId="1" xfId="0" applyNumberFormat="1" applyFont="1" applyFill="1" applyBorder="1" applyAlignment="1" applyProtection="1">
      <alignment horizontal="center" vertical="center"/>
    </xf>
    <xf numFmtId="14" fontId="16" fillId="0" borderId="1" xfId="67" applyNumberFormat="1" applyFont="1" applyFill="1" applyBorder="1" applyAlignment="1">
      <alignment horizontal="center" vertical="center"/>
    </xf>
    <xf numFmtId="169" fontId="16" fillId="0" borderId="1" xfId="67" applyNumberFormat="1" applyFont="1" applyFill="1" applyBorder="1" applyAlignment="1">
      <alignment horizontal="center" vertical="center"/>
    </xf>
    <xf numFmtId="0" fontId="20" fillId="0" borderId="1" xfId="64" applyFont="1" applyFill="1" applyBorder="1"/>
    <xf numFmtId="0" fontId="20" fillId="0" borderId="1" xfId="64" applyFont="1" applyFill="1" applyBorder="1" applyAlignment="1">
      <alignment vertical="center"/>
    </xf>
    <xf numFmtId="14" fontId="13" fillId="0" borderId="1" xfId="67" applyNumberFormat="1" applyFont="1" applyFill="1" applyBorder="1" applyAlignment="1">
      <alignment horizontal="center" vertical="center"/>
    </xf>
    <xf numFmtId="172" fontId="43" fillId="0" borderId="0" xfId="0" applyNumberFormat="1" applyFont="1" applyFill="1" applyBorder="1" applyAlignment="1">
      <alignment horizontal="center" vertical="center"/>
    </xf>
    <xf numFmtId="172" fontId="43" fillId="0" borderId="31" xfId="0" applyNumberFormat="1" applyFont="1" applyBorder="1" applyAlignment="1">
      <alignment horizontal="center" vertical="center"/>
    </xf>
    <xf numFmtId="168" fontId="44" fillId="6" borderId="32" xfId="0" applyNumberFormat="1" applyFont="1" applyFill="1" applyBorder="1" applyAlignment="1">
      <alignment horizontal="right" vertical="center"/>
    </xf>
    <xf numFmtId="0" fontId="0" fillId="6" borderId="33" xfId="0" applyFill="1" applyBorder="1"/>
    <xf numFmtId="0" fontId="0" fillId="6" borderId="34" xfId="0" applyFill="1" applyBorder="1"/>
    <xf numFmtId="168" fontId="44" fillId="0" borderId="34" xfId="0" applyNumberFormat="1" applyFont="1" applyBorder="1" applyAlignment="1">
      <alignment horizontal="right" vertical="center"/>
    </xf>
    <xf numFmtId="0" fontId="0" fillId="0" borderId="34" xfId="0" applyBorder="1"/>
    <xf numFmtId="168" fontId="44" fillId="6" borderId="33" xfId="0" applyNumberFormat="1" applyFont="1" applyFill="1" applyBorder="1" applyAlignment="1">
      <alignment horizontal="right" vertical="center"/>
    </xf>
    <xf numFmtId="168" fontId="44" fillId="0" borderId="35" xfId="0" applyNumberFormat="1" applyFont="1" applyBorder="1" applyAlignment="1">
      <alignment horizontal="right" vertical="center"/>
    </xf>
    <xf numFmtId="0" fontId="0" fillId="0" borderId="35" xfId="0" applyBorder="1"/>
    <xf numFmtId="172" fontId="45" fillId="0" borderId="31" xfId="0" applyNumberFormat="1" applyFont="1" applyBorder="1" applyAlignment="1">
      <alignment horizontal="center" vertical="center"/>
    </xf>
    <xf numFmtId="0" fontId="0" fillId="0" borderId="1" xfId="0" applyBorder="1"/>
    <xf numFmtId="0" fontId="0" fillId="6" borderId="1" xfId="0" applyFont="1" applyFill="1" applyBorder="1" applyAlignment="1"/>
    <xf numFmtId="0" fontId="21" fillId="0" borderId="0" xfId="0" applyFont="1" applyFill="1" applyBorder="1" applyAlignment="1">
      <alignment horizontal="center" vertical="center"/>
    </xf>
    <xf numFmtId="0" fontId="0" fillId="0" borderId="0" xfId="0" applyFont="1" applyFill="1" applyBorder="1"/>
    <xf numFmtId="0" fontId="0" fillId="0" borderId="0" xfId="0" applyFont="1" applyBorder="1"/>
    <xf numFmtId="0" fontId="21" fillId="0" borderId="0" xfId="0" applyFont="1"/>
    <xf numFmtId="167" fontId="47" fillId="5" borderId="0" xfId="0" applyNumberFormat="1" applyFont="1" applyFill="1"/>
    <xf numFmtId="20" fontId="47" fillId="11" borderId="0" xfId="0" applyNumberFormat="1" applyFont="1" applyFill="1"/>
    <xf numFmtId="20" fontId="47" fillId="20" borderId="0" xfId="0" applyNumberFormat="1" applyFont="1" applyFill="1"/>
    <xf numFmtId="20" fontId="47" fillId="21" borderId="0" xfId="0" applyNumberFormat="1" applyFont="1" applyFill="1"/>
    <xf numFmtId="20" fontId="47" fillId="8" borderId="0" xfId="0" applyNumberFormat="1" applyFont="1" applyFill="1"/>
    <xf numFmtId="20" fontId="47" fillId="5" borderId="0" xfId="0" applyNumberFormat="1" applyFont="1" applyFill="1"/>
    <xf numFmtId="167" fontId="47" fillId="20" borderId="0" xfId="0" applyNumberFormat="1" applyFont="1" applyFill="1"/>
    <xf numFmtId="20" fontId="47" fillId="12" borderId="0" xfId="0" applyNumberFormat="1" applyFont="1" applyFill="1"/>
    <xf numFmtId="171" fontId="47" fillId="20" borderId="0" xfId="0" applyNumberFormat="1" applyFont="1" applyFill="1"/>
    <xf numFmtId="167" fontId="47" fillId="10" borderId="0" xfId="0" applyNumberFormat="1" applyFont="1" applyFill="1"/>
    <xf numFmtId="167" fontId="47" fillId="12" borderId="0" xfId="0" applyNumberFormat="1" applyFont="1" applyFill="1"/>
    <xf numFmtId="167" fontId="47" fillId="11" borderId="0" xfId="0" applyNumberFormat="1" applyFont="1" applyFill="1"/>
    <xf numFmtId="0" fontId="47" fillId="11" borderId="0" xfId="0" applyNumberFormat="1" applyFont="1" applyFill="1"/>
    <xf numFmtId="0" fontId="48" fillId="15" borderId="0" xfId="0" applyNumberFormat="1" applyFont="1" applyFill="1"/>
    <xf numFmtId="0" fontId="48" fillId="20" borderId="0" xfId="0" applyNumberFormat="1" applyFont="1" applyFill="1"/>
    <xf numFmtId="0" fontId="48" fillId="21" borderId="0" xfId="0" applyNumberFormat="1" applyFont="1" applyFill="1"/>
    <xf numFmtId="0" fontId="48" fillId="3" borderId="0" xfId="0" applyNumberFormat="1" applyFont="1" applyFill="1"/>
    <xf numFmtId="0" fontId="48" fillId="5" borderId="0" xfId="0" applyNumberFormat="1" applyFont="1" applyFill="1"/>
    <xf numFmtId="0" fontId="47" fillId="3" borderId="0" xfId="0" applyNumberFormat="1" applyFont="1" applyFill="1"/>
    <xf numFmtId="0" fontId="48" fillId="22" borderId="0" xfId="0" applyNumberFormat="1" applyFont="1" applyFill="1"/>
    <xf numFmtId="0" fontId="48" fillId="4" borderId="0" xfId="0" applyNumberFormat="1" applyFont="1" applyFill="1"/>
    <xf numFmtId="0" fontId="47" fillId="15" borderId="0" xfId="0" applyNumberFormat="1" applyFont="1" applyFill="1"/>
    <xf numFmtId="0" fontId="47" fillId="5" borderId="0" xfId="0" applyNumberFormat="1" applyFont="1" applyFill="1"/>
    <xf numFmtId="0" fontId="47" fillId="20" borderId="0" xfId="0" applyNumberFormat="1" applyFont="1" applyFill="1"/>
    <xf numFmtId="14" fontId="48" fillId="20" borderId="7" xfId="0" applyNumberFormat="1" applyFont="1" applyFill="1" applyBorder="1" applyAlignment="1" applyProtection="1">
      <alignment horizontal="center" vertical="center"/>
    </xf>
    <xf numFmtId="168" fontId="24" fillId="2" borderId="9" xfId="0" applyNumberFormat="1" applyFont="1" applyFill="1" applyBorder="1" applyAlignment="1">
      <alignment vertical="center"/>
    </xf>
    <xf numFmtId="20" fontId="47" fillId="11" borderId="11" xfId="0" applyNumberFormat="1" applyFont="1" applyFill="1" applyBorder="1" applyAlignment="1" applyProtection="1">
      <alignment horizontal="center" vertical="center"/>
    </xf>
    <xf numFmtId="20" fontId="47" fillId="20" borderId="11" xfId="0" applyNumberFormat="1" applyFont="1" applyFill="1" applyBorder="1" applyAlignment="1" applyProtection="1">
      <alignment horizontal="center" vertical="center"/>
    </xf>
    <xf numFmtId="20" fontId="47" fillId="9" borderId="0" xfId="0" applyNumberFormat="1" applyFont="1" applyFill="1"/>
    <xf numFmtId="0" fontId="47" fillId="23" borderId="0" xfId="0" applyNumberFormat="1" applyFont="1" applyFill="1"/>
    <xf numFmtId="0" fontId="47" fillId="9" borderId="0" xfId="0" applyNumberFormat="1" applyFont="1" applyFill="1"/>
    <xf numFmtId="0" fontId="47" fillId="13" borderId="0" xfId="0" applyNumberFormat="1" applyFont="1" applyFill="1"/>
    <xf numFmtId="0" fontId="47" fillId="23" borderId="11" xfId="0" applyNumberFormat="1" applyFont="1" applyFill="1" applyBorder="1" applyAlignment="1" applyProtection="1">
      <alignment horizontal="center" vertical="center"/>
    </xf>
    <xf numFmtId="0" fontId="49" fillId="20" borderId="0" xfId="0" applyNumberFormat="1" applyFont="1" applyFill="1"/>
    <xf numFmtId="0" fontId="50" fillId="16" borderId="0" xfId="0" applyFont="1" applyFill="1" applyAlignment="1">
      <alignment horizontal="center" vertical="center"/>
    </xf>
    <xf numFmtId="0" fontId="51" fillId="19" borderId="0" xfId="0" applyFont="1" applyFill="1" applyAlignment="1">
      <alignment horizontal="center" vertical="center"/>
    </xf>
    <xf numFmtId="0" fontId="34" fillId="2" borderId="11" xfId="0" applyFont="1" applyFill="1" applyBorder="1" applyAlignment="1">
      <alignment horizontal="center" vertical="center"/>
    </xf>
    <xf numFmtId="0" fontId="34" fillId="6" borderId="11" xfId="0" applyFont="1" applyFill="1" applyBorder="1" applyAlignment="1" applyProtection="1">
      <alignment horizontal="center" vertical="center" wrapText="1"/>
      <protection locked="0"/>
    </xf>
    <xf numFmtId="0" fontId="34" fillId="2" borderId="11" xfId="0" applyFont="1" applyFill="1" applyBorder="1" applyAlignment="1" applyProtection="1">
      <alignment horizontal="center" vertical="center" wrapText="1"/>
      <protection locked="0"/>
    </xf>
    <xf numFmtId="0" fontId="34" fillId="6" borderId="11" xfId="0" applyFont="1" applyFill="1" applyBorder="1" applyAlignment="1" applyProtection="1">
      <alignment horizontal="center" vertical="center"/>
      <protection locked="0"/>
    </xf>
    <xf numFmtId="0" fontId="34" fillId="2" borderId="9" xfId="0" applyFont="1" applyFill="1" applyBorder="1" applyAlignment="1">
      <alignment horizontal="center" vertical="center"/>
    </xf>
    <xf numFmtId="0" fontId="34" fillId="0" borderId="0" xfId="0" applyFont="1" applyFill="1" applyBorder="1" applyAlignment="1">
      <alignment horizontal="center" vertical="center"/>
    </xf>
    <xf numFmtId="0" fontId="31" fillId="6" borderId="23" xfId="0" applyFont="1" applyFill="1" applyBorder="1" applyAlignment="1">
      <alignment horizontal="left" vertical="center"/>
    </xf>
    <xf numFmtId="167" fontId="47" fillId="21" borderId="0" xfId="0" applyNumberFormat="1" applyFont="1" applyFill="1"/>
    <xf numFmtId="0" fontId="47" fillId="7" borderId="0" xfId="0" applyNumberFormat="1" applyFont="1" applyFill="1"/>
    <xf numFmtId="20" fontId="47" fillId="7" borderId="0" xfId="0" applyNumberFormat="1" applyFont="1" applyFill="1"/>
    <xf numFmtId="0" fontId="47" fillId="24" borderId="0" xfId="0" applyNumberFormat="1" applyFont="1" applyFill="1"/>
    <xf numFmtId="168" fontId="47" fillId="11" borderId="0" xfId="0" applyNumberFormat="1" applyFont="1" applyFill="1"/>
    <xf numFmtId="20" fontId="47" fillId="23" borderId="0" xfId="0" applyNumberFormat="1" applyFont="1" applyFill="1"/>
    <xf numFmtId="0" fontId="48" fillId="23" borderId="0" xfId="0" applyNumberFormat="1" applyFont="1" applyFill="1"/>
    <xf numFmtId="0" fontId="53" fillId="23" borderId="0" xfId="0" applyNumberFormat="1" applyFont="1" applyFill="1"/>
    <xf numFmtId="0" fontId="47" fillId="21" borderId="0" xfId="0" applyNumberFormat="1" applyFont="1" applyFill="1"/>
    <xf numFmtId="0" fontId="52" fillId="25" borderId="0" xfId="0" applyNumberFormat="1" applyFont="1" applyFill="1"/>
    <xf numFmtId="0" fontId="48" fillId="25" borderId="0" xfId="0" applyNumberFormat="1" applyFont="1" applyFill="1"/>
    <xf numFmtId="0" fontId="47" fillId="25" borderId="0" xfId="0" applyNumberFormat="1" applyFont="1" applyFill="1"/>
    <xf numFmtId="0" fontId="0" fillId="20" borderId="0" xfId="0" applyNumberFormat="1" applyFont="1" applyFill="1"/>
    <xf numFmtId="0" fontId="0" fillId="22" borderId="0" xfId="0" applyNumberFormat="1" applyFont="1" applyFill="1"/>
    <xf numFmtId="167" fontId="47" fillId="5" borderId="11" xfId="0" applyNumberFormat="1" applyFont="1" applyFill="1" applyBorder="1" applyAlignment="1" applyProtection="1">
      <alignment horizontal="center" vertical="center"/>
    </xf>
    <xf numFmtId="0" fontId="0" fillId="26" borderId="0" xfId="0" applyFill="1"/>
    <xf numFmtId="0" fontId="27" fillId="26" borderId="0" xfId="0" applyFont="1" applyFill="1" applyBorder="1" applyAlignment="1">
      <alignment horizontal="center" vertical="center"/>
    </xf>
    <xf numFmtId="0" fontId="27" fillId="26" borderId="0" xfId="0" applyFont="1" applyFill="1"/>
    <xf numFmtId="0" fontId="56" fillId="0" borderId="0" xfId="0" applyFont="1" applyFill="1" applyBorder="1"/>
    <xf numFmtId="0" fontId="21" fillId="0" borderId="0" xfId="0" applyFont="1" applyFill="1" applyBorder="1"/>
    <xf numFmtId="14" fontId="21" fillId="0" borderId="0" xfId="0" applyNumberFormat="1" applyFont="1" applyFill="1" applyBorder="1"/>
    <xf numFmtId="0" fontId="56" fillId="0" borderId="0" xfId="0" applyFont="1" applyFill="1" applyBorder="1" applyAlignment="1">
      <alignment horizontal="center" vertical="center"/>
    </xf>
    <xf numFmtId="0" fontId="21" fillId="0" borderId="0" xfId="0" applyNumberFormat="1" applyFont="1" applyFill="1" applyBorder="1"/>
    <xf numFmtId="1" fontId="0" fillId="0" borderId="0" xfId="0" applyNumberFormat="1"/>
    <xf numFmtId="171" fontId="0" fillId="0" borderId="0" xfId="0" applyNumberFormat="1"/>
    <xf numFmtId="22" fontId="0" fillId="0" borderId="0" xfId="0" applyNumberFormat="1"/>
    <xf numFmtId="174" fontId="0" fillId="0" borderId="0" xfId="0" applyNumberFormat="1"/>
    <xf numFmtId="167" fontId="47" fillId="20" borderId="11" xfId="0" applyNumberFormat="1" applyFont="1" applyFill="1" applyBorder="1" applyAlignment="1" applyProtection="1">
      <alignment horizontal="center" vertical="center"/>
    </xf>
    <xf numFmtId="0" fontId="0" fillId="27" borderId="0" xfId="0" applyFill="1"/>
    <xf numFmtId="0" fontId="0" fillId="0" borderId="36" xfId="0" applyBorder="1" applyAlignment="1">
      <alignment vertical="center"/>
    </xf>
    <xf numFmtId="0" fontId="0" fillId="0" borderId="36" xfId="0" applyBorder="1"/>
    <xf numFmtId="0" fontId="51" fillId="28" borderId="36" xfId="0" applyFont="1" applyFill="1" applyBorder="1" applyAlignment="1">
      <alignment horizontal="center" vertical="center"/>
    </xf>
    <xf numFmtId="20" fontId="58" fillId="28" borderId="36" xfId="0" applyNumberFormat="1" applyFont="1" applyFill="1" applyBorder="1" applyAlignment="1">
      <alignment horizontal="center" vertical="center"/>
    </xf>
    <xf numFmtId="0" fontId="0" fillId="28" borderId="36" xfId="0" applyFill="1" applyBorder="1" applyAlignment="1">
      <alignment vertical="center"/>
    </xf>
    <xf numFmtId="0" fontId="0" fillId="28" borderId="36" xfId="0" applyFill="1" applyBorder="1"/>
    <xf numFmtId="168" fontId="47" fillId="11" borderId="11" xfId="0" applyNumberFormat="1" applyFont="1" applyFill="1" applyBorder="1" applyAlignment="1" applyProtection="1">
      <alignment horizontal="center" vertical="center"/>
    </xf>
    <xf numFmtId="0" fontId="0" fillId="0" borderId="1" xfId="0" applyBorder="1" applyAlignment="1">
      <alignment horizontal="center" vertical="center"/>
    </xf>
    <xf numFmtId="0" fontId="0" fillId="6" borderId="1" xfId="0" applyFill="1" applyBorder="1"/>
    <xf numFmtId="0" fontId="55" fillId="26" borderId="8" xfId="0" applyFont="1" applyFill="1" applyBorder="1" applyAlignment="1">
      <alignment vertical="center"/>
    </xf>
    <xf numFmtId="14" fontId="0" fillId="6" borderId="1" xfId="0" applyNumberFormat="1" applyFill="1" applyBorder="1" applyAlignment="1">
      <alignment horizontal="center" vertical="center"/>
    </xf>
    <xf numFmtId="14" fontId="0" fillId="0" borderId="1" xfId="0" applyNumberFormat="1" applyBorder="1" applyAlignment="1">
      <alignment horizontal="center" vertical="center"/>
    </xf>
    <xf numFmtId="0" fontId="21" fillId="0" borderId="0" xfId="0" applyNumberFormat="1" applyFont="1" applyFill="1" applyBorder="1" applyAlignment="1">
      <alignment horizontal="center" vertical="center"/>
    </xf>
    <xf numFmtId="173" fontId="21" fillId="0" borderId="0" xfId="0" applyNumberFormat="1" applyFont="1" applyFill="1" applyBorder="1" applyAlignment="1">
      <alignment horizontal="left" vertical="center"/>
    </xf>
    <xf numFmtId="22" fontId="21" fillId="0" borderId="0" xfId="0" applyNumberFormat="1" applyFont="1" applyFill="1" applyBorder="1"/>
    <xf numFmtId="0" fontId="0" fillId="0" borderId="0" xfId="0" applyBorder="1"/>
    <xf numFmtId="22" fontId="0" fillId="0" borderId="0" xfId="0" applyNumberFormat="1" applyBorder="1"/>
    <xf numFmtId="0" fontId="0" fillId="28" borderId="37" xfId="0" applyFill="1" applyBorder="1" applyAlignment="1">
      <alignment vertical="center"/>
    </xf>
    <xf numFmtId="0" fontId="0" fillId="28" borderId="37" xfId="0" applyFill="1" applyBorder="1"/>
    <xf numFmtId="0" fontId="59" fillId="0" borderId="0" xfId="0" applyFont="1"/>
    <xf numFmtId="0" fontId="48" fillId="29" borderId="0" xfId="0" applyNumberFormat="1" applyFont="1" applyFill="1"/>
    <xf numFmtId="0" fontId="0" fillId="30" borderId="0" xfId="0" applyNumberFormat="1" applyFont="1" applyFill="1"/>
    <xf numFmtId="0" fontId="48" fillId="30" borderId="0" xfId="0" applyNumberFormat="1" applyFont="1" applyFill="1"/>
    <xf numFmtId="0" fontId="49" fillId="31" borderId="0" xfId="0" applyNumberFormat="1" applyFont="1" applyFill="1"/>
    <xf numFmtId="0" fontId="49" fillId="21" borderId="0" xfId="0" applyNumberFormat="1" applyFont="1" applyFill="1"/>
    <xf numFmtId="0" fontId="0" fillId="31" borderId="0" xfId="0" applyNumberFormat="1" applyFont="1" applyFill="1"/>
    <xf numFmtId="0" fontId="48" fillId="32" borderId="0" xfId="0" applyNumberFormat="1" applyFont="1" applyFill="1"/>
    <xf numFmtId="0" fontId="49" fillId="30" borderId="0" xfId="0" applyNumberFormat="1" applyFont="1" applyFill="1"/>
    <xf numFmtId="0" fontId="0" fillId="32" borderId="0" xfId="0" applyNumberFormat="1" applyFont="1" applyFill="1"/>
    <xf numFmtId="0" fontId="0" fillId="33" borderId="0" xfId="0" applyNumberFormat="1" applyFont="1" applyFill="1"/>
    <xf numFmtId="0" fontId="48" fillId="33" borderId="0" xfId="0" applyNumberFormat="1" applyFont="1" applyFill="1"/>
    <xf numFmtId="0" fontId="60" fillId="30" borderId="7" xfId="0" applyNumberFormat="1" applyFont="1" applyFill="1" applyBorder="1" applyAlignment="1">
      <alignment horizontal="center" vertical="center"/>
    </xf>
    <xf numFmtId="0" fontId="60" fillId="20" borderId="7" xfId="0" applyNumberFormat="1" applyFont="1" applyFill="1" applyBorder="1" applyAlignment="1">
      <alignment horizontal="center" vertical="center"/>
    </xf>
    <xf numFmtId="0" fontId="60" fillId="25" borderId="7" xfId="0" applyNumberFormat="1" applyFont="1" applyFill="1" applyBorder="1" applyAlignment="1">
      <alignment horizontal="center" vertical="center"/>
    </xf>
    <xf numFmtId="0" fontId="60" fillId="22" borderId="7" xfId="0" applyNumberFormat="1" applyFont="1" applyFill="1" applyBorder="1" applyAlignment="1">
      <alignment horizontal="center" vertical="center"/>
    </xf>
    <xf numFmtId="0" fontId="60" fillId="15" borderId="7" xfId="0" applyNumberFormat="1" applyFont="1" applyFill="1" applyBorder="1" applyAlignment="1">
      <alignment horizontal="center" vertical="center"/>
    </xf>
    <xf numFmtId="0" fontId="60" fillId="3" borderId="7" xfId="0" applyNumberFormat="1" applyFont="1" applyFill="1" applyBorder="1" applyAlignment="1">
      <alignment horizontal="center" vertical="center"/>
    </xf>
    <xf numFmtId="0" fontId="61" fillId="25" borderId="7" xfId="0" applyNumberFormat="1" applyFont="1" applyFill="1" applyBorder="1" applyAlignment="1">
      <alignment horizontal="center" vertical="center"/>
    </xf>
    <xf numFmtId="0" fontId="60" fillId="21" borderId="7" xfId="0" applyNumberFormat="1" applyFont="1" applyFill="1" applyBorder="1" applyAlignment="1">
      <alignment horizontal="center" vertical="center"/>
    </xf>
    <xf numFmtId="0" fontId="60" fillId="5" borderId="7" xfId="0" applyNumberFormat="1" applyFont="1" applyFill="1" applyBorder="1" applyAlignment="1">
      <alignment horizontal="center" vertical="center"/>
    </xf>
    <xf numFmtId="0" fontId="62" fillId="30" borderId="7" xfId="0" applyNumberFormat="1" applyFont="1" applyFill="1" applyBorder="1" applyAlignment="1">
      <alignment horizontal="center" vertical="center"/>
    </xf>
    <xf numFmtId="0" fontId="63" fillId="25" borderId="7" xfId="0" applyNumberFormat="1" applyFont="1" applyFill="1" applyBorder="1" applyAlignment="1">
      <alignment horizontal="center" vertical="center"/>
    </xf>
    <xf numFmtId="0" fontId="62" fillId="20" borderId="7" xfId="0" applyNumberFormat="1" applyFont="1" applyFill="1" applyBorder="1" applyAlignment="1">
      <alignment horizontal="center" vertical="center"/>
    </xf>
    <xf numFmtId="0" fontId="62" fillId="31" borderId="7" xfId="0" applyNumberFormat="1" applyFont="1" applyFill="1" applyBorder="1" applyAlignment="1">
      <alignment horizontal="center" vertical="center"/>
    </xf>
    <xf numFmtId="0" fontId="48" fillId="0" borderId="11" xfId="0" applyNumberFormat="1" applyFont="1" applyFill="1" applyBorder="1" applyAlignment="1" applyProtection="1">
      <alignment horizontal="center" vertical="center"/>
    </xf>
    <xf numFmtId="167" fontId="47" fillId="12" borderId="11" xfId="0" applyNumberFormat="1" applyFont="1" applyFill="1" applyBorder="1" applyAlignment="1" applyProtection="1">
      <alignment horizontal="center" vertical="center"/>
    </xf>
    <xf numFmtId="0" fontId="61" fillId="3" borderId="7" xfId="0" applyNumberFormat="1" applyFont="1" applyFill="1" applyBorder="1" applyAlignment="1">
      <alignment horizontal="center" vertical="center"/>
    </xf>
    <xf numFmtId="0" fontId="59" fillId="0" borderId="0" xfId="0" applyFont="1" applyFill="1" applyBorder="1"/>
    <xf numFmtId="0" fontId="0" fillId="0" borderId="1" xfId="0" applyFill="1" applyBorder="1"/>
    <xf numFmtId="0" fontId="0" fillId="0" borderId="1" xfId="0" applyFill="1" applyBorder="1" applyAlignment="1">
      <alignment horizontal="center" vertical="center"/>
    </xf>
    <xf numFmtId="0" fontId="0" fillId="0" borderId="1" xfId="0" applyBorder="1" applyAlignment="1">
      <alignment horizontal="center"/>
    </xf>
    <xf numFmtId="22" fontId="0" fillId="6" borderId="1" xfId="0" applyNumberFormat="1" applyFill="1" applyBorder="1" applyAlignment="1">
      <alignment horizontal="center" vertical="center"/>
    </xf>
    <xf numFmtId="22" fontId="0" fillId="0" borderId="1" xfId="0" applyNumberFormat="1" applyFill="1" applyBorder="1" applyAlignment="1">
      <alignment horizontal="center" vertical="center"/>
    </xf>
    <xf numFmtId="0" fontId="0" fillId="34" borderId="38" xfId="0" applyFill="1" applyBorder="1" applyAlignment="1">
      <alignment horizontal="right" vertical="center"/>
    </xf>
    <xf numFmtId="1" fontId="0" fillId="34" borderId="38" xfId="0" applyNumberFormat="1" applyFill="1" applyBorder="1" applyAlignment="1">
      <alignment horizontal="center" vertical="center"/>
    </xf>
    <xf numFmtId="20" fontId="0" fillId="34" borderId="38" xfId="0" applyNumberFormat="1" applyFill="1" applyBorder="1" applyAlignment="1">
      <alignment horizontal="center" vertical="center"/>
    </xf>
    <xf numFmtId="0" fontId="0" fillId="34" borderId="38" xfId="0" applyFill="1" applyBorder="1" applyAlignment="1">
      <alignment horizontal="center" vertical="center"/>
    </xf>
    <xf numFmtId="0" fontId="26" fillId="35" borderId="0" xfId="64" applyFont="1" applyFill="1" applyBorder="1" applyAlignment="1">
      <alignment horizontal="left" vertical="center"/>
    </xf>
    <xf numFmtId="0" fontId="22" fillId="35" borderId="0" xfId="64" applyFont="1" applyFill="1" applyBorder="1" applyAlignment="1">
      <alignment horizontal="center" vertical="center"/>
    </xf>
    <xf numFmtId="0" fontId="0" fillId="2" borderId="0" xfId="0" applyFill="1"/>
    <xf numFmtId="0" fontId="65" fillId="2" borderId="0" xfId="0" applyFont="1" applyFill="1" applyAlignment="1">
      <alignment horizontal="center" vertical="center"/>
    </xf>
    <xf numFmtId="0" fontId="0" fillId="36" borderId="0" xfId="0" applyFill="1"/>
    <xf numFmtId="0" fontId="0" fillId="36" borderId="0" xfId="0" applyFill="1" applyAlignment="1"/>
    <xf numFmtId="0" fontId="54" fillId="26" borderId="0" xfId="0" applyFont="1" applyFill="1" applyAlignment="1">
      <alignment horizontal="center" vertical="center"/>
    </xf>
    <xf numFmtId="170" fontId="64" fillId="14" borderId="39" xfId="0" applyNumberFormat="1" applyFont="1" applyFill="1" applyBorder="1" applyAlignment="1">
      <alignment horizontal="center" vertical="center"/>
    </xf>
    <xf numFmtId="170" fontId="64" fillId="14" borderId="24" xfId="0" applyNumberFormat="1" applyFont="1" applyFill="1" applyBorder="1" applyAlignment="1">
      <alignment horizontal="center" vertical="center"/>
    </xf>
    <xf numFmtId="170" fontId="64" fillId="14" borderId="40" xfId="0" applyNumberFormat="1" applyFont="1" applyFill="1" applyBorder="1" applyAlignment="1">
      <alignment horizontal="center" vertical="center"/>
    </xf>
    <xf numFmtId="0" fontId="27" fillId="37" borderId="0" xfId="0" applyFont="1" applyFill="1" applyBorder="1" applyAlignment="1">
      <alignment horizontal="center"/>
    </xf>
    <xf numFmtId="0" fontId="27" fillId="37" borderId="14" xfId="0" applyFont="1" applyFill="1" applyBorder="1" applyAlignment="1">
      <alignment horizontal="center"/>
    </xf>
    <xf numFmtId="0" fontId="0" fillId="37" borderId="12" xfId="0" applyFill="1" applyBorder="1" applyAlignment="1">
      <alignment horizontal="center"/>
    </xf>
    <xf numFmtId="0" fontId="0" fillId="37" borderId="16" xfId="0" applyFill="1" applyBorder="1" applyAlignment="1">
      <alignment horizontal="center"/>
    </xf>
    <xf numFmtId="0" fontId="0" fillId="37" borderId="0" xfId="0" applyFill="1" applyBorder="1" applyAlignment="1">
      <alignment horizontal="center"/>
    </xf>
    <xf numFmtId="0" fontId="0" fillId="37" borderId="20" xfId="0" applyFill="1" applyBorder="1" applyAlignment="1">
      <alignment horizontal="center"/>
    </xf>
    <xf numFmtId="170" fontId="46" fillId="14" borderId="0" xfId="0" applyNumberFormat="1" applyFont="1" applyFill="1" applyBorder="1" applyAlignment="1">
      <alignment horizontal="center" vertical="center"/>
    </xf>
    <xf numFmtId="0" fontId="55" fillId="26" borderId="22" xfId="0" applyFont="1" applyFill="1" applyBorder="1" applyAlignment="1">
      <alignment horizontal="center" vertical="center"/>
    </xf>
    <xf numFmtId="14" fontId="40" fillId="6" borderId="21" xfId="0" applyNumberFormat="1" applyFont="1" applyFill="1" applyBorder="1" applyAlignment="1">
      <alignment horizontal="center" vertical="center"/>
    </xf>
    <xf numFmtId="167" fontId="40" fillId="6" borderId="0" xfId="0" applyNumberFormat="1" applyFont="1" applyFill="1" applyBorder="1" applyAlignment="1">
      <alignment horizontal="center" vertical="center"/>
    </xf>
    <xf numFmtId="167" fontId="40" fillId="6" borderId="20" xfId="0" applyNumberFormat="1" applyFont="1" applyFill="1" applyBorder="1" applyAlignment="1">
      <alignment horizontal="center" vertical="center"/>
    </xf>
    <xf numFmtId="0" fontId="39" fillId="6" borderId="3" xfId="0" applyFont="1" applyFill="1" applyBorder="1" applyAlignment="1">
      <alignment horizontal="center" vertical="center"/>
    </xf>
    <xf numFmtId="0" fontId="39" fillId="6" borderId="10" xfId="0" applyFont="1" applyFill="1" applyBorder="1" applyAlignment="1">
      <alignment horizontal="center" vertical="center"/>
    </xf>
    <xf numFmtId="0" fontId="39" fillId="6" borderId="6" xfId="0" applyFont="1" applyFill="1" applyBorder="1" applyAlignment="1">
      <alignment horizontal="center" vertical="center"/>
    </xf>
    <xf numFmtId="0" fontId="39" fillId="6" borderId="15" xfId="0" applyFont="1" applyFill="1" applyBorder="1" applyAlignment="1">
      <alignment horizontal="center" vertical="center"/>
    </xf>
    <xf numFmtId="0" fontId="39" fillId="6" borderId="12" xfId="0" applyFont="1" applyFill="1" applyBorder="1" applyAlignment="1">
      <alignment horizontal="center" vertical="center"/>
    </xf>
    <xf numFmtId="0" fontId="39" fillId="6" borderId="16" xfId="0" applyFont="1" applyFill="1" applyBorder="1" applyAlignment="1">
      <alignment horizontal="center" vertical="center"/>
    </xf>
    <xf numFmtId="14" fontId="40" fillId="6" borderId="5" xfId="0" applyNumberFormat="1" applyFont="1" applyFill="1" applyBorder="1" applyAlignment="1">
      <alignment horizontal="center" vertical="center"/>
    </xf>
    <xf numFmtId="167" fontId="40" fillId="6" borderId="4" xfId="0" applyNumberFormat="1" applyFont="1" applyFill="1" applyBorder="1" applyAlignment="1">
      <alignment horizontal="center" vertical="center"/>
    </xf>
    <xf numFmtId="0" fontId="39" fillId="6" borderId="0" xfId="0" applyFont="1" applyFill="1" applyBorder="1" applyAlignment="1">
      <alignment horizontal="center"/>
    </xf>
    <xf numFmtId="0" fontId="41" fillId="18" borderId="0" xfId="0" applyFont="1" applyFill="1" applyBorder="1" applyAlignment="1">
      <alignment horizontal="center" vertical="center"/>
    </xf>
    <xf numFmtId="0" fontId="41" fillId="18" borderId="22" xfId="0" applyFont="1" applyFill="1" applyBorder="1" applyAlignment="1">
      <alignment horizontal="center" vertical="center"/>
    </xf>
    <xf numFmtId="14" fontId="40" fillId="6" borderId="14" xfId="0" applyNumberFormat="1" applyFont="1" applyFill="1" applyBorder="1" applyAlignment="1">
      <alignment horizontal="center" vertical="center"/>
    </xf>
    <xf numFmtId="14" fontId="40" fillId="6" borderId="18" xfId="0" applyNumberFormat="1" applyFont="1" applyFill="1" applyBorder="1" applyAlignment="1">
      <alignment horizontal="center" vertical="center"/>
    </xf>
    <xf numFmtId="14" fontId="40" fillId="6" borderId="0" xfId="0" applyNumberFormat="1" applyFont="1" applyFill="1" applyBorder="1" applyAlignment="1">
      <alignment horizontal="center" vertical="center"/>
    </xf>
    <xf numFmtId="14" fontId="40" fillId="6" borderId="20" xfId="0" applyNumberFormat="1" applyFont="1" applyFill="1" applyBorder="1" applyAlignment="1">
      <alignment horizontal="center" vertical="center"/>
    </xf>
    <xf numFmtId="0" fontId="55" fillId="26" borderId="8" xfId="0" applyFont="1" applyFill="1" applyBorder="1" applyAlignment="1">
      <alignment horizontal="center" vertical="center"/>
    </xf>
    <xf numFmtId="170" fontId="39" fillId="14" borderId="0" xfId="0" applyNumberFormat="1" applyFont="1" applyFill="1" applyBorder="1" applyAlignment="1">
      <alignment horizontal="center" vertical="center"/>
    </xf>
    <xf numFmtId="0" fontId="42" fillId="6" borderId="25" xfId="0" applyFont="1" applyFill="1" applyBorder="1" applyAlignment="1">
      <alignment horizontal="center"/>
    </xf>
    <xf numFmtId="0" fontId="42" fillId="6" borderId="26" xfId="0" applyFont="1" applyFill="1" applyBorder="1" applyAlignment="1">
      <alignment horizontal="center"/>
    </xf>
    <xf numFmtId="0" fontId="42" fillId="6" borderId="27" xfId="0" applyFont="1" applyFill="1" applyBorder="1" applyAlignment="1">
      <alignment horizontal="center"/>
    </xf>
    <xf numFmtId="170" fontId="46" fillId="19" borderId="28" xfId="0" applyNumberFormat="1" applyFont="1" applyFill="1" applyBorder="1" applyAlignment="1">
      <alignment horizontal="center" vertical="center"/>
    </xf>
    <xf numFmtId="170" fontId="46" fillId="19" borderId="29" xfId="0" applyNumberFormat="1" applyFont="1" applyFill="1" applyBorder="1" applyAlignment="1">
      <alignment horizontal="center" vertical="center"/>
    </xf>
    <xf numFmtId="170" fontId="46" fillId="19" borderId="30" xfId="0" applyNumberFormat="1" applyFont="1" applyFill="1" applyBorder="1" applyAlignment="1">
      <alignment horizontal="center" vertical="center"/>
    </xf>
    <xf numFmtId="175" fontId="64" fillId="14" borderId="39" xfId="0" applyNumberFormat="1" applyFont="1" applyFill="1" applyBorder="1" applyAlignment="1">
      <alignment horizontal="center" vertical="center"/>
    </xf>
    <xf numFmtId="175" fontId="64" fillId="14" borderId="24" xfId="0" applyNumberFormat="1" applyFont="1" applyFill="1" applyBorder="1" applyAlignment="1">
      <alignment horizontal="center" vertical="center"/>
    </xf>
    <xf numFmtId="175" fontId="64" fillId="14" borderId="40" xfId="0" applyNumberFormat="1" applyFont="1" applyFill="1" applyBorder="1" applyAlignment="1">
      <alignment horizontal="center" vertical="center"/>
    </xf>
    <xf numFmtId="0" fontId="55" fillId="26" borderId="14" xfId="64" applyFont="1" applyFill="1" applyBorder="1" applyAlignment="1">
      <alignment horizontal="center" vertical="center"/>
    </xf>
    <xf numFmtId="0" fontId="0" fillId="0" borderId="0" xfId="0" applyAlignment="1">
      <alignment vertical="center"/>
    </xf>
    <xf numFmtId="178" fontId="40" fillId="6" borderId="21" xfId="0" applyNumberFormat="1" applyFont="1" applyFill="1" applyBorder="1" applyAlignment="1">
      <alignment horizontal="center" vertical="center"/>
    </xf>
    <xf numFmtId="0" fontId="47" fillId="11" borderId="11" xfId="0" applyNumberFormat="1" applyFont="1" applyFill="1" applyBorder="1" applyAlignment="1" applyProtection="1">
      <alignment horizontal="center" vertical="center"/>
    </xf>
    <xf numFmtId="178" fontId="40" fillId="6" borderId="17" xfId="0" applyNumberFormat="1" applyFont="1" applyFill="1" applyBorder="1" applyAlignment="1">
      <alignment horizontal="center" vertical="center"/>
    </xf>
    <xf numFmtId="0" fontId="61" fillId="21" borderId="7" xfId="0" applyNumberFormat="1" applyFont="1" applyFill="1" applyBorder="1" applyAlignment="1">
      <alignment horizontal="center" vertical="center"/>
    </xf>
    <xf numFmtId="0" fontId="60" fillId="4" borderId="7" xfId="0" applyNumberFormat="1" applyFont="1" applyFill="1" applyBorder="1" applyAlignment="1">
      <alignment horizontal="center" vertical="center"/>
    </xf>
  </cellXfs>
  <cellStyles count="77">
    <cellStyle name="Excel Built-in Normal" xfId="1"/>
    <cellStyle name="Lien hypertexte" xfId="64" builtinId="8"/>
    <cellStyle name="Milliers 2" xfId="2"/>
    <cellStyle name="Milliers 2 2" xfId="69"/>
    <cellStyle name="Milliers 3" xfId="3"/>
    <cellStyle name="Milliers 3 2" xfId="4"/>
    <cellStyle name="Milliers 3 2 2" xfId="71"/>
    <cellStyle name="Milliers 3 3" xfId="5"/>
    <cellStyle name="Milliers 3 3 2" xfId="72"/>
    <cellStyle name="Milliers 3 4" xfId="70"/>
    <cellStyle name="Monétaire 2" xfId="6"/>
    <cellStyle name="Monétaire 2 2" xfId="7"/>
    <cellStyle name="Monétaire 2 3" xfId="8"/>
    <cellStyle name="Monétaire 2 3 2" xfId="74"/>
    <cellStyle name="Monétaire 2 4" xfId="63"/>
    <cellStyle name="Monétaire 2 5" xfId="73"/>
    <cellStyle name="Monétaire 3" xfId="9"/>
    <cellStyle name="Monétaire 3 2" xfId="10"/>
    <cellStyle name="Monétaire 3 2 2" xfId="76"/>
    <cellStyle name="Monétaire 3 3" xfId="75"/>
    <cellStyle name="Normal" xfId="0" builtinId="0"/>
    <cellStyle name="Normal 10" xfId="11"/>
    <cellStyle name="Normal 10 2" xfId="61"/>
    <cellStyle name="Normal 11" xfId="62"/>
    <cellStyle name="Normal 12" xfId="65"/>
    <cellStyle name="Normal 12 2" xfId="66"/>
    <cellStyle name="Normal 12 2 2" xfId="68"/>
    <cellStyle name="Normal 2" xfId="12"/>
    <cellStyle name="Normal 2 2" xfId="13"/>
    <cellStyle name="Normal 2 3" xfId="14"/>
    <cellStyle name="Normal 2 3 2" xfId="15"/>
    <cellStyle name="Normal 2 3 3" xfId="16"/>
    <cellStyle name="Normal 3" xfId="17"/>
    <cellStyle name="Normal 3 2" xfId="18"/>
    <cellStyle name="Normal 3 3" xfId="19"/>
    <cellStyle name="Normal 3_2013 - Albi Planning EMBRACE 2" xfId="20"/>
    <cellStyle name="Normal 4" xfId="21"/>
    <cellStyle name="Normal 4 2" xfId="22"/>
    <cellStyle name="Normal 4 2 2" xfId="23"/>
    <cellStyle name="Normal 4 3" xfId="24"/>
    <cellStyle name="Normal 4 4" xfId="25"/>
    <cellStyle name="Normal 5" xfId="26"/>
    <cellStyle name="Normal 5 2" xfId="27"/>
    <cellStyle name="Normal 5 2 2" xfId="28"/>
    <cellStyle name="Normal 5 2 3" xfId="29"/>
    <cellStyle name="Normal 5 2 4" xfId="59"/>
    <cellStyle name="Normal 6" xfId="30"/>
    <cellStyle name="Normal 6 2" xfId="31"/>
    <cellStyle name="Normal 6 2 2" xfId="32"/>
    <cellStyle name="Normal 6 2 3" xfId="33"/>
    <cellStyle name="Normal 6 2 3 2" xfId="34"/>
    <cellStyle name="Normal 6 2 4" xfId="35"/>
    <cellStyle name="Normal 6 2 5" xfId="60"/>
    <cellStyle name="Normal 7" xfId="36"/>
    <cellStyle name="Normal 7 2" xfId="54"/>
    <cellStyle name="Normal 8" xfId="37"/>
    <cellStyle name="Normal 8 2" xfId="55"/>
    <cellStyle name="Normal 9" xfId="38"/>
    <cellStyle name="Normal 9 2" xfId="57"/>
    <cellStyle name="Normal_CAL0599" xfId="67"/>
    <cellStyle name="Pourcentage 2" xfId="39"/>
    <cellStyle name="Pourcentage 2 2" xfId="40"/>
    <cellStyle name="Pourcentage 2 2 2" xfId="41"/>
    <cellStyle name="Pourcentage 2 2 3" xfId="52"/>
    <cellStyle name="Pourcentage 2 3" xfId="42"/>
    <cellStyle name="Pourcentage 2 4" xfId="43"/>
    <cellStyle name="Pourcentage 3" xfId="44"/>
    <cellStyle name="Pourcentage 3 2" xfId="45"/>
    <cellStyle name="Pourcentage 3 3" xfId="46"/>
    <cellStyle name="Pourcentage 4" xfId="47"/>
    <cellStyle name="Pourcentage 4 2" xfId="48"/>
    <cellStyle name="Pourcentage 4 2 2" xfId="49"/>
    <cellStyle name="Pourcentage 4 2 3" xfId="58"/>
    <cellStyle name="Pourcentage 4 3" xfId="50"/>
    <cellStyle name="Pourcentage 4 3 2" xfId="51"/>
    <cellStyle name="Pourcentage 5" xfId="53"/>
    <cellStyle name="Pourcentage 6" xfId="56"/>
  </cellStyles>
  <dxfs count="233">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0"/>
      </font>
      <fill>
        <patternFill>
          <bgColor theme="3" tint="0.39994506668294322"/>
        </patternFill>
      </fill>
    </dxf>
    <dxf>
      <fill>
        <patternFill>
          <bgColor theme="7" tint="0.59996337778862885"/>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0"/>
      </font>
      <fill>
        <patternFill>
          <bgColor theme="3" tint="0.39994506668294322"/>
        </patternFill>
      </fill>
    </dxf>
    <dxf>
      <fill>
        <patternFill>
          <bgColor theme="7" tint="0.59996337778862885"/>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0"/>
      </font>
      <fill>
        <patternFill>
          <bgColor theme="3" tint="0.39994506668294322"/>
        </patternFill>
      </fill>
    </dxf>
    <dxf>
      <fill>
        <patternFill>
          <bgColor theme="7"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0"/>
      </font>
      <fill>
        <patternFill>
          <bgColor theme="3" tint="0.39994506668294322"/>
        </patternFill>
      </fill>
    </dxf>
    <dxf>
      <fill>
        <patternFill>
          <bgColor theme="7" tint="0.59996337778862885"/>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0"/>
      </font>
      <fill>
        <patternFill>
          <bgColor theme="3" tint="0.39994506668294322"/>
        </patternFill>
      </fill>
    </dxf>
    <dxf>
      <fill>
        <patternFill>
          <bgColor theme="7"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0"/>
      </font>
      <fill>
        <patternFill>
          <bgColor theme="3" tint="0.39994506668294322"/>
        </patternFill>
      </fill>
    </dxf>
    <dxf>
      <fill>
        <patternFill>
          <bgColor theme="7" tint="0.59996337778862885"/>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0"/>
      </font>
      <fill>
        <patternFill>
          <bgColor theme="3" tint="0.39994506668294322"/>
        </patternFill>
      </fill>
    </dxf>
    <dxf>
      <fill>
        <patternFill>
          <bgColor theme="7" tint="0.59996337778862885"/>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0"/>
      </font>
      <fill>
        <patternFill>
          <bgColor theme="3" tint="0.39994506668294322"/>
        </patternFill>
      </fill>
    </dxf>
    <dxf>
      <fill>
        <patternFill>
          <bgColor theme="7" tint="0.59996337778862885"/>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0"/>
      </font>
      <fill>
        <patternFill>
          <bgColor theme="3" tint="0.39994506668294322"/>
        </patternFill>
      </fill>
    </dxf>
    <dxf>
      <fill>
        <patternFill>
          <bgColor theme="7" tint="0.59996337778862885"/>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0"/>
      </font>
      <fill>
        <patternFill>
          <bgColor theme="3" tint="0.39994506668294322"/>
        </patternFill>
      </fill>
    </dxf>
    <dxf>
      <fill>
        <patternFill>
          <bgColor theme="7" tint="0.59996337778862885"/>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0"/>
      </font>
      <fill>
        <patternFill>
          <bgColor theme="3" tint="0.39994506668294322"/>
        </patternFill>
      </fill>
    </dxf>
    <dxf>
      <fill>
        <patternFill>
          <bgColor theme="7" tint="0.59996337778862885"/>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0"/>
      </font>
      <fill>
        <patternFill>
          <bgColor theme="3" tint="0.39994506668294322"/>
        </patternFill>
      </fill>
    </dxf>
    <dxf>
      <fill>
        <patternFill>
          <bgColor theme="7" tint="0.59996337778862885"/>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0"/>
      </font>
      <fill>
        <patternFill>
          <bgColor theme="3" tint="0.39994506668294322"/>
        </patternFill>
      </fill>
    </dxf>
    <dxf>
      <fill>
        <patternFill>
          <bgColor theme="7" tint="0.59996337778862885"/>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0"/>
      </font>
      <fill>
        <patternFill>
          <bgColor theme="3" tint="0.39994506668294322"/>
        </patternFill>
      </fill>
    </dxf>
    <dxf>
      <fill>
        <patternFill>
          <bgColor theme="7" tint="0.59996337778862885"/>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0"/>
      </font>
      <fill>
        <patternFill>
          <bgColor theme="3" tint="0.39994506668294322"/>
        </patternFill>
      </fill>
    </dxf>
    <dxf>
      <fill>
        <patternFill>
          <bgColor theme="7"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0"/>
      </font>
      <fill>
        <patternFill>
          <bgColor theme="3" tint="0.39994506668294322"/>
        </patternFill>
      </fill>
    </dxf>
    <dxf>
      <fill>
        <patternFill>
          <bgColor theme="7" tint="0.59996337778862885"/>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0"/>
      </font>
      <fill>
        <patternFill>
          <bgColor theme="3" tint="0.39994506668294322"/>
        </patternFill>
      </fill>
    </dxf>
    <dxf>
      <fill>
        <patternFill>
          <bgColor theme="7" tint="0.59996337778862885"/>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0"/>
      </font>
      <fill>
        <patternFill>
          <bgColor theme="3" tint="0.39994506668294322"/>
        </patternFill>
      </fill>
    </dxf>
    <dxf>
      <fill>
        <patternFill>
          <bgColor theme="7" tint="0.59996337778862885"/>
        </patternFill>
      </fill>
    </dxf>
    <dxf>
      <font>
        <color rgb="FF9C0006"/>
      </font>
      <fill>
        <patternFill>
          <bgColor rgb="FFFFC7CE"/>
        </patternFill>
      </fill>
    </dxf>
    <dxf>
      <font>
        <b/>
        <i val="0"/>
      </font>
      <fill>
        <patternFill>
          <bgColor rgb="FFFF6699"/>
        </patternFill>
      </fill>
    </dxf>
    <dxf>
      <fill>
        <patternFill>
          <bgColor rgb="FFFFFF00"/>
        </patternFill>
      </fill>
    </dxf>
    <dxf>
      <font>
        <b val="0"/>
        <i val="0"/>
        <color theme="1"/>
      </font>
      <fill>
        <patternFill>
          <bgColor theme="9" tint="-0.24994659260841701"/>
        </patternFill>
      </fill>
    </dxf>
    <dxf>
      <fill>
        <patternFill>
          <bgColor theme="0" tint="-0.499984740745262"/>
        </patternFill>
      </fill>
    </dxf>
    <dxf>
      <font>
        <b/>
        <i val="0"/>
      </font>
      <fill>
        <patternFill>
          <bgColor rgb="FFFF6699"/>
        </patternFill>
      </fill>
    </dxf>
    <dxf>
      <fill>
        <patternFill>
          <bgColor rgb="FFFFFF00"/>
        </patternFill>
      </fill>
    </dxf>
    <dxf>
      <font>
        <b val="0"/>
        <i val="0"/>
        <color theme="1"/>
      </font>
      <fill>
        <patternFill>
          <bgColor theme="9" tint="-0.24994659260841701"/>
        </patternFill>
      </fill>
    </dxf>
    <dxf>
      <fill>
        <patternFill>
          <bgColor theme="0" tint="-0.499984740745262"/>
        </patternFill>
      </fill>
    </dxf>
    <dxf>
      <font>
        <b/>
        <i val="0"/>
      </font>
      <fill>
        <patternFill>
          <bgColor rgb="FFFF6699"/>
        </patternFill>
      </fill>
    </dxf>
    <dxf>
      <fill>
        <patternFill>
          <bgColor rgb="FFFFFF00"/>
        </patternFill>
      </fill>
    </dxf>
    <dxf>
      <font>
        <b val="0"/>
        <i val="0"/>
        <color theme="1"/>
      </font>
      <fill>
        <patternFill>
          <bgColor theme="9" tint="-0.24994659260841701"/>
        </patternFill>
      </fill>
    </dxf>
    <dxf>
      <fill>
        <patternFill>
          <bgColor theme="0" tint="-0.499984740745262"/>
        </patternFill>
      </fill>
    </dxf>
    <dxf>
      <font>
        <b/>
        <i val="0"/>
      </font>
      <fill>
        <patternFill>
          <bgColor rgb="FFFF6699"/>
        </patternFill>
      </fill>
    </dxf>
    <dxf>
      <fill>
        <patternFill>
          <bgColor rgb="FFFFFF00"/>
        </patternFill>
      </fill>
    </dxf>
    <dxf>
      <font>
        <b val="0"/>
        <i val="0"/>
        <color theme="1"/>
      </font>
      <fill>
        <patternFill>
          <bgColor theme="9" tint="-0.24994659260841701"/>
        </patternFill>
      </fill>
    </dxf>
    <dxf>
      <fill>
        <patternFill>
          <bgColor theme="0" tint="-0.499984740745262"/>
        </patternFill>
      </fill>
    </dxf>
    <dxf>
      <font>
        <b/>
        <i val="0"/>
      </font>
      <fill>
        <patternFill>
          <bgColor rgb="FFFF6699"/>
        </patternFill>
      </fill>
    </dxf>
    <dxf>
      <fill>
        <patternFill>
          <bgColor rgb="FFFFFF00"/>
        </patternFill>
      </fill>
    </dxf>
    <dxf>
      <font>
        <b val="0"/>
        <i val="0"/>
        <color theme="1"/>
      </font>
      <fill>
        <patternFill>
          <bgColor theme="9" tint="-0.24994659260841701"/>
        </patternFill>
      </fill>
    </dxf>
    <dxf>
      <fill>
        <patternFill>
          <bgColor theme="0" tint="-0.499984740745262"/>
        </patternFill>
      </fill>
    </dxf>
    <dxf>
      <font>
        <b/>
        <i val="0"/>
      </font>
      <fill>
        <patternFill>
          <bgColor rgb="FFFF6699"/>
        </patternFill>
      </fill>
    </dxf>
    <dxf>
      <fill>
        <patternFill>
          <bgColor rgb="FFFFFF00"/>
        </patternFill>
      </fill>
    </dxf>
    <dxf>
      <font>
        <b val="0"/>
        <i val="0"/>
        <color theme="1"/>
      </font>
      <fill>
        <patternFill>
          <bgColor theme="9" tint="-0.24994659260841701"/>
        </patternFill>
      </fill>
    </dxf>
    <dxf>
      <fill>
        <patternFill>
          <bgColor theme="0" tint="-0.499984740745262"/>
        </patternFill>
      </fill>
    </dxf>
    <dxf>
      <font>
        <b/>
        <i val="0"/>
      </font>
      <fill>
        <patternFill>
          <bgColor rgb="FFFF6699"/>
        </patternFill>
      </fill>
    </dxf>
    <dxf>
      <fill>
        <patternFill>
          <bgColor rgb="FFFFFF00"/>
        </patternFill>
      </fill>
    </dxf>
    <dxf>
      <font>
        <b val="0"/>
        <i val="0"/>
        <color theme="1"/>
      </font>
      <fill>
        <patternFill>
          <bgColor theme="9" tint="-0.24994659260841701"/>
        </patternFill>
      </fill>
    </dxf>
    <dxf>
      <fill>
        <patternFill>
          <bgColor theme="0" tint="-0.499984740745262"/>
        </patternFill>
      </fill>
    </dxf>
    <dxf>
      <font>
        <b/>
        <i val="0"/>
      </font>
      <fill>
        <patternFill>
          <bgColor rgb="FFFF6699"/>
        </patternFill>
      </fill>
    </dxf>
    <dxf>
      <fill>
        <patternFill>
          <bgColor rgb="FFFFFF00"/>
        </patternFill>
      </fill>
    </dxf>
    <dxf>
      <font>
        <b val="0"/>
        <i val="0"/>
        <color theme="1"/>
      </font>
      <fill>
        <patternFill>
          <bgColor theme="9" tint="-0.24994659260841701"/>
        </patternFill>
      </fill>
    </dxf>
    <dxf>
      <fill>
        <patternFill>
          <bgColor theme="0" tint="-0.499984740745262"/>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0"/>
      </font>
      <fill>
        <patternFill>
          <bgColor theme="3" tint="0.39994506668294322"/>
        </patternFill>
      </fill>
    </dxf>
    <dxf>
      <fill>
        <patternFill>
          <bgColor theme="7" tint="0.59996337778862885"/>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0"/>
      </font>
      <fill>
        <patternFill>
          <bgColor theme="3" tint="0.39994506668294322"/>
        </patternFill>
      </fill>
    </dxf>
    <dxf>
      <fill>
        <patternFill>
          <bgColor theme="7"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0"/>
      </font>
      <fill>
        <patternFill>
          <bgColor theme="3" tint="0.39994506668294322"/>
        </patternFill>
      </fill>
    </dxf>
    <dxf>
      <fill>
        <patternFill>
          <bgColor theme="7" tint="0.59996337778862885"/>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ill>
        <patternFill>
          <bgColor theme="7" tint="0.39994506668294322"/>
        </patternFill>
      </fill>
    </dxf>
    <dxf>
      <fill>
        <patternFill>
          <bgColor theme="7" tint="0.39994506668294322"/>
        </patternFill>
      </fill>
    </dxf>
    <dxf>
      <fill>
        <patternFill>
          <bgColor theme="7" tint="0.59996337778862885"/>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ill>
        <patternFill>
          <bgColor theme="7" tint="0.39994506668294322"/>
        </patternFill>
      </fill>
    </dxf>
    <dxf>
      <fill>
        <patternFill>
          <bgColor theme="7" tint="0.39994506668294322"/>
        </patternFill>
      </fill>
    </dxf>
    <dxf>
      <fill>
        <patternFill>
          <bgColor theme="7" tint="0.59996337778862885"/>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ill>
        <patternFill>
          <bgColor theme="7" tint="0.39994506668294322"/>
        </patternFill>
      </fill>
    </dxf>
    <dxf>
      <fill>
        <patternFill>
          <bgColor theme="7" tint="0.39994506668294322"/>
        </patternFill>
      </fill>
    </dxf>
    <dxf>
      <fill>
        <patternFill>
          <bgColor theme="7" tint="0.59996337778862885"/>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ill>
        <patternFill>
          <bgColor theme="7" tint="0.39994506668294322"/>
        </patternFill>
      </fill>
    </dxf>
    <dxf>
      <fill>
        <patternFill>
          <bgColor theme="7" tint="0.39994506668294322"/>
        </patternFill>
      </fill>
    </dxf>
    <dxf>
      <fill>
        <patternFill>
          <bgColor theme="7" tint="0.59996337778862885"/>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ill>
        <patternFill>
          <bgColor theme="7" tint="0.39994506668294322"/>
        </patternFill>
      </fill>
    </dxf>
    <dxf>
      <fill>
        <patternFill>
          <bgColor theme="7" tint="0.39994506668294322"/>
        </patternFill>
      </fill>
    </dxf>
    <dxf>
      <fill>
        <patternFill>
          <bgColor theme="7" tint="0.59996337778862885"/>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ill>
        <patternFill>
          <bgColor theme="7" tint="0.39994506668294322"/>
        </patternFill>
      </fill>
    </dxf>
    <dxf>
      <fill>
        <patternFill>
          <bgColor theme="7" tint="0.39994506668294322"/>
        </patternFill>
      </fill>
    </dxf>
    <dxf>
      <fill>
        <patternFill>
          <bgColor theme="7" tint="0.59996337778862885"/>
        </patternFill>
      </fill>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ill>
        <patternFill>
          <bgColor theme="7" tint="0.39994506668294322"/>
        </patternFill>
      </fill>
    </dxf>
    <dxf>
      <fill>
        <patternFill>
          <bgColor theme="7" tint="0.39994506668294322"/>
        </patternFill>
      </fill>
    </dxf>
    <dxf>
      <fill>
        <patternFill>
          <bgColor theme="7" tint="0.59996337778862885"/>
        </patternFill>
      </fill>
    </dxf>
    <dxf>
      <fill>
        <patternFill>
          <bgColor theme="7" tint="0.39994506668294322"/>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theme="4" tint="-0.249977111117893"/>
        </patternFill>
      </fill>
      <alignment horizontal="center" vertical="center" textRotation="0" wrapText="0" indent="0" justifyLastLine="0" shrinkToFit="0" readingOrder="0"/>
    </dxf>
    <dxf>
      <numFmt numFmtId="0" formatCode="General"/>
      <fill>
        <patternFill patternType="none">
          <fgColor indexed="64"/>
          <bgColor indexed="6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indexed="6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tint="4.9989318521683403E-2"/>
        <name val="Calibri"/>
        <scheme val="none"/>
      </font>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tint="4.9989318521683403E-2"/>
        <name val="Calibri"/>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tint="4.9989318521683403E-2"/>
        <name val="Calibri"/>
        <scheme val="minor"/>
      </font>
      <numFmt numFmtId="176" formatCode="m/d/yy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ertAlign val="baseline"/>
        <sz val="11"/>
        <color theme="10"/>
        <name val="Calibri"/>
        <scheme val="minor"/>
      </font>
      <fill>
        <patternFill patternType="none">
          <fgColor indexed="64"/>
          <bgColor indexed="6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numFmt numFmtId="169" formatCode="0#&quot; &quot;##&quot; &quot;##&quot; &quot;##&quot; &quo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tint="4.9989318521683403E-2"/>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tint="4.9989318521683403E-2"/>
        <name val="Calibri"/>
        <scheme val="minor"/>
      </font>
      <numFmt numFmtId="176" formatCode="m/d/yy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tint="4.9989318521683403E-2"/>
        <name val="Calibri"/>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tint="4.9989318521683403E-2"/>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tint="4.9989318521683403E-2"/>
        <name val="Calibri"/>
        <scheme val="none"/>
      </font>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color theme="1" tint="4.9989318521683403E-2"/>
      </font>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tint="4.9989318521683403E-2"/>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ttom style="thin">
          <color indexed="64"/>
        </bottom>
      </border>
    </dxf>
    <dxf>
      <font>
        <strike val="0"/>
        <outline val="0"/>
        <shadow val="0"/>
        <u val="none"/>
        <vertAlign val="baseline"/>
        <sz val="11"/>
        <color theme="0" tint="-4.9989318521683403E-2"/>
        <name val="Calibri"/>
      </font>
      <fill>
        <patternFill patternType="solid">
          <fgColor indexed="64"/>
          <bgColor theme="1" tint="0.499984740745262"/>
        </patternFill>
      </fill>
      <alignment horizontal="center" vertical="center" textRotation="0" wrapText="1" indent="0" justifyLastLine="0" shrinkToFit="0" readingOrder="0"/>
    </dxf>
    <dxf>
      <alignment horizontal="center" vertical="center" textRotation="0" wrapText="0" indent="0" justifyLastLine="0" shrinkToFit="0" readingOrder="0"/>
    </dxf>
    <dxf>
      <fill>
        <patternFill>
          <bgColor theme="0" tint="-0.14996795556505021"/>
        </patternFill>
      </fill>
    </dxf>
    <dxf>
      <font>
        <color theme="1" tint="0.24994659260841701"/>
      </font>
      <fill>
        <patternFill>
          <bgColor theme="0"/>
        </patternFill>
      </fill>
    </dxf>
    <dxf>
      <font>
        <color theme="0"/>
      </font>
      <fill>
        <patternFill>
          <bgColor theme="0" tint="-0.499984740745262"/>
        </patternFill>
      </fill>
    </dxf>
  </dxfs>
  <tableStyles count="1" defaultTableStyle="TableStyleMedium2" defaultPivotStyle="PivotStyleLight16">
    <tableStyle name="Personnal_Light_Gray" pivot="0" count="3">
      <tableStyleElement type="headerRow" dxfId="232"/>
      <tableStyleElement type="firstRowStripe" dxfId="231"/>
      <tableStyleElement type="secondRowStripe" dxfId="230"/>
    </tableStyle>
  </tableStyles>
  <colors>
    <mruColors>
      <color rgb="FFE8E8E8"/>
      <color rgb="FFF3F3F3"/>
      <color rgb="FFF9F9F9"/>
      <color rgb="FFFBFBFB"/>
      <color rgb="FFF7F5F9"/>
      <color rgb="FFFEF9F4"/>
      <color rgb="FFEEF3F8"/>
      <color rgb="FFFDE9D9"/>
      <color rgb="FF99CCFF"/>
      <color rgb="FFB8CC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hyperlink" Target="#PARAMETRES!A1"/><Relationship Id="rId7" Type="http://schemas.openxmlformats.org/officeDocument/2006/relationships/hyperlink" Target="../../../../PEGA/STATS%20PEGA/SUIVI%20TOTAL%20VOLUMETRIE%20PARCOURS%20PAR%20JOUR%20.xlsx" TargetMode="External"/><Relationship Id="rId2" Type="http://schemas.openxmlformats.org/officeDocument/2006/relationships/hyperlink" Target="#Encadrement!A1"/><Relationship Id="rId1" Type="http://schemas.openxmlformats.org/officeDocument/2006/relationships/hyperlink" Target="#ICS!A1"/><Relationship Id="rId6" Type="http://schemas.openxmlformats.org/officeDocument/2006/relationships/hyperlink" Target="file:///H:\Encadrement\PEGA\STATS%20PEGA\TABLEAU%20%202%20DIFFERENTIEL%20LOGUE%20SOUS%20PEGA%20MACRO.XLSM" TargetMode="External"/><Relationship Id="rId11" Type="http://schemas.openxmlformats.org/officeDocument/2006/relationships/image" Target="../media/image2.jpeg"/><Relationship Id="rId5" Type="http://schemas.openxmlformats.org/officeDocument/2006/relationships/hyperlink" Target="../../../../RACCOURCIS%20TRACABILITES/2023/TdB%20-%20Nice%202023.xlsx" TargetMode="External"/><Relationship Id="rId10" Type="http://schemas.openxmlformats.org/officeDocument/2006/relationships/hyperlink" Target="#DataState!A1"/><Relationship Id="rId4" Type="http://schemas.openxmlformats.org/officeDocument/2006/relationships/hyperlink" Target="#EFFECTIFS!A1"/><Relationship Id="rId9" Type="http://schemas.openxmlformats.org/officeDocument/2006/relationships/hyperlink" Target="#Pr&#233;sence!A1"/></Relationships>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Accueil!A1"/><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Accueil!A1"/><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5.png"/><Relationship Id="rId1" Type="http://schemas.openxmlformats.org/officeDocument/2006/relationships/hyperlink" Target="#Accueil!A1"/></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Accueil!A1"/></Relationships>
</file>

<file path=xl/drawings/_rels/drawing6.xml.rels><?xml version="1.0" encoding="UTF-8" standalone="yes"?>
<Relationships xmlns="http://schemas.openxmlformats.org/package/2006/relationships"><Relationship Id="rId1" Type="http://schemas.openxmlformats.org/officeDocument/2006/relationships/hyperlink" Target="#Accueil!A1"/></Relationships>
</file>

<file path=xl/drawings/_rels/drawing7.xml.rels><?xml version="1.0" encoding="UTF-8" standalone="yes"?>
<Relationships xmlns="http://schemas.openxmlformats.org/package/2006/relationships"><Relationship Id="rId1" Type="http://schemas.openxmlformats.org/officeDocument/2006/relationships/hyperlink" Target="#Accueil!A1"/></Relationships>
</file>

<file path=xl/drawings/_rels/drawing8.xml.rels><?xml version="1.0" encoding="UTF-8" standalone="yes"?>
<Relationships xmlns="http://schemas.openxmlformats.org/package/2006/relationships"><Relationship Id="rId1" Type="http://schemas.openxmlformats.org/officeDocument/2006/relationships/hyperlink" Target="#Accueil!A1"/></Relationships>
</file>

<file path=xl/drawings/drawing1.xml><?xml version="1.0" encoding="utf-8"?>
<xdr:wsDr xmlns:xdr="http://schemas.openxmlformats.org/drawingml/2006/spreadsheetDrawing" xmlns:a="http://schemas.openxmlformats.org/drawingml/2006/main">
  <xdr:twoCellAnchor editAs="absolute">
    <xdr:from>
      <xdr:col>0</xdr:col>
      <xdr:colOff>171450</xdr:colOff>
      <xdr:row>8</xdr:row>
      <xdr:rowOff>57910</xdr:rowOff>
    </xdr:from>
    <xdr:to>
      <xdr:col>2</xdr:col>
      <xdr:colOff>542925</xdr:colOff>
      <xdr:row>10</xdr:row>
      <xdr:rowOff>72910</xdr:rowOff>
    </xdr:to>
    <xdr:sp macro="" textlink="">
      <xdr:nvSpPr>
        <xdr:cNvPr id="20" name="Rectangle à coins arrondis 19">
          <a:hlinkClick xmlns:r="http://schemas.openxmlformats.org/officeDocument/2006/relationships" r:id="rId1"/>
        </xdr:cNvPr>
        <xdr:cNvSpPr/>
      </xdr:nvSpPr>
      <xdr:spPr>
        <a:xfrm>
          <a:off x="171450" y="1524760"/>
          <a:ext cx="1895475" cy="396000"/>
        </a:xfrm>
        <a:prstGeom prst="roundRect">
          <a:avLst>
            <a:gd name="adj" fmla="val 5772"/>
          </a:avLst>
        </a:prstGeom>
        <a:solidFill>
          <a:schemeClr val="accent1">
            <a:lumMod val="75000"/>
          </a:schemeClr>
        </a:solidFill>
        <a:ln w="9525">
          <a:solidFill>
            <a:schemeClr val="tx2">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fr-FR" sz="1200">
              <a:solidFill>
                <a:schemeClr val="bg1"/>
              </a:solidFill>
              <a:latin typeface="+mn-lt"/>
              <a:ea typeface="+mn-ea"/>
              <a:cs typeface="+mn-cs"/>
            </a:rPr>
            <a:t>PLANNING ICS</a:t>
          </a:r>
        </a:p>
      </xdr:txBody>
    </xdr:sp>
    <xdr:clientData/>
  </xdr:twoCellAnchor>
  <xdr:twoCellAnchor editAs="absolute">
    <xdr:from>
      <xdr:col>0</xdr:col>
      <xdr:colOff>168275</xdr:colOff>
      <xdr:row>5</xdr:row>
      <xdr:rowOff>111123</xdr:rowOff>
    </xdr:from>
    <xdr:to>
      <xdr:col>2</xdr:col>
      <xdr:colOff>539750</xdr:colOff>
      <xdr:row>7</xdr:row>
      <xdr:rowOff>202323</xdr:rowOff>
    </xdr:to>
    <xdr:sp macro="" textlink="">
      <xdr:nvSpPr>
        <xdr:cNvPr id="21" name="Rectangle à coins arrondis 20">
          <a:hlinkClick xmlns:r="http://schemas.openxmlformats.org/officeDocument/2006/relationships" r:id="rId2"/>
        </xdr:cNvPr>
        <xdr:cNvSpPr/>
      </xdr:nvSpPr>
      <xdr:spPr>
        <a:xfrm>
          <a:off x="168275" y="1035048"/>
          <a:ext cx="1895475" cy="396000"/>
        </a:xfrm>
        <a:prstGeom prst="roundRect">
          <a:avLst>
            <a:gd name="adj" fmla="val 7329"/>
          </a:avLst>
        </a:prstGeom>
        <a:solidFill>
          <a:schemeClr val="accent1">
            <a:lumMod val="75000"/>
          </a:schemeClr>
        </a:solidFill>
        <a:ln w="9525">
          <a:solidFill>
            <a:schemeClr val="tx2">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fr-FR" sz="1200">
              <a:solidFill>
                <a:schemeClr val="bg1"/>
              </a:solidFill>
              <a:latin typeface="+mn-lt"/>
              <a:ea typeface="+mn-ea"/>
              <a:cs typeface="+mn-cs"/>
            </a:rPr>
            <a:t>PLANNING ENCADREMENT</a:t>
          </a:r>
        </a:p>
      </xdr:txBody>
    </xdr:sp>
    <xdr:clientData/>
  </xdr:twoCellAnchor>
  <xdr:twoCellAnchor editAs="absolute">
    <xdr:from>
      <xdr:col>0</xdr:col>
      <xdr:colOff>161925</xdr:colOff>
      <xdr:row>10</xdr:row>
      <xdr:rowOff>166622</xdr:rowOff>
    </xdr:from>
    <xdr:to>
      <xdr:col>2</xdr:col>
      <xdr:colOff>533400</xdr:colOff>
      <xdr:row>12</xdr:row>
      <xdr:rowOff>181622</xdr:rowOff>
    </xdr:to>
    <xdr:sp macro="[0]!'activateCalendar &quot;salle&quot;'" textlink="">
      <xdr:nvSpPr>
        <xdr:cNvPr id="12" name="Rectangle à coins arrondis 11"/>
        <xdr:cNvSpPr/>
      </xdr:nvSpPr>
      <xdr:spPr>
        <a:xfrm>
          <a:off x="161925" y="2014472"/>
          <a:ext cx="1895475" cy="396000"/>
        </a:xfrm>
        <a:prstGeom prst="roundRect">
          <a:avLst>
            <a:gd name="adj" fmla="val 8885"/>
          </a:avLst>
        </a:prstGeom>
        <a:solidFill>
          <a:schemeClr val="accent1">
            <a:lumMod val="75000"/>
          </a:schemeClr>
        </a:solidFill>
        <a:ln w="9525">
          <a:solidFill>
            <a:schemeClr val="tx2">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l"/>
          <a:r>
            <a:rPr lang="fr-FR" sz="1200">
              <a:solidFill>
                <a:schemeClr val="bg1"/>
              </a:solidFill>
            </a:rPr>
            <a:t>OCCUPATION DES SALLES</a:t>
          </a:r>
        </a:p>
      </xdr:txBody>
    </xdr:sp>
    <xdr:clientData/>
  </xdr:twoCellAnchor>
  <xdr:twoCellAnchor editAs="absolute">
    <xdr:from>
      <xdr:col>0</xdr:col>
      <xdr:colOff>161925</xdr:colOff>
      <xdr:row>23</xdr:row>
      <xdr:rowOff>66675</xdr:rowOff>
    </xdr:from>
    <xdr:to>
      <xdr:col>2</xdr:col>
      <xdr:colOff>185925</xdr:colOff>
      <xdr:row>24</xdr:row>
      <xdr:rowOff>116550</xdr:rowOff>
    </xdr:to>
    <xdr:sp macro="" textlink="">
      <xdr:nvSpPr>
        <xdr:cNvPr id="2" name="ADMIN_NAVIGATION">
          <a:hlinkClick xmlns:r="http://schemas.openxmlformats.org/officeDocument/2006/relationships" r:id="rId3"/>
        </xdr:cNvPr>
        <xdr:cNvSpPr/>
      </xdr:nvSpPr>
      <xdr:spPr>
        <a:xfrm>
          <a:off x="161925" y="4391025"/>
          <a:ext cx="1548000" cy="288000"/>
        </a:xfrm>
        <a:prstGeom prst="rect">
          <a:avLst/>
        </a:prstGeom>
        <a:solidFill>
          <a:schemeClr val="tx1">
            <a:lumMod val="65000"/>
            <a:lumOff val="35000"/>
          </a:schemeClr>
        </a:solidFill>
        <a:ln w="9525">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FR" sz="1200">
              <a:solidFill>
                <a:schemeClr val="bg1">
                  <a:lumMod val="95000"/>
                </a:schemeClr>
              </a:solidFill>
            </a:rPr>
            <a:t>PARAMETRES</a:t>
          </a:r>
        </a:p>
      </xdr:txBody>
    </xdr:sp>
    <xdr:clientData/>
  </xdr:twoCellAnchor>
  <xdr:twoCellAnchor editAs="absolute">
    <xdr:from>
      <xdr:col>0</xdr:col>
      <xdr:colOff>161925</xdr:colOff>
      <xdr:row>24</xdr:row>
      <xdr:rowOff>219075</xdr:rowOff>
    </xdr:from>
    <xdr:to>
      <xdr:col>2</xdr:col>
      <xdr:colOff>185925</xdr:colOff>
      <xdr:row>26</xdr:row>
      <xdr:rowOff>2250</xdr:rowOff>
    </xdr:to>
    <xdr:sp macro="" textlink="">
      <xdr:nvSpPr>
        <xdr:cNvPr id="14" name="Rectangle 13">
          <a:hlinkClick xmlns:r="http://schemas.openxmlformats.org/officeDocument/2006/relationships" r:id="rId4"/>
        </xdr:cNvPr>
        <xdr:cNvSpPr/>
      </xdr:nvSpPr>
      <xdr:spPr>
        <a:xfrm>
          <a:off x="161925" y="4781550"/>
          <a:ext cx="1548000" cy="288000"/>
        </a:xfrm>
        <a:prstGeom prst="rect">
          <a:avLst/>
        </a:prstGeom>
        <a:solidFill>
          <a:schemeClr val="tx1">
            <a:lumMod val="65000"/>
            <a:lumOff val="35000"/>
          </a:schemeClr>
        </a:solidFill>
        <a:ln w="9525">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FR" sz="1200">
              <a:solidFill>
                <a:schemeClr val="bg1">
                  <a:lumMod val="95000"/>
                </a:schemeClr>
              </a:solidFill>
            </a:rPr>
            <a:t>EFFECTIFS</a:t>
          </a:r>
        </a:p>
      </xdr:txBody>
    </xdr:sp>
    <xdr:clientData/>
  </xdr:twoCellAnchor>
  <xdr:twoCellAnchor editAs="absolute">
    <xdr:from>
      <xdr:col>0</xdr:col>
      <xdr:colOff>161925</xdr:colOff>
      <xdr:row>26</xdr:row>
      <xdr:rowOff>104775</xdr:rowOff>
    </xdr:from>
    <xdr:to>
      <xdr:col>2</xdr:col>
      <xdr:colOff>185925</xdr:colOff>
      <xdr:row>27</xdr:row>
      <xdr:rowOff>154650</xdr:rowOff>
    </xdr:to>
    <xdr:sp macro="[0]!importPlanning" textlink="">
      <xdr:nvSpPr>
        <xdr:cNvPr id="17" name="Rectangle 16"/>
        <xdr:cNvSpPr/>
      </xdr:nvSpPr>
      <xdr:spPr>
        <a:xfrm>
          <a:off x="161925" y="5172075"/>
          <a:ext cx="1548000" cy="288000"/>
        </a:xfrm>
        <a:prstGeom prst="rect">
          <a:avLst/>
        </a:prstGeom>
        <a:solidFill>
          <a:schemeClr val="tx1">
            <a:lumMod val="65000"/>
            <a:lumOff val="35000"/>
          </a:schemeClr>
        </a:solidFill>
        <a:ln w="9525">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FR" sz="1200">
              <a:solidFill>
                <a:schemeClr val="bg1">
                  <a:lumMod val="95000"/>
                </a:schemeClr>
              </a:solidFill>
            </a:rPr>
            <a:t>IMPORT PLANNINGS</a:t>
          </a:r>
        </a:p>
      </xdr:txBody>
    </xdr:sp>
    <xdr:clientData/>
  </xdr:twoCellAnchor>
  <xdr:twoCellAnchor editAs="absolute">
    <xdr:from>
      <xdr:col>0</xdr:col>
      <xdr:colOff>161925</xdr:colOff>
      <xdr:row>13</xdr:row>
      <xdr:rowOff>84834</xdr:rowOff>
    </xdr:from>
    <xdr:to>
      <xdr:col>2</xdr:col>
      <xdr:colOff>533400</xdr:colOff>
      <xdr:row>15</xdr:row>
      <xdr:rowOff>99834</xdr:rowOff>
    </xdr:to>
    <xdr:sp macro="[0]!'activateCalendar &quot;formation&quot;'" textlink="">
      <xdr:nvSpPr>
        <xdr:cNvPr id="22" name="Rectangle à coins arrondis 21"/>
        <xdr:cNvSpPr/>
      </xdr:nvSpPr>
      <xdr:spPr>
        <a:xfrm>
          <a:off x="161925" y="2504184"/>
          <a:ext cx="1895475" cy="396000"/>
        </a:xfrm>
        <a:prstGeom prst="roundRect">
          <a:avLst>
            <a:gd name="adj" fmla="val 5772"/>
          </a:avLst>
        </a:prstGeom>
        <a:solidFill>
          <a:schemeClr val="accent1">
            <a:lumMod val="75000"/>
          </a:schemeClr>
        </a:solidFill>
        <a:ln w="9525">
          <a:solidFill>
            <a:schemeClr val="tx2">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l"/>
          <a:r>
            <a:rPr lang="fr-FR" sz="1200">
              <a:solidFill>
                <a:schemeClr val="bg1"/>
              </a:solidFill>
            </a:rPr>
            <a:t>PLANNING FORMATION</a:t>
          </a:r>
        </a:p>
      </xdr:txBody>
    </xdr:sp>
    <xdr:clientData/>
  </xdr:twoCellAnchor>
  <xdr:twoCellAnchor editAs="absolute">
    <xdr:from>
      <xdr:col>0</xdr:col>
      <xdr:colOff>152400</xdr:colOff>
      <xdr:row>18</xdr:row>
      <xdr:rowOff>111758</xdr:rowOff>
    </xdr:from>
    <xdr:to>
      <xdr:col>2</xdr:col>
      <xdr:colOff>523875</xdr:colOff>
      <xdr:row>20</xdr:row>
      <xdr:rowOff>126758</xdr:rowOff>
    </xdr:to>
    <xdr:sp macro="[0]!ExportQualite" textlink="">
      <xdr:nvSpPr>
        <xdr:cNvPr id="23" name="Rectangle à coins arrondis 22"/>
        <xdr:cNvSpPr/>
      </xdr:nvSpPr>
      <xdr:spPr>
        <a:xfrm>
          <a:off x="152400" y="3483608"/>
          <a:ext cx="1895475" cy="396000"/>
        </a:xfrm>
        <a:prstGeom prst="roundRect">
          <a:avLst>
            <a:gd name="adj" fmla="val 7329"/>
          </a:avLst>
        </a:prstGeom>
        <a:solidFill>
          <a:schemeClr val="accent1">
            <a:lumMod val="75000"/>
          </a:schemeClr>
        </a:solidFill>
        <a:ln w="9525">
          <a:solidFill>
            <a:schemeClr val="tx2">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fr-FR" sz="1200">
              <a:solidFill>
                <a:schemeClr val="bg1"/>
              </a:solidFill>
              <a:latin typeface="+mn-lt"/>
              <a:ea typeface="+mn-ea"/>
              <a:cs typeface="+mn-cs"/>
            </a:rPr>
            <a:t>RAPPORT QUALITE</a:t>
          </a:r>
        </a:p>
      </xdr:txBody>
    </xdr:sp>
    <xdr:clientData/>
  </xdr:twoCellAnchor>
  <xdr:twoCellAnchor editAs="absolute">
    <xdr:from>
      <xdr:col>0</xdr:col>
      <xdr:colOff>175671</xdr:colOff>
      <xdr:row>1</xdr:row>
      <xdr:rowOff>49211</xdr:rowOff>
    </xdr:from>
    <xdr:to>
      <xdr:col>2</xdr:col>
      <xdr:colOff>19671</xdr:colOff>
      <xdr:row>3</xdr:row>
      <xdr:rowOff>104411</xdr:rowOff>
    </xdr:to>
    <xdr:sp macro="" textlink="">
      <xdr:nvSpPr>
        <xdr:cNvPr id="24" name="Rectangle à coins arrondis 23">
          <a:hlinkClick xmlns:r="http://schemas.openxmlformats.org/officeDocument/2006/relationships" r:id="rId5"/>
        </xdr:cNvPr>
        <xdr:cNvSpPr/>
      </xdr:nvSpPr>
      <xdr:spPr>
        <a:xfrm>
          <a:off x="175671" y="554036"/>
          <a:ext cx="1368000" cy="321900"/>
        </a:xfrm>
        <a:prstGeom prst="roundRect">
          <a:avLst>
            <a:gd name="adj" fmla="val 8526"/>
          </a:avLst>
        </a:prstGeom>
        <a:solidFill>
          <a:schemeClr val="accent6">
            <a:lumMod val="75000"/>
          </a:schemeClr>
        </a:solidFill>
        <a:ln w="9525">
          <a:solidFill>
            <a:schemeClr val="accent6">
              <a:lumMod val="75000"/>
            </a:schemeClr>
          </a:solidFill>
        </a:ln>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fr-FR" sz="1200">
              <a:solidFill>
                <a:schemeClr val="bg1"/>
              </a:solidFill>
            </a:rPr>
            <a:t>STATISTIQUES</a:t>
          </a:r>
        </a:p>
      </xdr:txBody>
    </xdr:sp>
    <xdr:clientData/>
  </xdr:twoCellAnchor>
  <xdr:twoCellAnchor editAs="absolute">
    <xdr:from>
      <xdr:col>4</xdr:col>
      <xdr:colOff>371166</xdr:colOff>
      <xdr:row>1</xdr:row>
      <xdr:rowOff>49211</xdr:rowOff>
    </xdr:from>
    <xdr:to>
      <xdr:col>6</xdr:col>
      <xdr:colOff>215166</xdr:colOff>
      <xdr:row>3</xdr:row>
      <xdr:rowOff>104411</xdr:rowOff>
    </xdr:to>
    <xdr:sp macro="" textlink="">
      <xdr:nvSpPr>
        <xdr:cNvPr id="25" name="Rectangle à coins arrondis 24">
          <a:hlinkClick xmlns:r="http://schemas.openxmlformats.org/officeDocument/2006/relationships" r:id="rId6"/>
        </xdr:cNvPr>
        <xdr:cNvSpPr/>
      </xdr:nvSpPr>
      <xdr:spPr>
        <a:xfrm>
          <a:off x="3419166" y="554036"/>
          <a:ext cx="1368000" cy="321900"/>
        </a:xfrm>
        <a:prstGeom prst="roundRect">
          <a:avLst>
            <a:gd name="adj" fmla="val 6491"/>
          </a:avLst>
        </a:prstGeom>
        <a:solidFill>
          <a:schemeClr val="accent6">
            <a:lumMod val="75000"/>
          </a:schemeClr>
        </a:solidFill>
        <a:ln w="9525">
          <a:solidFill>
            <a:schemeClr val="accent6">
              <a:lumMod val="75000"/>
            </a:schemeClr>
          </a:solidFill>
        </a:ln>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fr-FR" sz="1200">
              <a:solidFill>
                <a:schemeClr val="bg1"/>
              </a:solidFill>
            </a:rPr>
            <a:t>DIFFERENCE LOG</a:t>
          </a:r>
        </a:p>
      </xdr:txBody>
    </xdr:sp>
    <xdr:clientData/>
  </xdr:twoCellAnchor>
  <xdr:twoCellAnchor editAs="absolute">
    <xdr:from>
      <xdr:col>2</xdr:col>
      <xdr:colOff>273418</xdr:colOff>
      <xdr:row>1</xdr:row>
      <xdr:rowOff>49211</xdr:rowOff>
    </xdr:from>
    <xdr:to>
      <xdr:col>4</xdr:col>
      <xdr:colOff>117418</xdr:colOff>
      <xdr:row>3</xdr:row>
      <xdr:rowOff>104411</xdr:rowOff>
    </xdr:to>
    <xdr:sp macro="" textlink="">
      <xdr:nvSpPr>
        <xdr:cNvPr id="26" name="Rectangle à coins arrondis 25">
          <a:hlinkClick xmlns:r="http://schemas.openxmlformats.org/officeDocument/2006/relationships" r:id="rId7"/>
        </xdr:cNvPr>
        <xdr:cNvSpPr/>
      </xdr:nvSpPr>
      <xdr:spPr>
        <a:xfrm>
          <a:off x="1797418" y="554036"/>
          <a:ext cx="1368000" cy="321900"/>
        </a:xfrm>
        <a:prstGeom prst="roundRect">
          <a:avLst>
            <a:gd name="adj" fmla="val 10561"/>
          </a:avLst>
        </a:prstGeom>
        <a:solidFill>
          <a:schemeClr val="accent6">
            <a:lumMod val="75000"/>
          </a:schemeClr>
        </a:solidFill>
        <a:ln w="9525">
          <a:solidFill>
            <a:schemeClr val="accent6">
              <a:lumMod val="75000"/>
            </a:schemeClr>
          </a:solidFill>
        </a:ln>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fr-FR" sz="1200" baseline="0">
              <a:solidFill>
                <a:schemeClr val="bg1"/>
              </a:solidFill>
            </a:rPr>
            <a:t>VOLUMETRIE</a:t>
          </a:r>
          <a:endParaRPr lang="fr-FR" sz="1200">
            <a:solidFill>
              <a:schemeClr val="bg1"/>
            </a:solidFill>
          </a:endParaRPr>
        </a:p>
      </xdr:txBody>
    </xdr:sp>
    <xdr:clientData/>
  </xdr:twoCellAnchor>
  <xdr:twoCellAnchor>
    <xdr:from>
      <xdr:col>20</xdr:col>
      <xdr:colOff>504825</xdr:colOff>
      <xdr:row>1</xdr:row>
      <xdr:rowOff>38099</xdr:rowOff>
    </xdr:from>
    <xdr:to>
      <xdr:col>23</xdr:col>
      <xdr:colOff>486825</xdr:colOff>
      <xdr:row>8</xdr:row>
      <xdr:rowOff>28575</xdr:rowOff>
    </xdr:to>
    <xdr:sp macro="" textlink="">
      <xdr:nvSpPr>
        <xdr:cNvPr id="4" name="TEAM_SHAPE_MODEL" hidden="1"/>
        <xdr:cNvSpPr/>
      </xdr:nvSpPr>
      <xdr:spPr>
        <a:xfrm>
          <a:off x="15744825" y="542924"/>
          <a:ext cx="2268000" cy="1038226"/>
        </a:xfrm>
        <a:prstGeom prst="roundRect">
          <a:avLst>
            <a:gd name="adj" fmla="val 6890"/>
          </a:avLst>
        </a:prstGeom>
        <a:solidFill>
          <a:schemeClr val="accent1">
            <a:lumMod val="20000"/>
            <a:lumOff val="80000"/>
          </a:schemeClr>
        </a:solidFill>
        <a:ln w="9525">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200">
              <a:solidFill>
                <a:sysClr val="windowText" lastClr="000000"/>
              </a:solidFill>
            </a:rPr>
            <a:t>MODELE</a:t>
          </a:r>
        </a:p>
      </xdr:txBody>
    </xdr:sp>
    <xdr:clientData/>
  </xdr:twoCellAnchor>
  <xdr:twoCellAnchor>
    <xdr:from>
      <xdr:col>0</xdr:col>
      <xdr:colOff>104777</xdr:colOff>
      <xdr:row>0</xdr:row>
      <xdr:rowOff>104776</xdr:rowOff>
    </xdr:from>
    <xdr:to>
      <xdr:col>0</xdr:col>
      <xdr:colOff>666751</xdr:colOff>
      <xdr:row>0</xdr:row>
      <xdr:rowOff>409575</xdr:rowOff>
    </xdr:to>
    <xdr:grpSp>
      <xdr:nvGrpSpPr>
        <xdr:cNvPr id="6" name="SESSION_GROUP_SHAPE"/>
        <xdr:cNvGrpSpPr/>
      </xdr:nvGrpSpPr>
      <xdr:grpSpPr>
        <a:xfrm>
          <a:off x="104777" y="104776"/>
          <a:ext cx="561974" cy="304799"/>
          <a:chOff x="161926" y="57151"/>
          <a:chExt cx="590550" cy="400050"/>
        </a:xfrm>
      </xdr:grpSpPr>
      <xdr:sp macro="[0]!showSessions" textlink="">
        <xdr:nvSpPr>
          <xdr:cNvPr id="3" name="SESSION_SHAPE"/>
          <xdr:cNvSpPr/>
        </xdr:nvSpPr>
        <xdr:spPr>
          <a:xfrm>
            <a:off x="161926" y="57151"/>
            <a:ext cx="590550" cy="400050"/>
          </a:xfrm>
          <a:prstGeom prst="rect">
            <a:avLst/>
          </a:prstGeom>
          <a:solidFill>
            <a:schemeClr val="bg1">
              <a:lumMod val="50000"/>
            </a:schemeClr>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fr-FR" sz="1600"/>
              <a:t>1</a:t>
            </a:r>
          </a:p>
        </xdr:txBody>
      </xdr:sp>
      <xdr:pic macro="[0]!showSessions">
        <xdr:nvPicPr>
          <xdr:cNvPr id="5" name="Image 4"/>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66701" y="152401"/>
            <a:ext cx="209550" cy="209550"/>
          </a:xfrm>
          <a:prstGeom prst="rect">
            <a:avLst/>
          </a:prstGeom>
        </xdr:spPr>
      </xdr:pic>
    </xdr:grpSp>
    <xdr:clientData/>
  </xdr:twoCellAnchor>
  <xdr:twoCellAnchor editAs="absolute">
    <xdr:from>
      <xdr:col>0</xdr:col>
      <xdr:colOff>171450</xdr:colOff>
      <xdr:row>28</xdr:row>
      <xdr:rowOff>19050</xdr:rowOff>
    </xdr:from>
    <xdr:to>
      <xdr:col>2</xdr:col>
      <xdr:colOff>195450</xdr:colOff>
      <xdr:row>29</xdr:row>
      <xdr:rowOff>116550</xdr:rowOff>
    </xdr:to>
    <xdr:sp macro="[0]!launchImportVegaFiles" textlink="">
      <xdr:nvSpPr>
        <xdr:cNvPr id="89" name="ADMIN_NAVIGATION"/>
        <xdr:cNvSpPr/>
      </xdr:nvSpPr>
      <xdr:spPr>
        <a:xfrm>
          <a:off x="171450" y="5562600"/>
          <a:ext cx="1548000" cy="288000"/>
        </a:xfrm>
        <a:prstGeom prst="rect">
          <a:avLst/>
        </a:prstGeom>
        <a:solidFill>
          <a:schemeClr val="tx1">
            <a:lumMod val="65000"/>
            <a:lumOff val="35000"/>
          </a:schemeClr>
        </a:solidFill>
        <a:ln w="9525">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FR" sz="1200">
              <a:solidFill>
                <a:schemeClr val="bg1">
                  <a:lumMod val="95000"/>
                </a:schemeClr>
              </a:solidFill>
            </a:rPr>
            <a:t>FORCE IMPORT PEGA</a:t>
          </a:r>
        </a:p>
      </xdr:txBody>
    </xdr:sp>
    <xdr:clientData/>
  </xdr:twoCellAnchor>
  <xdr:twoCellAnchor editAs="absolute">
    <xdr:from>
      <xdr:col>0</xdr:col>
      <xdr:colOff>152400</xdr:colOff>
      <xdr:row>16</xdr:row>
      <xdr:rowOff>3046</xdr:rowOff>
    </xdr:from>
    <xdr:to>
      <xdr:col>2</xdr:col>
      <xdr:colOff>523875</xdr:colOff>
      <xdr:row>18</xdr:row>
      <xdr:rowOff>18046</xdr:rowOff>
    </xdr:to>
    <xdr:sp macro="" textlink="">
      <xdr:nvSpPr>
        <xdr:cNvPr id="394" name="Rectangle à coins arrondis 393">
          <a:hlinkClick xmlns:r="http://schemas.openxmlformats.org/officeDocument/2006/relationships" r:id="rId9"/>
        </xdr:cNvPr>
        <xdr:cNvSpPr/>
      </xdr:nvSpPr>
      <xdr:spPr>
        <a:xfrm>
          <a:off x="152400" y="2993896"/>
          <a:ext cx="1895475" cy="396000"/>
        </a:xfrm>
        <a:prstGeom prst="roundRect">
          <a:avLst>
            <a:gd name="adj" fmla="val 5772"/>
          </a:avLst>
        </a:prstGeom>
        <a:solidFill>
          <a:schemeClr val="accent1">
            <a:lumMod val="75000"/>
          </a:schemeClr>
        </a:solidFill>
        <a:ln w="9525">
          <a:solidFill>
            <a:schemeClr val="tx2">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fr-FR" sz="1200">
              <a:solidFill>
                <a:schemeClr val="bg1"/>
              </a:solidFill>
              <a:latin typeface="+mn-lt"/>
              <a:ea typeface="+mn-ea"/>
              <a:cs typeface="+mn-cs"/>
            </a:rPr>
            <a:t>ACTIVITE TELEPHONIQUE</a:t>
          </a:r>
        </a:p>
      </xdr:txBody>
    </xdr:sp>
    <xdr:clientData/>
  </xdr:twoCellAnchor>
  <xdr:twoCellAnchor editAs="absolute">
    <xdr:from>
      <xdr:col>0</xdr:col>
      <xdr:colOff>179114</xdr:colOff>
      <xdr:row>30</xdr:row>
      <xdr:rowOff>19050</xdr:rowOff>
    </xdr:from>
    <xdr:to>
      <xdr:col>2</xdr:col>
      <xdr:colOff>187787</xdr:colOff>
      <xdr:row>31</xdr:row>
      <xdr:rowOff>116550</xdr:rowOff>
    </xdr:to>
    <xdr:sp macro="" textlink="">
      <xdr:nvSpPr>
        <xdr:cNvPr id="367" name="ADMIN_NAVIGATION">
          <a:hlinkClick xmlns:r="http://schemas.openxmlformats.org/officeDocument/2006/relationships" r:id="rId10"/>
        </xdr:cNvPr>
        <xdr:cNvSpPr/>
      </xdr:nvSpPr>
      <xdr:spPr>
        <a:xfrm>
          <a:off x="179114" y="5943600"/>
          <a:ext cx="1532673" cy="288000"/>
        </a:xfrm>
        <a:prstGeom prst="rect">
          <a:avLst/>
        </a:prstGeom>
        <a:solidFill>
          <a:schemeClr val="tx1">
            <a:lumMod val="65000"/>
            <a:lumOff val="35000"/>
          </a:schemeClr>
        </a:solidFill>
        <a:ln w="9525">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FR" sz="1200">
              <a:solidFill>
                <a:schemeClr val="bg1">
                  <a:lumMod val="95000"/>
                </a:schemeClr>
              </a:solidFill>
            </a:rPr>
            <a:t>ETAT DES DONNEES</a:t>
          </a:r>
        </a:p>
      </xdr:txBody>
    </xdr:sp>
    <xdr:clientData/>
  </xdr:twoCellAnchor>
  <xdr:twoCellAnchor>
    <xdr:from>
      <xdr:col>13</xdr:col>
      <xdr:colOff>476250</xdr:colOff>
      <xdr:row>7</xdr:row>
      <xdr:rowOff>47625</xdr:rowOff>
    </xdr:from>
    <xdr:to>
      <xdr:col>13</xdr:col>
      <xdr:colOff>728250</xdr:colOff>
      <xdr:row>7</xdr:row>
      <xdr:rowOff>191625</xdr:rowOff>
    </xdr:to>
    <xdr:sp macro="[0]!nextHomeDate" textlink="">
      <xdr:nvSpPr>
        <xdr:cNvPr id="7" name="Flèche droite 6"/>
        <xdr:cNvSpPr/>
      </xdr:nvSpPr>
      <xdr:spPr>
        <a:xfrm>
          <a:off x="10382250" y="1409700"/>
          <a:ext cx="252000" cy="144000"/>
        </a:xfrm>
        <a:prstGeom prst="rightArrow">
          <a:avLst/>
        </a:prstGeom>
        <a:solidFill>
          <a:schemeClr val="accent3">
            <a:lumMod val="50000"/>
          </a:schemeClr>
        </a:solidFill>
        <a:ln w="6350">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fr-FR" sz="1100">
            <a:solidFill>
              <a:schemeClr val="lt1"/>
            </a:solidFill>
            <a:latin typeface="+mn-lt"/>
            <a:ea typeface="+mn-ea"/>
            <a:cs typeface="+mn-cs"/>
          </a:endParaRPr>
        </a:p>
      </xdr:txBody>
    </xdr:sp>
    <xdr:clientData/>
  </xdr:twoCellAnchor>
  <xdr:twoCellAnchor>
    <xdr:from>
      <xdr:col>10</xdr:col>
      <xdr:colOff>43274</xdr:colOff>
      <xdr:row>7</xdr:row>
      <xdr:rowOff>46500</xdr:rowOff>
    </xdr:from>
    <xdr:to>
      <xdr:col>10</xdr:col>
      <xdr:colOff>295274</xdr:colOff>
      <xdr:row>7</xdr:row>
      <xdr:rowOff>190500</xdr:rowOff>
    </xdr:to>
    <xdr:sp macro="[0]!previousHomeDate" textlink="">
      <xdr:nvSpPr>
        <xdr:cNvPr id="261" name="Flèche droite 260"/>
        <xdr:cNvSpPr/>
      </xdr:nvSpPr>
      <xdr:spPr>
        <a:xfrm rot="10800000">
          <a:off x="7663274" y="1408575"/>
          <a:ext cx="252000" cy="144000"/>
        </a:xfrm>
        <a:prstGeom prst="rightArrow">
          <a:avLst/>
        </a:prstGeom>
        <a:solidFill>
          <a:schemeClr val="accent3">
            <a:lumMod val="50000"/>
          </a:schemeClr>
        </a:solidFill>
        <a:ln w="6350">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13</xdr:col>
      <xdr:colOff>552450</xdr:colOff>
      <xdr:row>5</xdr:row>
      <xdr:rowOff>76201</xdr:rowOff>
    </xdr:from>
    <xdr:to>
      <xdr:col>14</xdr:col>
      <xdr:colOff>0</xdr:colOff>
      <xdr:row>6</xdr:row>
      <xdr:rowOff>171451</xdr:rowOff>
    </xdr:to>
    <xdr:pic macro="[0]!HomeToday">
      <xdr:nvPicPr>
        <xdr:cNvPr id="724" name="Image 723" descr="Two Arrows Refresh Symbol Free Stock Photo - Public Domain Pictures"/>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0458450" y="1000126"/>
          <a:ext cx="209550" cy="209550"/>
        </a:xfrm>
        <a:prstGeom prst="rect">
          <a:avLst/>
        </a:prstGeom>
      </xdr:spPr>
    </xdr:pic>
    <xdr:clientData/>
  </xdr:twoCellAnchor>
  <xdr:twoCellAnchor>
    <xdr:from>
      <xdr:col>6</xdr:col>
      <xdr:colOff>546100</xdr:colOff>
      <xdr:row>10</xdr:row>
      <xdr:rowOff>184150</xdr:rowOff>
    </xdr:from>
    <xdr:to>
      <xdr:col>9</xdr:col>
      <xdr:colOff>528100</xdr:colOff>
      <xdr:row>15</xdr:row>
      <xdr:rowOff>158750</xdr:rowOff>
    </xdr:to>
    <xdr:sp macro="'displayTeamFromHome &quot;7846&quot;'" textlink="">
      <xdr:nvSpPr>
        <xdr:cNvPr id="208" name="TEAM_SHAPE_1"/>
        <xdr:cNvSpPr/>
      </xdr:nvSpPr>
      <xdr:spPr>
        <a:xfrm>
          <a:off x="5118100" y="2032000"/>
          <a:ext cx="2268000" cy="927100"/>
        </a:xfrm>
        <a:prstGeom prst="roundRect">
          <a:avLst>
            <a:gd name="adj" fmla="val 6890"/>
          </a:avLst>
        </a:prstGeom>
        <a:solidFill>
          <a:schemeClr val="accent1">
            <a:lumMod val="20000"/>
            <a:lumOff val="80000"/>
          </a:schemeClr>
        </a:solidFill>
        <a:ln w="9525">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200">
              <a:solidFill>
                <a:sysClr val="windowText" lastClr="000000"/>
              </a:solidFill>
            </a:rPr>
            <a:t>EQUIPE TIOZZO Sandrine</a:t>
          </a:r>
        </a:p>
        <a:p>
          <a:pPr algn="l"/>
          <a:r>
            <a:rPr lang="fr-FR" sz="1200">
              <a:solidFill>
                <a:sysClr val="windowText" lastClr="000000"/>
              </a:solidFill>
            </a:rPr>
            <a:t>Présents : 8/11</a:t>
          </a:r>
        </a:p>
        <a:p>
          <a:pPr algn="l"/>
          <a:r>
            <a:rPr lang="fr-FR" sz="1200">
              <a:solidFill>
                <a:sysClr val="windowText" lastClr="000000"/>
              </a:solidFill>
            </a:rPr>
            <a:t>Formation: 1</a:t>
          </a:r>
        </a:p>
        <a:p>
          <a:pPr algn="l"/>
          <a:r>
            <a:rPr lang="fr-FR" sz="1200">
              <a:solidFill>
                <a:sysClr val="windowText" lastClr="000000"/>
              </a:solidFill>
            </a:rPr>
            <a:t>Qualité: 0</a:t>
          </a:r>
        </a:p>
      </xdr:txBody>
    </xdr:sp>
    <xdr:clientData/>
  </xdr:twoCellAnchor>
  <xdr:twoCellAnchor>
    <xdr:from>
      <xdr:col>10</xdr:col>
      <xdr:colOff>401100</xdr:colOff>
      <xdr:row>10</xdr:row>
      <xdr:rowOff>184150</xdr:rowOff>
    </xdr:from>
    <xdr:to>
      <xdr:col>13</xdr:col>
      <xdr:colOff>383100</xdr:colOff>
      <xdr:row>15</xdr:row>
      <xdr:rowOff>158750</xdr:rowOff>
    </xdr:to>
    <xdr:sp macro="'displayTeamFromHome &quot;7888&quot;'" textlink="">
      <xdr:nvSpPr>
        <xdr:cNvPr id="209" name="TEAM_SHAPE_2"/>
        <xdr:cNvSpPr/>
      </xdr:nvSpPr>
      <xdr:spPr>
        <a:xfrm>
          <a:off x="8021100" y="2032000"/>
          <a:ext cx="2268000" cy="927100"/>
        </a:xfrm>
        <a:prstGeom prst="roundRect">
          <a:avLst>
            <a:gd name="adj" fmla="val 6890"/>
          </a:avLst>
        </a:prstGeom>
        <a:solidFill>
          <a:schemeClr val="accent1">
            <a:lumMod val="20000"/>
            <a:lumOff val="80000"/>
          </a:schemeClr>
        </a:solidFill>
        <a:ln w="9525">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200">
              <a:solidFill>
                <a:sysClr val="windowText" lastClr="000000"/>
              </a:solidFill>
            </a:rPr>
            <a:t>EQUIPE LEONARD Virginie</a:t>
          </a:r>
        </a:p>
        <a:p>
          <a:pPr algn="l"/>
          <a:r>
            <a:rPr lang="fr-FR" sz="1200">
              <a:solidFill>
                <a:sysClr val="windowText" lastClr="000000"/>
              </a:solidFill>
            </a:rPr>
            <a:t>Présents : 8/10</a:t>
          </a:r>
        </a:p>
        <a:p>
          <a:pPr algn="l"/>
          <a:r>
            <a:rPr lang="fr-FR" sz="1200">
              <a:solidFill>
                <a:sysClr val="windowText" lastClr="000000"/>
              </a:solidFill>
            </a:rPr>
            <a:t>Formation: 3</a:t>
          </a:r>
        </a:p>
        <a:p>
          <a:pPr algn="l"/>
          <a:r>
            <a:rPr lang="fr-FR" sz="1200">
              <a:solidFill>
                <a:sysClr val="windowText" lastClr="000000"/>
              </a:solidFill>
            </a:rPr>
            <a:t>Qualité: 0</a:t>
          </a:r>
        </a:p>
      </xdr:txBody>
    </xdr:sp>
    <xdr:clientData/>
  </xdr:twoCellAnchor>
  <xdr:twoCellAnchor>
    <xdr:from>
      <xdr:col>14</xdr:col>
      <xdr:colOff>256100</xdr:colOff>
      <xdr:row>10</xdr:row>
      <xdr:rowOff>184150</xdr:rowOff>
    </xdr:from>
    <xdr:to>
      <xdr:col>17</xdr:col>
      <xdr:colOff>238100</xdr:colOff>
      <xdr:row>15</xdr:row>
      <xdr:rowOff>158750</xdr:rowOff>
    </xdr:to>
    <xdr:sp macro="'displayTeamFromHome &quot;9232&quot;'" textlink="">
      <xdr:nvSpPr>
        <xdr:cNvPr id="210" name="TEAM_SHAPE_3"/>
        <xdr:cNvSpPr/>
      </xdr:nvSpPr>
      <xdr:spPr>
        <a:xfrm>
          <a:off x="10924100" y="2032000"/>
          <a:ext cx="2268000" cy="927100"/>
        </a:xfrm>
        <a:prstGeom prst="roundRect">
          <a:avLst>
            <a:gd name="adj" fmla="val 6890"/>
          </a:avLst>
        </a:prstGeom>
        <a:solidFill>
          <a:schemeClr val="accent1">
            <a:lumMod val="20000"/>
            <a:lumOff val="80000"/>
          </a:schemeClr>
        </a:solidFill>
        <a:ln w="9525">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200">
              <a:solidFill>
                <a:sysClr val="windowText" lastClr="000000"/>
              </a:solidFill>
            </a:rPr>
            <a:t>EQUIPE DJAFFAL Noura</a:t>
          </a:r>
        </a:p>
        <a:p>
          <a:pPr algn="l"/>
          <a:r>
            <a:rPr lang="fr-FR" sz="1200">
              <a:solidFill>
                <a:sysClr val="windowText" lastClr="000000"/>
              </a:solidFill>
            </a:rPr>
            <a:t>Présents : 3/5</a:t>
          </a:r>
        </a:p>
        <a:p>
          <a:pPr algn="l"/>
          <a:r>
            <a:rPr lang="fr-FR" sz="1200">
              <a:solidFill>
                <a:sysClr val="windowText" lastClr="000000"/>
              </a:solidFill>
            </a:rPr>
            <a:t>Formation: 1</a:t>
          </a:r>
        </a:p>
        <a:p>
          <a:pPr algn="l"/>
          <a:r>
            <a:rPr lang="fr-FR" sz="1200">
              <a:solidFill>
                <a:sysClr val="windowText" lastClr="000000"/>
              </a:solidFill>
            </a:rPr>
            <a:t>Qualité: 0</a:t>
          </a:r>
        </a:p>
      </xdr:txBody>
    </xdr:sp>
    <xdr:clientData/>
  </xdr:twoCellAnchor>
  <xdr:twoCellAnchor>
    <xdr:from>
      <xdr:col>8</xdr:col>
      <xdr:colOff>508000</xdr:colOff>
      <xdr:row>19</xdr:row>
      <xdr:rowOff>120650</xdr:rowOff>
    </xdr:from>
    <xdr:to>
      <xdr:col>15</xdr:col>
      <xdr:colOff>254000</xdr:colOff>
      <xdr:row>24</xdr:row>
      <xdr:rowOff>47625</xdr:rowOff>
    </xdr:to>
    <xdr:sp macro="displayTeamFromHome" textlink="">
      <xdr:nvSpPr>
        <xdr:cNvPr id="211" name="TEAM_SHAPE_4"/>
        <xdr:cNvSpPr/>
      </xdr:nvSpPr>
      <xdr:spPr>
        <a:xfrm>
          <a:off x="6604000" y="3683000"/>
          <a:ext cx="5080000" cy="927100"/>
        </a:xfrm>
        <a:prstGeom prst="roundRect">
          <a:avLst>
            <a:gd name="adj" fmla="val 6890"/>
          </a:avLst>
        </a:prstGeom>
        <a:solidFill>
          <a:schemeClr val="accent1">
            <a:lumMod val="20000"/>
            <a:lumOff val="80000"/>
          </a:schemeClr>
        </a:solidFill>
        <a:ln w="9525">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200">
              <a:solidFill>
                <a:sysClr val="windowText" lastClr="000000"/>
              </a:solidFill>
            </a:rPr>
            <a:t>TOUS ICS</a:t>
          </a:r>
        </a:p>
        <a:p>
          <a:pPr algn="l"/>
          <a:r>
            <a:rPr lang="fr-FR" sz="1200">
              <a:solidFill>
                <a:sysClr val="windowText" lastClr="000000"/>
              </a:solidFill>
            </a:rPr>
            <a:t>Présents : 19/26</a:t>
          </a:r>
        </a:p>
        <a:p>
          <a:pPr algn="l"/>
          <a:r>
            <a:rPr lang="fr-FR" sz="1200">
              <a:solidFill>
                <a:sysClr val="windowText" lastClr="000000"/>
              </a:solidFill>
            </a:rPr>
            <a:t>Formation: 5</a:t>
          </a:r>
        </a:p>
        <a:p>
          <a:pPr algn="l"/>
          <a:r>
            <a:rPr lang="fr-FR" sz="1200">
              <a:solidFill>
                <a:sysClr val="windowText" lastClr="000000"/>
              </a:solidFill>
            </a:rPr>
            <a:t>Qualité: 0</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23</xdr:col>
      <xdr:colOff>45505</xdr:colOff>
      <xdr:row>3</xdr:row>
      <xdr:rowOff>79373</xdr:rowOff>
    </xdr:from>
    <xdr:to>
      <xdr:col>24</xdr:col>
      <xdr:colOff>276355</xdr:colOff>
      <xdr:row>3</xdr:row>
      <xdr:rowOff>259373</xdr:rowOff>
    </xdr:to>
    <xdr:sp macro="[0]!nextWeekICS" textlink="">
      <xdr:nvSpPr>
        <xdr:cNvPr id="2" name="Flèche droite 1"/>
        <xdr:cNvSpPr/>
      </xdr:nvSpPr>
      <xdr:spPr>
        <a:xfrm>
          <a:off x="9065680" y="869948"/>
          <a:ext cx="288000" cy="180000"/>
        </a:xfrm>
        <a:prstGeom prst="rightArrow">
          <a:avLst/>
        </a:prstGeom>
        <a:solidFill>
          <a:schemeClr val="accent3">
            <a:lumMod val="50000"/>
          </a:schemeClr>
        </a:solidFill>
        <a:ln>
          <a:solidFill>
            <a:schemeClr val="accent3">
              <a:lumMod val="50000"/>
            </a:schemeClr>
          </a:solid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15</xdr:col>
      <xdr:colOff>45639</xdr:colOff>
      <xdr:row>3</xdr:row>
      <xdr:rowOff>89874</xdr:rowOff>
    </xdr:from>
    <xdr:to>
      <xdr:col>15</xdr:col>
      <xdr:colOff>333639</xdr:colOff>
      <xdr:row>3</xdr:row>
      <xdr:rowOff>269874</xdr:rowOff>
    </xdr:to>
    <xdr:sp macro="[0]!previousWeekICS" textlink="">
      <xdr:nvSpPr>
        <xdr:cNvPr id="3" name="Flèche droite 2"/>
        <xdr:cNvSpPr/>
      </xdr:nvSpPr>
      <xdr:spPr>
        <a:xfrm rot="10800000">
          <a:off x="6160689" y="880449"/>
          <a:ext cx="288000" cy="180000"/>
        </a:xfrm>
        <a:prstGeom prst="rightArrow">
          <a:avLst/>
        </a:prstGeom>
        <a:solidFill>
          <a:schemeClr val="accent3">
            <a:lumMod val="50000"/>
          </a:schemeClr>
        </a:solidFill>
        <a:ln>
          <a:solidFill>
            <a:schemeClr val="accent3">
              <a:lumMod val="50000"/>
            </a:schemeClr>
          </a:solid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39</xdr:col>
      <xdr:colOff>9526</xdr:colOff>
      <xdr:row>1</xdr:row>
      <xdr:rowOff>38100</xdr:rowOff>
    </xdr:from>
    <xdr:to>
      <xdr:col>42</xdr:col>
      <xdr:colOff>95251</xdr:colOff>
      <xdr:row>3</xdr:row>
      <xdr:rowOff>133350</xdr:rowOff>
    </xdr:to>
    <xdr:sp macro="" textlink="">
      <xdr:nvSpPr>
        <xdr:cNvPr id="12" name="ANIMATEUR_MODEL"/>
        <xdr:cNvSpPr/>
      </xdr:nvSpPr>
      <xdr:spPr>
        <a:xfrm>
          <a:off x="15411451" y="485775"/>
          <a:ext cx="1028700" cy="333375"/>
        </a:xfrm>
        <a:prstGeom prst="rect">
          <a:avLst/>
        </a:prstGeom>
        <a:solidFill>
          <a:schemeClr val="accent1"/>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fr-FR" sz="900" baseline="0">
              <a:solidFill>
                <a:schemeClr val="bg1"/>
              </a:solidFill>
            </a:rPr>
            <a:t>RE MODEL</a:t>
          </a:r>
          <a:endParaRPr lang="fr-FR" sz="900">
            <a:solidFill>
              <a:schemeClr val="bg1"/>
            </a:solidFill>
          </a:endParaRPr>
        </a:p>
      </xdr:txBody>
    </xdr:sp>
    <xdr:clientData/>
  </xdr:twoCellAnchor>
  <xdr:twoCellAnchor editAs="oneCell">
    <xdr:from>
      <xdr:col>22</xdr:col>
      <xdr:colOff>190500</xdr:colOff>
      <xdr:row>2</xdr:row>
      <xdr:rowOff>0</xdr:rowOff>
    </xdr:from>
    <xdr:to>
      <xdr:col>22</xdr:col>
      <xdr:colOff>371475</xdr:colOff>
      <xdr:row>2</xdr:row>
      <xdr:rowOff>180975</xdr:rowOff>
    </xdr:to>
    <xdr:pic macro="[0]!refreshICSPlanning">
      <xdr:nvPicPr>
        <xdr:cNvPr id="5" name="Image 4" descr="Two Arrows Refresh Symbol Free Stock Photo - Public Domain Pictures"/>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334500" y="495300"/>
          <a:ext cx="180975" cy="180975"/>
        </a:xfrm>
        <a:prstGeom prst="rect">
          <a:avLst/>
        </a:prstGeom>
      </xdr:spPr>
    </xdr:pic>
    <xdr:clientData/>
  </xdr:twoCellAnchor>
  <xdr:twoCellAnchor editAs="absolute">
    <xdr:from>
      <xdr:col>0</xdr:col>
      <xdr:colOff>66675</xdr:colOff>
      <xdr:row>0</xdr:row>
      <xdr:rowOff>76200</xdr:rowOff>
    </xdr:from>
    <xdr:to>
      <xdr:col>1</xdr:col>
      <xdr:colOff>656550</xdr:colOff>
      <xdr:row>0</xdr:row>
      <xdr:rowOff>381000</xdr:rowOff>
    </xdr:to>
    <xdr:sp macro="" textlink="">
      <xdr:nvSpPr>
        <xdr:cNvPr id="24" name="Rectangle 23">
          <a:hlinkClick xmlns:r="http://schemas.openxmlformats.org/officeDocument/2006/relationships" r:id="rId2"/>
        </xdr:cNvPr>
        <xdr:cNvSpPr/>
      </xdr:nvSpPr>
      <xdr:spPr>
        <a:xfrm>
          <a:off x="66675" y="76200"/>
          <a:ext cx="828000" cy="304800"/>
        </a:xfrm>
        <a:prstGeom prst="rect">
          <a:avLst/>
        </a:prstGeom>
        <a:solidFill>
          <a:schemeClr val="accent3"/>
        </a:solidFill>
        <a:ln w="6350">
          <a:solidFill>
            <a:schemeClr val="accent3">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200"/>
            <a:t>ACCUEIL</a:t>
          </a:r>
        </a:p>
      </xdr:txBody>
    </xdr:sp>
    <xdr:clientData/>
  </xdr:twoCellAnchor>
  <xdr:twoCellAnchor editAs="absolute">
    <xdr:from>
      <xdr:col>0</xdr:col>
      <xdr:colOff>228601</xdr:colOff>
      <xdr:row>2</xdr:row>
      <xdr:rowOff>9525</xdr:rowOff>
    </xdr:from>
    <xdr:to>
      <xdr:col>1</xdr:col>
      <xdr:colOff>523876</xdr:colOff>
      <xdr:row>3</xdr:row>
      <xdr:rowOff>114301</xdr:rowOff>
    </xdr:to>
    <xdr:grpSp>
      <xdr:nvGrpSpPr>
        <xdr:cNvPr id="11" name="SESSION_GROUP_SHAPE"/>
        <xdr:cNvGrpSpPr/>
      </xdr:nvGrpSpPr>
      <xdr:grpSpPr>
        <a:xfrm>
          <a:off x="228601" y="504825"/>
          <a:ext cx="533400" cy="295276"/>
          <a:chOff x="161926" y="57151"/>
          <a:chExt cx="590550" cy="400050"/>
        </a:xfrm>
      </xdr:grpSpPr>
      <xdr:sp macro="[0]!showSessions" textlink="">
        <xdr:nvSpPr>
          <xdr:cNvPr id="13" name="SESSION_SHAPE"/>
          <xdr:cNvSpPr/>
        </xdr:nvSpPr>
        <xdr:spPr>
          <a:xfrm>
            <a:off x="161926" y="57151"/>
            <a:ext cx="590550" cy="400050"/>
          </a:xfrm>
          <a:prstGeom prst="rect">
            <a:avLst/>
          </a:prstGeom>
          <a:solidFill>
            <a:schemeClr val="bg1">
              <a:lumMod val="50000"/>
            </a:schemeClr>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fr-FR" sz="1600"/>
              <a:t>1</a:t>
            </a:r>
          </a:p>
        </xdr:txBody>
      </xdr:sp>
      <xdr:pic macro="[0]!showSessions">
        <xdr:nvPicPr>
          <xdr:cNvPr id="14" name="Image 13"/>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6701" y="152401"/>
            <a:ext cx="209550" cy="209550"/>
          </a:xfrm>
          <a:prstGeom prst="rect">
            <a:avLst/>
          </a:prstGeom>
        </xdr:spPr>
      </xdr:pic>
    </xdr:grpSp>
    <xdr:clientData/>
  </xdr:twoCellAnchor>
  <xdr:twoCellAnchor editAs="absolute">
    <xdr:from>
      <xdr:col>1</xdr:col>
      <xdr:colOff>0</xdr:colOff>
      <xdr:row>3</xdr:row>
      <xdr:rowOff>165100</xdr:rowOff>
    </xdr:from>
    <xdr:to>
      <xdr:col>1</xdr:col>
      <xdr:colOff>1028700</xdr:colOff>
      <xdr:row>4</xdr:row>
      <xdr:rowOff>155575</xdr:rowOff>
    </xdr:to>
    <xdr:sp macro="'setDisplayedTeam&quot;7846&quot;'" textlink="">
      <xdr:nvSpPr>
        <xdr:cNvPr id="79" name="SELECTED_TEAM_7846"/>
        <xdr:cNvSpPr/>
      </xdr:nvSpPr>
      <xdr:spPr>
        <a:xfrm>
          <a:off x="238125" y="850900"/>
          <a:ext cx="1028700" cy="333375"/>
        </a:xfrm>
        <a:prstGeom prst="rect">
          <a:avLst/>
        </a:prstGeom>
        <a:solidFill>
          <a:schemeClr val="accent1"/>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fr-FR" sz="900" baseline="0">
              <a:solidFill>
                <a:schemeClr val="bg1"/>
              </a:solidFill>
            </a:rPr>
            <a:t>TIOZZO Sandrine</a:t>
          </a:r>
          <a:endParaRPr lang="fr-FR" sz="900">
            <a:solidFill>
              <a:schemeClr val="bg1"/>
            </a:solidFill>
          </a:endParaRPr>
        </a:p>
      </xdr:txBody>
    </xdr:sp>
    <xdr:clientData/>
  </xdr:twoCellAnchor>
  <xdr:twoCellAnchor editAs="absolute">
    <xdr:from>
      <xdr:col>1</xdr:col>
      <xdr:colOff>1092200</xdr:colOff>
      <xdr:row>3</xdr:row>
      <xdr:rowOff>165100</xdr:rowOff>
    </xdr:from>
    <xdr:to>
      <xdr:col>3</xdr:col>
      <xdr:colOff>282575</xdr:colOff>
      <xdr:row>4</xdr:row>
      <xdr:rowOff>155575</xdr:rowOff>
    </xdr:to>
    <xdr:sp macro="'setDisplayedTeam&quot;7888&quot;'" textlink="">
      <xdr:nvSpPr>
        <xdr:cNvPr id="80" name="SELECTED_TEAM_7888"/>
        <xdr:cNvSpPr/>
      </xdr:nvSpPr>
      <xdr:spPr>
        <a:xfrm>
          <a:off x="1330325" y="850900"/>
          <a:ext cx="1028700" cy="333375"/>
        </a:xfrm>
        <a:prstGeom prst="rect">
          <a:avLst/>
        </a:prstGeom>
        <a:solidFill>
          <a:schemeClr val="accent1"/>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fr-FR" sz="900" baseline="0">
              <a:solidFill>
                <a:schemeClr val="bg1"/>
              </a:solidFill>
            </a:rPr>
            <a:t>LEONARD Virginie</a:t>
          </a:r>
          <a:endParaRPr lang="fr-FR" sz="900">
            <a:solidFill>
              <a:schemeClr val="bg1"/>
            </a:solidFill>
          </a:endParaRPr>
        </a:p>
      </xdr:txBody>
    </xdr:sp>
    <xdr:clientData/>
  </xdr:twoCellAnchor>
  <xdr:twoCellAnchor editAs="absolute">
    <xdr:from>
      <xdr:col>3</xdr:col>
      <xdr:colOff>346075</xdr:colOff>
      <xdr:row>3</xdr:row>
      <xdr:rowOff>165100</xdr:rowOff>
    </xdr:from>
    <xdr:to>
      <xdr:col>5</xdr:col>
      <xdr:colOff>212725</xdr:colOff>
      <xdr:row>4</xdr:row>
      <xdr:rowOff>155575</xdr:rowOff>
    </xdr:to>
    <xdr:sp macro="'setDisplayedTeam&quot;9232&quot;'" textlink="">
      <xdr:nvSpPr>
        <xdr:cNvPr id="81" name="SELECTED_TEAM_9232"/>
        <xdr:cNvSpPr/>
      </xdr:nvSpPr>
      <xdr:spPr>
        <a:xfrm>
          <a:off x="2422525" y="850900"/>
          <a:ext cx="1028700" cy="333375"/>
        </a:xfrm>
        <a:prstGeom prst="rect">
          <a:avLst/>
        </a:prstGeom>
        <a:solidFill>
          <a:schemeClr val="accent1"/>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fr-FR" sz="900" baseline="0">
              <a:solidFill>
                <a:schemeClr val="bg1"/>
              </a:solidFill>
            </a:rPr>
            <a:t>DJAFFAL Noura</a:t>
          </a:r>
          <a:endParaRPr lang="fr-FR" sz="900">
            <a:solidFill>
              <a:schemeClr val="bg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19</xdr:col>
      <xdr:colOff>63501</xdr:colOff>
      <xdr:row>3</xdr:row>
      <xdr:rowOff>84663</xdr:rowOff>
    </xdr:from>
    <xdr:to>
      <xdr:col>19</xdr:col>
      <xdr:colOff>387501</xdr:colOff>
      <xdr:row>3</xdr:row>
      <xdr:rowOff>264663</xdr:rowOff>
    </xdr:to>
    <xdr:sp macro="[0]!nextWeekCadres" textlink="">
      <xdr:nvSpPr>
        <xdr:cNvPr id="2" name="Flèche droite 1"/>
        <xdr:cNvSpPr/>
      </xdr:nvSpPr>
      <xdr:spPr>
        <a:xfrm>
          <a:off x="8392584" y="1015996"/>
          <a:ext cx="324000" cy="180000"/>
        </a:xfrm>
        <a:prstGeom prst="rightArrow">
          <a:avLst/>
        </a:prstGeom>
        <a:solidFill>
          <a:schemeClr val="accent3">
            <a:lumMod val="50000"/>
          </a:schemeClr>
        </a:solidFill>
        <a:ln>
          <a:solidFill>
            <a:schemeClr val="accent3">
              <a:lumMod val="50000"/>
            </a:schemeClr>
          </a:solid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264700</xdr:colOff>
      <xdr:row>3</xdr:row>
      <xdr:rowOff>84584</xdr:rowOff>
    </xdr:from>
    <xdr:to>
      <xdr:col>13</xdr:col>
      <xdr:colOff>588700</xdr:colOff>
      <xdr:row>3</xdr:row>
      <xdr:rowOff>264584</xdr:rowOff>
    </xdr:to>
    <xdr:sp macro="[0]!previousWeekCadres" textlink="">
      <xdr:nvSpPr>
        <xdr:cNvPr id="10" name="Flèche droite 9"/>
        <xdr:cNvSpPr/>
      </xdr:nvSpPr>
      <xdr:spPr>
        <a:xfrm rot="10800000">
          <a:off x="6180783" y="1015917"/>
          <a:ext cx="324000" cy="180000"/>
        </a:xfrm>
        <a:prstGeom prst="rightArrow">
          <a:avLst/>
        </a:prstGeom>
        <a:solidFill>
          <a:schemeClr val="accent3">
            <a:lumMod val="50000"/>
          </a:schemeClr>
        </a:solidFill>
        <a:ln>
          <a:solidFill>
            <a:schemeClr val="accent3">
              <a:lumMod val="50000"/>
            </a:schemeClr>
          </a:solid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1</xdr:colOff>
      <xdr:row>5</xdr:row>
      <xdr:rowOff>9525</xdr:rowOff>
    </xdr:from>
    <xdr:to>
      <xdr:col>2</xdr:col>
      <xdr:colOff>1</xdr:colOff>
      <xdr:row>6</xdr:row>
      <xdr:rowOff>257175</xdr:rowOff>
    </xdr:to>
    <xdr:sp macro="[0]!refreshAllEncadrement" textlink="">
      <xdr:nvSpPr>
        <xdr:cNvPr id="3" name="Rectangle 2"/>
        <xdr:cNvSpPr/>
      </xdr:nvSpPr>
      <xdr:spPr>
        <a:xfrm>
          <a:off x="238126" y="1200150"/>
          <a:ext cx="1562100" cy="514350"/>
        </a:xfrm>
        <a:prstGeom prst="rect">
          <a:avLst/>
        </a:prstGeom>
        <a:solidFill>
          <a:schemeClr val="tx2">
            <a:lumMod val="75000"/>
          </a:schemeClr>
        </a:solid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ACTUALISER TOUT</a:t>
          </a:r>
        </a:p>
      </xdr:txBody>
    </xdr:sp>
    <xdr:clientData/>
  </xdr:twoCellAnchor>
  <xdr:twoCellAnchor editAs="oneCell">
    <xdr:from>
      <xdr:col>18</xdr:col>
      <xdr:colOff>476250</xdr:colOff>
      <xdr:row>2</xdr:row>
      <xdr:rowOff>19050</xdr:rowOff>
    </xdr:from>
    <xdr:to>
      <xdr:col>18</xdr:col>
      <xdr:colOff>656250</xdr:colOff>
      <xdr:row>2</xdr:row>
      <xdr:rowOff>199050</xdr:rowOff>
    </xdr:to>
    <xdr:pic macro="[0]!refreshEncadrementPlanning">
      <xdr:nvPicPr>
        <xdr:cNvPr id="7" name="Image 6" descr="Two Arrows Refresh Symbol Free Stock Photo - Public Domain Pictures"/>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96200" y="533400"/>
          <a:ext cx="180000" cy="180000"/>
        </a:xfrm>
        <a:prstGeom prst="rect">
          <a:avLst/>
        </a:prstGeom>
      </xdr:spPr>
    </xdr:pic>
    <xdr:clientData/>
  </xdr:twoCellAnchor>
  <xdr:twoCellAnchor editAs="absolute">
    <xdr:from>
      <xdr:col>0</xdr:col>
      <xdr:colOff>76200</xdr:colOff>
      <xdr:row>0</xdr:row>
      <xdr:rowOff>66675</xdr:rowOff>
    </xdr:from>
    <xdr:to>
      <xdr:col>1</xdr:col>
      <xdr:colOff>666075</xdr:colOff>
      <xdr:row>0</xdr:row>
      <xdr:rowOff>371475</xdr:rowOff>
    </xdr:to>
    <xdr:sp macro="" textlink="">
      <xdr:nvSpPr>
        <xdr:cNvPr id="8" name="Rectangle 7">
          <a:hlinkClick xmlns:r="http://schemas.openxmlformats.org/officeDocument/2006/relationships" r:id="rId2"/>
        </xdr:cNvPr>
        <xdr:cNvSpPr/>
      </xdr:nvSpPr>
      <xdr:spPr>
        <a:xfrm>
          <a:off x="76200" y="66675"/>
          <a:ext cx="828000" cy="304800"/>
        </a:xfrm>
        <a:prstGeom prst="rect">
          <a:avLst/>
        </a:prstGeom>
        <a:solidFill>
          <a:schemeClr val="accent3"/>
        </a:solidFill>
        <a:ln w="6350">
          <a:solidFill>
            <a:schemeClr val="accent3">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200"/>
            <a:t>ACCUEIL</a:t>
          </a:r>
        </a:p>
      </xdr:txBody>
    </xdr:sp>
    <xdr:clientData/>
  </xdr:twoCellAnchor>
  <xdr:twoCellAnchor editAs="absolute">
    <xdr:from>
      <xdr:col>0</xdr:col>
      <xdr:colOff>57150</xdr:colOff>
      <xdr:row>1</xdr:row>
      <xdr:rowOff>47625</xdr:rowOff>
    </xdr:from>
    <xdr:to>
      <xdr:col>1</xdr:col>
      <xdr:colOff>333375</xdr:colOff>
      <xdr:row>3</xdr:row>
      <xdr:rowOff>38100</xdr:rowOff>
    </xdr:to>
    <xdr:grpSp>
      <xdr:nvGrpSpPr>
        <xdr:cNvPr id="9" name="SESSION_GROUP_SHAPE"/>
        <xdr:cNvGrpSpPr/>
      </xdr:nvGrpSpPr>
      <xdr:grpSpPr>
        <a:xfrm>
          <a:off x="57150" y="495300"/>
          <a:ext cx="514350" cy="276225"/>
          <a:chOff x="161926" y="57151"/>
          <a:chExt cx="590550" cy="400050"/>
        </a:xfrm>
      </xdr:grpSpPr>
      <xdr:sp macro="[0]!showSessions" textlink="">
        <xdr:nvSpPr>
          <xdr:cNvPr id="11" name="SESSION_SHAPE"/>
          <xdr:cNvSpPr/>
        </xdr:nvSpPr>
        <xdr:spPr>
          <a:xfrm>
            <a:off x="161926" y="57151"/>
            <a:ext cx="590550" cy="400050"/>
          </a:xfrm>
          <a:prstGeom prst="rect">
            <a:avLst/>
          </a:prstGeom>
          <a:solidFill>
            <a:schemeClr val="bg1">
              <a:lumMod val="50000"/>
            </a:schemeClr>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fr-FR" sz="1600"/>
              <a:t>1</a:t>
            </a:r>
          </a:p>
        </xdr:txBody>
      </xdr:sp>
      <xdr:pic macro="[0]!showSessions">
        <xdr:nvPicPr>
          <xdr:cNvPr id="12" name="Image 11"/>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6701" y="152401"/>
            <a:ext cx="209550" cy="209550"/>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1819275</xdr:colOff>
      <xdr:row>3</xdr:row>
      <xdr:rowOff>104775</xdr:rowOff>
    </xdr:from>
    <xdr:to>
      <xdr:col>8</xdr:col>
      <xdr:colOff>2107275</xdr:colOff>
      <xdr:row>3</xdr:row>
      <xdr:rowOff>247650</xdr:rowOff>
    </xdr:to>
    <xdr:sp macro="[0]!calendar_nextWeek" textlink="">
      <xdr:nvSpPr>
        <xdr:cNvPr id="2" name="Flèche droite 1"/>
        <xdr:cNvSpPr/>
      </xdr:nvSpPr>
      <xdr:spPr>
        <a:xfrm>
          <a:off x="10344150" y="885825"/>
          <a:ext cx="288000" cy="142875"/>
        </a:xfrm>
        <a:prstGeom prst="rightArrow">
          <a:avLst/>
        </a:prstGeom>
        <a:solidFill>
          <a:schemeClr val="accent1">
            <a:lumMod val="50000"/>
          </a:schemeClr>
        </a:solid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xdr:col>
      <xdr:colOff>238125</xdr:colOff>
      <xdr:row>3</xdr:row>
      <xdr:rowOff>95250</xdr:rowOff>
    </xdr:from>
    <xdr:to>
      <xdr:col>6</xdr:col>
      <xdr:colOff>526125</xdr:colOff>
      <xdr:row>3</xdr:row>
      <xdr:rowOff>238125</xdr:rowOff>
    </xdr:to>
    <xdr:sp macro="[0]!calendar_previousWeek" textlink="">
      <xdr:nvSpPr>
        <xdr:cNvPr id="3" name="Flèche droite 2"/>
        <xdr:cNvSpPr/>
      </xdr:nvSpPr>
      <xdr:spPr>
        <a:xfrm flipH="1">
          <a:off x="6343650" y="876300"/>
          <a:ext cx="288000" cy="142875"/>
        </a:xfrm>
        <a:prstGeom prst="rightArrow">
          <a:avLst/>
        </a:prstGeom>
        <a:solidFill>
          <a:schemeClr val="accent1">
            <a:lumMod val="50000"/>
          </a:schemeClr>
        </a:solid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15</xdr:col>
      <xdr:colOff>571500</xdr:colOff>
      <xdr:row>1</xdr:row>
      <xdr:rowOff>28576</xdr:rowOff>
    </xdr:from>
    <xdr:to>
      <xdr:col>17</xdr:col>
      <xdr:colOff>0</xdr:colOff>
      <xdr:row>3</xdr:row>
      <xdr:rowOff>266701</xdr:rowOff>
    </xdr:to>
    <xdr:sp macro="" textlink="">
      <xdr:nvSpPr>
        <xdr:cNvPr id="4" name="CALENDAR_EVENT_MODEL"/>
        <xdr:cNvSpPr/>
      </xdr:nvSpPr>
      <xdr:spPr>
        <a:xfrm>
          <a:off x="16354425" y="447676"/>
          <a:ext cx="952500" cy="552450"/>
        </a:xfrm>
        <a:prstGeom prst="rect">
          <a:avLst/>
        </a:prstGeom>
        <a:solidFill>
          <a:schemeClr val="accent1">
            <a:lumMod val="20000"/>
            <a:lumOff val="80000"/>
          </a:schemeClr>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000">
              <a:solidFill>
                <a:schemeClr val="tx1"/>
              </a:solidFill>
            </a:rPr>
            <a:t>MODELE</a:t>
          </a:r>
        </a:p>
      </xdr:txBody>
    </xdr:sp>
    <xdr:clientData/>
  </xdr:twoCellAnchor>
  <xdr:twoCellAnchor editAs="absolute">
    <xdr:from>
      <xdr:col>0</xdr:col>
      <xdr:colOff>66675</xdr:colOff>
      <xdr:row>0</xdr:row>
      <xdr:rowOff>57150</xdr:rowOff>
    </xdr:from>
    <xdr:to>
      <xdr:col>1</xdr:col>
      <xdr:colOff>132675</xdr:colOff>
      <xdr:row>0</xdr:row>
      <xdr:rowOff>361950</xdr:rowOff>
    </xdr:to>
    <xdr:sp macro="" textlink="">
      <xdr:nvSpPr>
        <xdr:cNvPr id="9" name="Rectangle 8">
          <a:hlinkClick xmlns:r="http://schemas.openxmlformats.org/officeDocument/2006/relationships" r:id="rId1"/>
        </xdr:cNvPr>
        <xdr:cNvSpPr/>
      </xdr:nvSpPr>
      <xdr:spPr>
        <a:xfrm>
          <a:off x="66675" y="57150"/>
          <a:ext cx="828000" cy="304800"/>
        </a:xfrm>
        <a:prstGeom prst="rect">
          <a:avLst/>
        </a:prstGeom>
        <a:solidFill>
          <a:schemeClr val="accent3"/>
        </a:solidFill>
        <a:ln w="6350">
          <a:solidFill>
            <a:schemeClr val="accent3">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200"/>
            <a:t>ACCUEIL</a:t>
          </a:r>
        </a:p>
      </xdr:txBody>
    </xdr:sp>
    <xdr:clientData/>
  </xdr:twoCellAnchor>
  <xdr:twoCellAnchor>
    <xdr:from>
      <xdr:col>1</xdr:col>
      <xdr:colOff>9525</xdr:colOff>
      <xdr:row>1</xdr:row>
      <xdr:rowOff>57151</xdr:rowOff>
    </xdr:from>
    <xdr:to>
      <xdr:col>2</xdr:col>
      <xdr:colOff>628650</xdr:colOff>
      <xdr:row>3</xdr:row>
      <xdr:rowOff>28576</xdr:rowOff>
    </xdr:to>
    <xdr:sp macro="[0]!'activateCalendar &quot;salle&quot;'" textlink="">
      <xdr:nvSpPr>
        <xdr:cNvPr id="465" name="Rectangle 464"/>
        <xdr:cNvSpPr/>
      </xdr:nvSpPr>
      <xdr:spPr>
        <a:xfrm>
          <a:off x="771525" y="476251"/>
          <a:ext cx="1123950" cy="285750"/>
        </a:xfrm>
        <a:prstGeom prst="rect">
          <a:avLst/>
        </a:prstGeom>
        <a:solidFill>
          <a:schemeClr val="accent3">
            <a:lumMod val="75000"/>
          </a:schemeClr>
        </a:solidFill>
        <a:ln>
          <a:solidFill>
            <a:schemeClr val="accent3">
              <a:lumMod val="50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fr-FR" sz="1200"/>
            <a:t>SALLES</a:t>
          </a:r>
        </a:p>
      </xdr:txBody>
    </xdr:sp>
    <xdr:clientData/>
  </xdr:twoCellAnchor>
  <xdr:twoCellAnchor>
    <xdr:from>
      <xdr:col>2</xdr:col>
      <xdr:colOff>657225</xdr:colOff>
      <xdr:row>1</xdr:row>
      <xdr:rowOff>61383</xdr:rowOff>
    </xdr:from>
    <xdr:to>
      <xdr:col>2</xdr:col>
      <xdr:colOff>1809750</xdr:colOff>
      <xdr:row>3</xdr:row>
      <xdr:rowOff>28575</xdr:rowOff>
    </xdr:to>
    <xdr:sp macro="[0]!'activateCalendar &quot;formation&quot;'" textlink="">
      <xdr:nvSpPr>
        <xdr:cNvPr id="466" name="Rectangle 465"/>
        <xdr:cNvSpPr/>
      </xdr:nvSpPr>
      <xdr:spPr>
        <a:xfrm>
          <a:off x="1924050" y="480483"/>
          <a:ext cx="1152525" cy="281517"/>
        </a:xfrm>
        <a:prstGeom prst="rect">
          <a:avLst/>
        </a:prstGeom>
        <a:solidFill>
          <a:schemeClr val="accent3">
            <a:lumMod val="75000"/>
          </a:schemeClr>
        </a:solidFill>
        <a:ln>
          <a:solidFill>
            <a:schemeClr val="accent3">
              <a:lumMod val="50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fr-FR" sz="1200"/>
            <a:t>FORMATION</a:t>
          </a:r>
        </a:p>
      </xdr:txBody>
    </xdr:sp>
    <xdr:clientData/>
  </xdr:twoCellAnchor>
  <xdr:twoCellAnchor>
    <xdr:from>
      <xdr:col>15</xdr:col>
      <xdr:colOff>352426</xdr:colOff>
      <xdr:row>1</xdr:row>
      <xdr:rowOff>38100</xdr:rowOff>
    </xdr:from>
    <xdr:to>
      <xdr:col>15</xdr:col>
      <xdr:colOff>532426</xdr:colOff>
      <xdr:row>2</xdr:row>
      <xdr:rowOff>94275</xdr:rowOff>
    </xdr:to>
    <xdr:sp macro="" textlink="">
      <xdr:nvSpPr>
        <xdr:cNvPr id="54" name="DELETE_BUTTON_SHAPE_MODEL"/>
        <xdr:cNvSpPr/>
      </xdr:nvSpPr>
      <xdr:spPr>
        <a:xfrm>
          <a:off x="16135351" y="457200"/>
          <a:ext cx="180000" cy="180000"/>
        </a:xfrm>
        <a:prstGeom prst="rect">
          <a:avLst/>
        </a:prstGeom>
        <a:solidFill>
          <a:srgbClr val="C00000"/>
        </a:solidFill>
        <a:ln w="9525">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ln>
                <a:solidFill>
                  <a:schemeClr val="bg1"/>
                </a:solidFill>
              </a:ln>
              <a:solidFill>
                <a:schemeClr val="bg1"/>
              </a:solidFill>
            </a:rPr>
            <a:t>X</a:t>
          </a:r>
        </a:p>
      </xdr:txBody>
    </xdr:sp>
    <xdr:clientData/>
  </xdr:twoCellAnchor>
  <xdr:twoCellAnchor>
    <xdr:from>
      <xdr:col>15</xdr:col>
      <xdr:colOff>323850</xdr:colOff>
      <xdr:row>2</xdr:row>
      <xdr:rowOff>142875</xdr:rowOff>
    </xdr:from>
    <xdr:to>
      <xdr:col>15</xdr:col>
      <xdr:colOff>530997</xdr:colOff>
      <xdr:row>3</xdr:row>
      <xdr:rowOff>143601</xdr:rowOff>
    </xdr:to>
    <xdr:grpSp>
      <xdr:nvGrpSpPr>
        <xdr:cNvPr id="55" name="EDIT_BUTTON_SHAPE_MODEL"/>
        <xdr:cNvGrpSpPr/>
      </xdr:nvGrpSpPr>
      <xdr:grpSpPr>
        <a:xfrm>
          <a:off x="16106775" y="685800"/>
          <a:ext cx="207147" cy="191226"/>
          <a:chOff x="8562976" y="2476500"/>
          <a:chExt cx="340496" cy="314326"/>
        </a:xfrm>
      </xdr:grpSpPr>
      <xdr:sp macro="" textlink="">
        <xdr:nvSpPr>
          <xdr:cNvPr id="56" name="DELETE_BUTTON_SHAPE_MODEL"/>
          <xdr:cNvSpPr/>
        </xdr:nvSpPr>
        <xdr:spPr>
          <a:xfrm>
            <a:off x="8562976" y="2476500"/>
            <a:ext cx="340496" cy="314326"/>
          </a:xfrm>
          <a:prstGeom prst="rect">
            <a:avLst/>
          </a:prstGeom>
          <a:solidFill>
            <a:schemeClr val="accent1">
              <a:lumMod val="60000"/>
              <a:lumOff val="40000"/>
            </a:schemeClr>
          </a:solidFill>
          <a:ln w="952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fr-FR" sz="1100">
              <a:ln>
                <a:solidFill>
                  <a:schemeClr val="bg1"/>
                </a:solidFill>
              </a:ln>
              <a:solidFill>
                <a:schemeClr val="bg1"/>
              </a:solidFill>
            </a:endParaRPr>
          </a:p>
        </xdr:txBody>
      </xdr:sp>
      <xdr:pic>
        <xdr:nvPicPr>
          <xdr:cNvPr id="57" name="Image 56" descr="File:Edit font awesome.svg - Wikimedia Commons"/>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639175" y="2524125"/>
            <a:ext cx="228600" cy="228600"/>
          </a:xfrm>
          <a:prstGeom prst="rect">
            <a:avLst/>
          </a:prstGeom>
        </xdr:spPr>
      </xdr:pic>
    </xdr:grpSp>
    <xdr:clientData/>
  </xdr:twoCellAnchor>
  <xdr:twoCellAnchor>
    <xdr:from>
      <xdr:col>1</xdr:col>
      <xdr:colOff>9525</xdr:colOff>
      <xdr:row>3</xdr:row>
      <xdr:rowOff>66675</xdr:rowOff>
    </xdr:from>
    <xdr:to>
      <xdr:col>2</xdr:col>
      <xdr:colOff>1809750</xdr:colOff>
      <xdr:row>4</xdr:row>
      <xdr:rowOff>57150</xdr:rowOff>
    </xdr:to>
    <xdr:sp macro="[0]!exportCalendarData" textlink="">
      <xdr:nvSpPr>
        <xdr:cNvPr id="5" name="EXPORT_CALENDAR_DATA" hidden="1"/>
        <xdr:cNvSpPr/>
      </xdr:nvSpPr>
      <xdr:spPr>
        <a:xfrm>
          <a:off x="771525" y="800100"/>
          <a:ext cx="2305050" cy="314325"/>
        </a:xfrm>
        <a:prstGeom prst="rect">
          <a:avLst/>
        </a:prstGeom>
        <a:solidFill>
          <a:schemeClr val="accent6">
            <a:lumMod val="75000"/>
          </a:schemeClr>
        </a:solidFill>
        <a:ln w="9525">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200"/>
            <a:t>Exporter les réservations</a:t>
          </a:r>
        </a:p>
      </xdr:txBody>
    </xdr:sp>
    <xdr:clientData/>
  </xdr:twoCellAnchor>
  <xdr:twoCellAnchor>
    <xdr:from>
      <xdr:col>0</xdr:col>
      <xdr:colOff>47625</xdr:colOff>
      <xdr:row>1</xdr:row>
      <xdr:rowOff>47624</xdr:rowOff>
    </xdr:from>
    <xdr:to>
      <xdr:col>0</xdr:col>
      <xdr:colOff>514350</xdr:colOff>
      <xdr:row>3</xdr:row>
      <xdr:rowOff>19051</xdr:rowOff>
    </xdr:to>
    <xdr:grpSp>
      <xdr:nvGrpSpPr>
        <xdr:cNvPr id="13" name="SESSION_GROUP_SHAPE"/>
        <xdr:cNvGrpSpPr/>
      </xdr:nvGrpSpPr>
      <xdr:grpSpPr>
        <a:xfrm>
          <a:off x="47625" y="466724"/>
          <a:ext cx="466725" cy="285752"/>
          <a:chOff x="161926" y="57151"/>
          <a:chExt cx="590550" cy="400050"/>
        </a:xfrm>
      </xdr:grpSpPr>
      <xdr:sp macro="[0]!showSessions" textlink="">
        <xdr:nvSpPr>
          <xdr:cNvPr id="14" name="SESSION_SHAPE"/>
          <xdr:cNvSpPr/>
        </xdr:nvSpPr>
        <xdr:spPr>
          <a:xfrm>
            <a:off x="161926" y="57151"/>
            <a:ext cx="590550" cy="400050"/>
          </a:xfrm>
          <a:prstGeom prst="rect">
            <a:avLst/>
          </a:prstGeom>
          <a:solidFill>
            <a:schemeClr val="bg1">
              <a:lumMod val="50000"/>
            </a:schemeClr>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fr-FR" sz="1600"/>
              <a:t>1</a:t>
            </a:r>
          </a:p>
        </xdr:txBody>
      </xdr:sp>
      <xdr:pic macro="[0]!showSessions">
        <xdr:nvPicPr>
          <xdr:cNvPr id="15" name="Image 14"/>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6701" y="152401"/>
            <a:ext cx="209550" cy="209550"/>
          </a:xfrm>
          <a:prstGeom prst="rect">
            <a:avLst/>
          </a:prstGeom>
        </xdr:spPr>
      </xdr:pic>
    </xdr:grpSp>
    <xdr:clientData/>
  </xdr:twoCellAnchor>
  <xdr:twoCellAnchor>
    <xdr:from>
      <xdr:col>6</xdr:col>
      <xdr:colOff>25400</xdr:colOff>
      <xdr:row>8</xdr:row>
      <xdr:rowOff>0</xdr:rowOff>
    </xdr:from>
    <xdr:to>
      <xdr:col>6</xdr:col>
      <xdr:colOff>2298700</xdr:colOff>
      <xdr:row>10</xdr:row>
      <xdr:rowOff>0</xdr:rowOff>
    </xdr:to>
    <xdr:sp macro="'toogleSizeEvent &quot;11&quot;'" textlink="">
      <xdr:nvSpPr>
        <xdr:cNvPr id="673" name="CALENDAR_SHAPE_11"/>
        <xdr:cNvSpPr/>
      </xdr:nvSpPr>
      <xdr:spPr>
        <a:xfrm>
          <a:off x="6130925" y="2171700"/>
          <a:ext cx="2273300" cy="742950"/>
        </a:xfrm>
        <a:prstGeom prst="rect">
          <a:avLst/>
        </a:prstGeom>
        <a:solidFill>
          <a:schemeClr val="accent1">
            <a:lumMod val="20000"/>
            <a:lumOff val="80000"/>
          </a:schemeClr>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000">
              <a:solidFill>
                <a:schemeClr val="tx1"/>
              </a:solidFill>
            </a:rPr>
            <a:t>9:00 - 11:00</a:t>
          </a:r>
        </a:p>
        <a:p>
          <a:pPr algn="l"/>
          <a:r>
            <a:rPr lang="fr-FR" sz="1000">
              <a:solidFill>
                <a:schemeClr val="tx1"/>
              </a:solidFill>
            </a:rPr>
            <a:t>Formation</a:t>
          </a:r>
        </a:p>
        <a:p>
          <a:pPr algn="l"/>
          <a:r>
            <a:rPr lang="fr-FR" sz="1000">
              <a:solidFill>
                <a:schemeClr val="tx1"/>
              </a:solidFill>
            </a:rPr>
            <a:t>vmoffice</a:t>
          </a:r>
        </a:p>
      </xdr:txBody>
    </xdr:sp>
    <xdr:clientData/>
  </xdr:twoCellAnchor>
  <xdr:twoCellAnchor>
    <xdr:from>
      <xdr:col>10</xdr:col>
      <xdr:colOff>25400</xdr:colOff>
      <xdr:row>9</xdr:row>
      <xdr:rowOff>0</xdr:rowOff>
    </xdr:from>
    <xdr:to>
      <xdr:col>10</xdr:col>
      <xdr:colOff>2298700</xdr:colOff>
      <xdr:row>11</xdr:row>
      <xdr:rowOff>185738</xdr:rowOff>
    </xdr:to>
    <xdr:sp macro="'toogleSizeEvent &quot;14&quot;'" textlink="">
      <xdr:nvSpPr>
        <xdr:cNvPr id="674" name="CALENDAR_SHAPE_14"/>
        <xdr:cNvSpPr/>
      </xdr:nvSpPr>
      <xdr:spPr>
        <a:xfrm>
          <a:off x="10969625" y="2543175"/>
          <a:ext cx="2273300" cy="928688"/>
        </a:xfrm>
        <a:prstGeom prst="rect">
          <a:avLst/>
        </a:prstGeom>
        <a:solidFill>
          <a:schemeClr val="accent1">
            <a:lumMod val="20000"/>
            <a:lumOff val="80000"/>
          </a:schemeClr>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000">
              <a:solidFill>
                <a:schemeClr val="tx1"/>
              </a:solidFill>
            </a:rPr>
            <a:t>10:00 - 12:30</a:t>
          </a:r>
        </a:p>
        <a:p>
          <a:pPr algn="l"/>
          <a:r>
            <a:rPr lang="fr-FR" sz="1000">
              <a:solidFill>
                <a:schemeClr val="tx1"/>
              </a:solidFill>
            </a:rPr>
            <a:t>Formation</a:t>
          </a:r>
        </a:p>
        <a:p>
          <a:pPr algn="l"/>
          <a:r>
            <a:rPr lang="fr-FR" sz="1000">
              <a:solidFill>
                <a:schemeClr val="tx1"/>
              </a:solidFill>
            </a:rPr>
            <a:t>vmoffice</a:t>
          </a:r>
        </a:p>
      </xdr:txBody>
    </xdr:sp>
    <xdr:clientData/>
  </xdr:twoCellAnchor>
  <xdr:twoCellAnchor>
    <xdr:from>
      <xdr:col>2</xdr:col>
      <xdr:colOff>25400</xdr:colOff>
      <xdr:row>9</xdr:row>
      <xdr:rowOff>0</xdr:rowOff>
    </xdr:from>
    <xdr:to>
      <xdr:col>2</xdr:col>
      <xdr:colOff>2298700</xdr:colOff>
      <xdr:row>11</xdr:row>
      <xdr:rowOff>0</xdr:rowOff>
    </xdr:to>
    <xdr:sp macro="'toogleSizeEvent &quot;15&quot;'" textlink="">
      <xdr:nvSpPr>
        <xdr:cNvPr id="675" name="CALENDAR_SHAPE_15"/>
        <xdr:cNvSpPr/>
      </xdr:nvSpPr>
      <xdr:spPr>
        <a:xfrm>
          <a:off x="1292225" y="2543175"/>
          <a:ext cx="2273300" cy="742950"/>
        </a:xfrm>
        <a:prstGeom prst="rect">
          <a:avLst/>
        </a:prstGeom>
        <a:solidFill>
          <a:schemeClr val="accent1">
            <a:lumMod val="20000"/>
            <a:lumOff val="80000"/>
          </a:schemeClr>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000">
              <a:solidFill>
                <a:schemeClr val="tx1"/>
              </a:solidFill>
            </a:rPr>
            <a:t>10:00 - 12:00</a:t>
          </a:r>
        </a:p>
        <a:p>
          <a:pPr algn="l"/>
          <a:r>
            <a:rPr lang="fr-FR" sz="1000">
              <a:solidFill>
                <a:schemeClr val="tx1"/>
              </a:solidFill>
            </a:rPr>
            <a:t>Formation</a:t>
          </a:r>
        </a:p>
        <a:p>
          <a:pPr algn="l"/>
          <a:r>
            <a:rPr lang="fr-FR" sz="1000">
              <a:solidFill>
                <a:schemeClr val="tx1"/>
              </a:solidFill>
            </a:rPr>
            <a:t>vmoffice</a:t>
          </a:r>
        </a:p>
      </xdr:txBody>
    </xdr:sp>
    <xdr:clientData/>
  </xdr:twoCellAnchor>
  <xdr:twoCellAnchor>
    <xdr:from>
      <xdr:col>8</xdr:col>
      <xdr:colOff>25400</xdr:colOff>
      <xdr:row>7</xdr:row>
      <xdr:rowOff>0</xdr:rowOff>
    </xdr:from>
    <xdr:to>
      <xdr:col>8</xdr:col>
      <xdr:colOff>766233</xdr:colOff>
      <xdr:row>11</xdr:row>
      <xdr:rowOff>0</xdr:rowOff>
    </xdr:to>
    <xdr:sp macro="'toogleSizeEvent &quot;16&quot;'" textlink="">
      <xdr:nvSpPr>
        <xdr:cNvPr id="676" name="CALENDAR_SHAPE_16"/>
        <xdr:cNvSpPr/>
      </xdr:nvSpPr>
      <xdr:spPr>
        <a:xfrm>
          <a:off x="8550275" y="1800225"/>
          <a:ext cx="740833" cy="1485900"/>
        </a:xfrm>
        <a:prstGeom prst="rect">
          <a:avLst/>
        </a:prstGeom>
        <a:solidFill>
          <a:schemeClr val="accent1">
            <a:lumMod val="20000"/>
            <a:lumOff val="80000"/>
          </a:schemeClr>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000">
              <a:solidFill>
                <a:schemeClr val="tx1"/>
              </a:solidFill>
            </a:rPr>
            <a:t>8:00 - 12:00</a:t>
          </a:r>
        </a:p>
        <a:p>
          <a:pPr algn="l"/>
          <a:r>
            <a:rPr lang="fr-FR" sz="1000">
              <a:solidFill>
                <a:schemeClr val="tx1"/>
              </a:solidFill>
            </a:rPr>
            <a:t>Ecoute</a:t>
          </a:r>
        </a:p>
        <a:p>
          <a:pPr algn="l"/>
          <a:r>
            <a:rPr lang="fr-FR" sz="1000">
              <a:solidFill>
                <a:schemeClr val="tx1"/>
              </a:solidFill>
            </a:rPr>
            <a:t>vmoffice</a:t>
          </a:r>
        </a:p>
      </xdr:txBody>
    </xdr:sp>
    <xdr:clientData/>
  </xdr:twoCellAnchor>
  <xdr:twoCellAnchor>
    <xdr:from>
      <xdr:col>8</xdr:col>
      <xdr:colOff>791633</xdr:colOff>
      <xdr:row>8</xdr:row>
      <xdr:rowOff>0</xdr:rowOff>
    </xdr:from>
    <xdr:to>
      <xdr:col>8</xdr:col>
      <xdr:colOff>1532466</xdr:colOff>
      <xdr:row>10</xdr:row>
      <xdr:rowOff>0</xdr:rowOff>
    </xdr:to>
    <xdr:sp macro="'toogleSizeEvent &quot;17&quot;'" textlink="">
      <xdr:nvSpPr>
        <xdr:cNvPr id="677" name="CALENDAR_SHAPE_17"/>
        <xdr:cNvSpPr/>
      </xdr:nvSpPr>
      <xdr:spPr>
        <a:xfrm>
          <a:off x="9316508" y="2171700"/>
          <a:ext cx="740833" cy="742950"/>
        </a:xfrm>
        <a:prstGeom prst="rect">
          <a:avLst/>
        </a:prstGeom>
        <a:solidFill>
          <a:schemeClr val="accent1">
            <a:lumMod val="20000"/>
            <a:lumOff val="80000"/>
          </a:schemeClr>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000">
              <a:solidFill>
                <a:schemeClr val="tx1"/>
              </a:solidFill>
            </a:rPr>
            <a:t>9:00 - 11:00</a:t>
          </a:r>
        </a:p>
        <a:p>
          <a:pPr algn="l"/>
          <a:r>
            <a:rPr lang="fr-FR" sz="1000">
              <a:solidFill>
                <a:schemeClr val="tx1"/>
              </a:solidFill>
            </a:rPr>
            <a:t>Réunion</a:t>
          </a:r>
        </a:p>
        <a:p>
          <a:pPr algn="l"/>
          <a:r>
            <a:rPr lang="fr-FR" sz="1000">
              <a:solidFill>
                <a:schemeClr val="tx1"/>
              </a:solidFill>
            </a:rPr>
            <a:t>vmoffice</a:t>
          </a:r>
        </a:p>
      </xdr:txBody>
    </xdr:sp>
    <xdr:clientData/>
  </xdr:twoCellAnchor>
  <xdr:twoCellAnchor>
    <xdr:from>
      <xdr:col>8</xdr:col>
      <xdr:colOff>1557866</xdr:colOff>
      <xdr:row>9</xdr:row>
      <xdr:rowOff>1</xdr:rowOff>
    </xdr:from>
    <xdr:to>
      <xdr:col>8</xdr:col>
      <xdr:colOff>2298699</xdr:colOff>
      <xdr:row>10</xdr:row>
      <xdr:rowOff>1</xdr:rowOff>
    </xdr:to>
    <xdr:sp macro="'toogleSizeEvent &quot;18&quot;'" textlink="">
      <xdr:nvSpPr>
        <xdr:cNvPr id="678" name="CALENDAR_SHAPE_18"/>
        <xdr:cNvSpPr/>
      </xdr:nvSpPr>
      <xdr:spPr>
        <a:xfrm>
          <a:off x="10082741" y="2543176"/>
          <a:ext cx="740833" cy="371475"/>
        </a:xfrm>
        <a:prstGeom prst="rect">
          <a:avLst/>
        </a:prstGeom>
        <a:solidFill>
          <a:schemeClr val="accent1">
            <a:lumMod val="20000"/>
            <a:lumOff val="80000"/>
          </a:schemeClr>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000">
              <a:solidFill>
                <a:schemeClr val="tx1"/>
              </a:solidFill>
            </a:rPr>
            <a:t>10:00 - 11:00</a:t>
          </a:r>
        </a:p>
        <a:p>
          <a:pPr algn="l"/>
          <a:r>
            <a:rPr lang="fr-FR" sz="1000">
              <a:solidFill>
                <a:schemeClr val="tx1"/>
              </a:solidFill>
            </a:rPr>
            <a:t>Formation</a:t>
          </a:r>
        </a:p>
        <a:p>
          <a:pPr algn="l"/>
          <a:r>
            <a:rPr lang="fr-FR" sz="1000">
              <a:solidFill>
                <a:schemeClr val="tx1"/>
              </a:solidFill>
            </a:rPr>
            <a:t>vmoffice</a:t>
          </a:r>
        </a:p>
      </xdr:txBody>
    </xdr:sp>
    <xdr:clientData/>
  </xdr:twoCellAnchor>
  <xdr:twoCellAnchor>
    <xdr:from>
      <xdr:col>4</xdr:col>
      <xdr:colOff>25400</xdr:colOff>
      <xdr:row>8</xdr:row>
      <xdr:rowOff>0</xdr:rowOff>
    </xdr:from>
    <xdr:to>
      <xdr:col>4</xdr:col>
      <xdr:colOff>2298700</xdr:colOff>
      <xdr:row>10</xdr:row>
      <xdr:rowOff>0</xdr:rowOff>
    </xdr:to>
    <xdr:sp macro="'toogleSizeEvent &quot;19&quot;'" textlink="">
      <xdr:nvSpPr>
        <xdr:cNvPr id="679" name="CALENDAR_SHAPE_19"/>
        <xdr:cNvSpPr/>
      </xdr:nvSpPr>
      <xdr:spPr>
        <a:xfrm>
          <a:off x="3711575" y="2171700"/>
          <a:ext cx="2273300" cy="742950"/>
        </a:xfrm>
        <a:prstGeom prst="rect">
          <a:avLst/>
        </a:prstGeom>
        <a:solidFill>
          <a:schemeClr val="accent1">
            <a:lumMod val="20000"/>
            <a:lumOff val="80000"/>
          </a:schemeClr>
        </a:solidFill>
        <a:ln w="63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000">
              <a:solidFill>
                <a:schemeClr val="tx1"/>
              </a:solidFill>
            </a:rPr>
            <a:t>9:00 - 11:00</a:t>
          </a:r>
        </a:p>
        <a:p>
          <a:pPr algn="l"/>
          <a:r>
            <a:rPr lang="fr-FR" sz="1000">
              <a:solidFill>
                <a:schemeClr val="tx1"/>
              </a:solidFill>
            </a:rPr>
            <a:t>Formation</a:t>
          </a:r>
        </a:p>
        <a:p>
          <a:pPr algn="l"/>
          <a:r>
            <a:rPr lang="fr-FR" sz="1000">
              <a:solidFill>
                <a:schemeClr val="tx1"/>
              </a:solidFill>
            </a:rPr>
            <a:t>vmoffice</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76200</xdr:colOff>
      <xdr:row>0</xdr:row>
      <xdr:rowOff>66675</xdr:rowOff>
    </xdr:from>
    <xdr:to>
      <xdr:col>1</xdr:col>
      <xdr:colOff>704175</xdr:colOff>
      <xdr:row>0</xdr:row>
      <xdr:rowOff>371475</xdr:rowOff>
    </xdr:to>
    <xdr:sp macro="" textlink="">
      <xdr:nvSpPr>
        <xdr:cNvPr id="2" name="ACCUEIL_BUTTON_SHAPE">
          <a:hlinkClick xmlns:r="http://schemas.openxmlformats.org/officeDocument/2006/relationships" r:id="rId1"/>
        </xdr:cNvPr>
        <xdr:cNvSpPr/>
      </xdr:nvSpPr>
      <xdr:spPr>
        <a:xfrm>
          <a:off x="76200" y="66675"/>
          <a:ext cx="828000" cy="304800"/>
        </a:xfrm>
        <a:prstGeom prst="rect">
          <a:avLst/>
        </a:prstGeom>
        <a:solidFill>
          <a:schemeClr val="accent3"/>
        </a:solidFill>
        <a:ln w="6350">
          <a:solidFill>
            <a:schemeClr val="accent3">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200"/>
            <a:t>ACCUEIL</a:t>
          </a:r>
        </a:p>
      </xdr:txBody>
    </xdr:sp>
    <xdr:clientData/>
  </xdr:twoCellAnchor>
  <xdr:twoCellAnchor>
    <xdr:from>
      <xdr:col>9</xdr:col>
      <xdr:colOff>714375</xdr:colOff>
      <xdr:row>3</xdr:row>
      <xdr:rowOff>57150</xdr:rowOff>
    </xdr:from>
    <xdr:to>
      <xdr:col>9</xdr:col>
      <xdr:colOff>1002375</xdr:colOff>
      <xdr:row>3</xdr:row>
      <xdr:rowOff>200025</xdr:rowOff>
    </xdr:to>
    <xdr:sp macro="[0]!setNextActiviteDate" textlink="">
      <xdr:nvSpPr>
        <xdr:cNvPr id="3" name="ACTIVITE_DATE_NEXT_SHAPE"/>
        <xdr:cNvSpPr/>
      </xdr:nvSpPr>
      <xdr:spPr>
        <a:xfrm>
          <a:off x="10382250" y="857250"/>
          <a:ext cx="288000" cy="142875"/>
        </a:xfrm>
        <a:prstGeom prst="rightArrow">
          <a:avLst/>
        </a:prstGeom>
        <a:solidFill>
          <a:schemeClr val="accent3">
            <a:lumMod val="50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xdr:col>
      <xdr:colOff>66675</xdr:colOff>
      <xdr:row>3</xdr:row>
      <xdr:rowOff>47625</xdr:rowOff>
    </xdr:from>
    <xdr:to>
      <xdr:col>6</xdr:col>
      <xdr:colOff>354675</xdr:colOff>
      <xdr:row>3</xdr:row>
      <xdr:rowOff>190500</xdr:rowOff>
    </xdr:to>
    <xdr:sp macro="[0]!setPreviousActiviteDate" textlink="">
      <xdr:nvSpPr>
        <xdr:cNvPr id="4" name="ACTIVITE_DATE_PREVIOUS_SHAPE"/>
        <xdr:cNvSpPr/>
      </xdr:nvSpPr>
      <xdr:spPr>
        <a:xfrm flipH="1">
          <a:off x="6477000" y="847725"/>
          <a:ext cx="288000" cy="142875"/>
        </a:xfrm>
        <a:prstGeom prst="rightArrow">
          <a:avLst/>
        </a:prstGeom>
        <a:solidFill>
          <a:schemeClr val="accent3">
            <a:lumMod val="50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15</xdr:col>
      <xdr:colOff>304800</xdr:colOff>
      <xdr:row>1</xdr:row>
      <xdr:rowOff>28575</xdr:rowOff>
    </xdr:from>
    <xdr:to>
      <xdr:col>17</xdr:col>
      <xdr:colOff>31664</xdr:colOff>
      <xdr:row>2</xdr:row>
      <xdr:rowOff>207282</xdr:rowOff>
    </xdr:to>
    <xdr:sp macro="" textlink="">
      <xdr:nvSpPr>
        <xdr:cNvPr id="5" name="ICS_ACTIVITE_SHAPE_MODEL"/>
        <xdr:cNvSpPr/>
      </xdr:nvSpPr>
      <xdr:spPr>
        <a:xfrm>
          <a:off x="16630650" y="447675"/>
          <a:ext cx="1250864" cy="235857"/>
        </a:xfrm>
        <a:prstGeom prst="rect">
          <a:avLst/>
        </a:prstGeom>
        <a:solidFill>
          <a:schemeClr val="accent1">
            <a:lumMod val="20000"/>
            <a:lumOff val="80000"/>
          </a:schemeClr>
        </a:solidFill>
        <a:ln w="635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FR" sz="1100">
              <a:solidFill>
                <a:schemeClr val="accent1">
                  <a:lumMod val="50000"/>
                </a:schemeClr>
              </a:solidFill>
            </a:rPr>
            <a:t>MODEL</a:t>
          </a:r>
        </a:p>
      </xdr:txBody>
    </xdr:sp>
    <xdr:clientData/>
  </xdr:twoCellAnchor>
  <xdr:twoCellAnchor editAs="absolute">
    <xdr:from>
      <xdr:col>1</xdr:col>
      <xdr:colOff>866775</xdr:colOff>
      <xdr:row>0</xdr:row>
      <xdr:rowOff>85725</xdr:rowOff>
    </xdr:from>
    <xdr:to>
      <xdr:col>1</xdr:col>
      <xdr:colOff>1352550</xdr:colOff>
      <xdr:row>0</xdr:row>
      <xdr:rowOff>361950</xdr:rowOff>
    </xdr:to>
    <xdr:grpSp>
      <xdr:nvGrpSpPr>
        <xdr:cNvPr id="6" name="SESSION_GROUP_SHAPE"/>
        <xdr:cNvGrpSpPr/>
      </xdr:nvGrpSpPr>
      <xdr:grpSpPr>
        <a:xfrm>
          <a:off x="1066800" y="85725"/>
          <a:ext cx="485775" cy="276225"/>
          <a:chOff x="161926" y="57151"/>
          <a:chExt cx="590550" cy="400050"/>
        </a:xfrm>
      </xdr:grpSpPr>
      <xdr:sp macro="[0]!showSessions" textlink="">
        <xdr:nvSpPr>
          <xdr:cNvPr id="7" name="SESSION_SHAPE"/>
          <xdr:cNvSpPr/>
        </xdr:nvSpPr>
        <xdr:spPr>
          <a:xfrm>
            <a:off x="161926" y="57151"/>
            <a:ext cx="590550" cy="400050"/>
          </a:xfrm>
          <a:prstGeom prst="rect">
            <a:avLst/>
          </a:prstGeom>
          <a:solidFill>
            <a:schemeClr val="bg1">
              <a:lumMod val="50000"/>
            </a:schemeClr>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fr-FR" sz="1600"/>
              <a:t>1</a:t>
            </a:r>
          </a:p>
        </xdr:txBody>
      </xdr:sp>
      <xdr:pic macro="[0]!showSessions">
        <xdr:nvPicPr>
          <xdr:cNvPr id="8" name="Image 7"/>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66701" y="152401"/>
            <a:ext cx="209550" cy="209550"/>
          </a:xfrm>
          <a:prstGeom prst="rect">
            <a:avLst/>
          </a:prstGeom>
        </xdr:spPr>
      </xdr:pic>
    </xdr:grpSp>
    <xdr:clientData/>
  </xdr:twoCellAnchor>
  <xdr:twoCellAnchor>
    <xdr:from>
      <xdr:col>15</xdr:col>
      <xdr:colOff>323850</xdr:colOff>
      <xdr:row>3</xdr:row>
      <xdr:rowOff>57151</xdr:rowOff>
    </xdr:from>
    <xdr:to>
      <xdr:col>17</xdr:col>
      <xdr:colOff>28575</xdr:colOff>
      <xdr:row>4</xdr:row>
      <xdr:rowOff>1</xdr:rowOff>
    </xdr:to>
    <xdr:sp macro="" textlink="">
      <xdr:nvSpPr>
        <xdr:cNvPr id="625" name="ICS_ACTIVITE_SHAPE_TOTAL_MODEL"/>
        <xdr:cNvSpPr/>
      </xdr:nvSpPr>
      <xdr:spPr>
        <a:xfrm>
          <a:off x="16649700" y="742951"/>
          <a:ext cx="1228725" cy="190500"/>
        </a:xfrm>
        <a:prstGeom prst="rect">
          <a:avLst/>
        </a:prstGeom>
        <a:solidFill>
          <a:schemeClr val="accent3">
            <a:lumMod val="20000"/>
            <a:lumOff val="80000"/>
          </a:schemeClr>
        </a:solidFill>
        <a:ln w="6350">
          <a:solidFill>
            <a:schemeClr val="accent3">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FR" sz="1100">
              <a:solidFill>
                <a:schemeClr val="accent3">
                  <a:lumMod val="50000"/>
                </a:schemeClr>
              </a:solidFill>
            </a:rPr>
            <a:t>TOTAL MODEL</a:t>
          </a:r>
        </a:p>
      </xdr:txBody>
    </xdr:sp>
    <xdr:clientData/>
  </xdr:twoCellAnchor>
  <xdr:twoCellAnchor editAs="absolute">
    <xdr:from>
      <xdr:col>15</xdr:col>
      <xdr:colOff>323850</xdr:colOff>
      <xdr:row>5</xdr:row>
      <xdr:rowOff>209551</xdr:rowOff>
    </xdr:from>
    <xdr:to>
      <xdr:col>16</xdr:col>
      <xdr:colOff>757366</xdr:colOff>
      <xdr:row>7</xdr:row>
      <xdr:rowOff>134712</xdr:rowOff>
    </xdr:to>
    <xdr:sp macro="'setDisplayedTeam&quot;9232&quot;'" textlink="">
      <xdr:nvSpPr>
        <xdr:cNvPr id="3310" name="ACTIVITE_TEAM_MODEL"/>
        <xdr:cNvSpPr/>
      </xdr:nvSpPr>
      <xdr:spPr>
        <a:xfrm>
          <a:off x="16649700" y="1228726"/>
          <a:ext cx="1195516" cy="353786"/>
        </a:xfrm>
        <a:prstGeom prst="rect">
          <a:avLst/>
        </a:prstGeom>
        <a:solidFill>
          <a:schemeClr val="accent1"/>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fr-FR" sz="900" baseline="0">
              <a:solidFill>
                <a:schemeClr val="bg1"/>
              </a:solidFill>
            </a:rPr>
            <a:t>TEAM MODEL</a:t>
          </a:r>
          <a:endParaRPr lang="fr-FR" sz="900">
            <a:solidFill>
              <a:schemeClr val="bg1"/>
            </a:solidFill>
          </a:endParaRPr>
        </a:p>
      </xdr:txBody>
    </xdr:sp>
    <xdr:clientData/>
  </xdr:twoCellAnchor>
  <xdr:twoCellAnchor>
    <xdr:from>
      <xdr:col>15</xdr:col>
      <xdr:colOff>333375</xdr:colOff>
      <xdr:row>4</xdr:row>
      <xdr:rowOff>28575</xdr:rowOff>
    </xdr:from>
    <xdr:to>
      <xdr:col>17</xdr:col>
      <xdr:colOff>19050</xdr:colOff>
      <xdr:row>5</xdr:row>
      <xdr:rowOff>161925</xdr:rowOff>
    </xdr:to>
    <xdr:sp macro="" textlink="">
      <xdr:nvSpPr>
        <xdr:cNvPr id="1243" name="ICS_ACTIVITE_SHAPE_NB_MODEL"/>
        <xdr:cNvSpPr/>
      </xdr:nvSpPr>
      <xdr:spPr>
        <a:xfrm>
          <a:off x="16659225" y="962025"/>
          <a:ext cx="1209675" cy="219075"/>
        </a:xfrm>
        <a:prstGeom prst="rect">
          <a:avLst/>
        </a:prstGeom>
        <a:solidFill>
          <a:schemeClr val="bg1">
            <a:lumMod val="95000"/>
          </a:schemeClr>
        </a:solidFill>
        <a:ln w="952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solidFill>
                <a:schemeClr val="tx1">
                  <a:lumMod val="50000"/>
                  <a:lumOff val="50000"/>
                </a:schemeClr>
              </a:solidFill>
            </a:rPr>
            <a:t>NB PRESENTS</a:t>
          </a:r>
        </a:p>
      </xdr:txBody>
    </xdr:sp>
    <xdr:clientData/>
  </xdr:twoCellAnchor>
  <xdr:twoCellAnchor editAs="absolute">
    <xdr:from>
      <xdr:col>1</xdr:col>
      <xdr:colOff>0</xdr:colOff>
      <xdr:row>2</xdr:row>
      <xdr:rowOff>125639</xdr:rowOff>
    </xdr:from>
    <xdr:to>
      <xdr:col>1</xdr:col>
      <xdr:colOff>1195516</xdr:colOff>
      <xdr:row>4</xdr:row>
      <xdr:rowOff>22225</xdr:rowOff>
    </xdr:to>
    <xdr:sp macro="'displayActiviteTeam &quot;7846&quot;'" textlink="">
      <xdr:nvSpPr>
        <xdr:cNvPr id="2656" name="ACTIVITE_LEADER_FILTER_7846"/>
        <xdr:cNvSpPr/>
      </xdr:nvSpPr>
      <xdr:spPr>
        <a:xfrm>
          <a:off x="200025" y="601889"/>
          <a:ext cx="1195516" cy="353786"/>
        </a:xfrm>
        <a:prstGeom prst="rect">
          <a:avLst/>
        </a:prstGeom>
        <a:solidFill>
          <a:schemeClr val="accent1"/>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fr-FR" sz="900" baseline="0">
              <a:solidFill>
                <a:schemeClr val="bg1"/>
              </a:solidFill>
            </a:rPr>
            <a:t>TIOZZO Sandrine</a:t>
          </a:r>
          <a:endParaRPr lang="fr-FR" sz="900">
            <a:solidFill>
              <a:schemeClr val="bg1"/>
            </a:solidFill>
          </a:endParaRPr>
        </a:p>
      </xdr:txBody>
    </xdr:sp>
    <xdr:clientData/>
  </xdr:twoCellAnchor>
  <xdr:twoCellAnchor editAs="absolute">
    <xdr:from>
      <xdr:col>1</xdr:col>
      <xdr:colOff>1259016</xdr:colOff>
      <xdr:row>2</xdr:row>
      <xdr:rowOff>125639</xdr:rowOff>
    </xdr:from>
    <xdr:to>
      <xdr:col>2</xdr:col>
      <xdr:colOff>444757</xdr:colOff>
      <xdr:row>4</xdr:row>
      <xdr:rowOff>22225</xdr:rowOff>
    </xdr:to>
    <xdr:sp macro="'displayActiviteTeam &quot;7888&quot;'" textlink="">
      <xdr:nvSpPr>
        <xdr:cNvPr id="2657" name="ACTIVITE_LEADER_FILTER_7888"/>
        <xdr:cNvSpPr/>
      </xdr:nvSpPr>
      <xdr:spPr>
        <a:xfrm>
          <a:off x="1459041" y="601889"/>
          <a:ext cx="1195516" cy="353786"/>
        </a:xfrm>
        <a:prstGeom prst="rect">
          <a:avLst/>
        </a:prstGeom>
        <a:solidFill>
          <a:schemeClr val="accent1"/>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fr-FR" sz="900" baseline="0">
              <a:solidFill>
                <a:schemeClr val="bg1"/>
              </a:solidFill>
            </a:rPr>
            <a:t>LEONARD Virginie</a:t>
          </a:r>
          <a:endParaRPr lang="fr-FR" sz="900">
            <a:solidFill>
              <a:schemeClr val="bg1"/>
            </a:solidFill>
          </a:endParaRPr>
        </a:p>
      </xdr:txBody>
    </xdr:sp>
    <xdr:clientData/>
  </xdr:twoCellAnchor>
  <xdr:twoCellAnchor editAs="absolute">
    <xdr:from>
      <xdr:col>2</xdr:col>
      <xdr:colOff>508257</xdr:colOff>
      <xdr:row>2</xdr:row>
      <xdr:rowOff>125639</xdr:rowOff>
    </xdr:from>
    <xdr:to>
      <xdr:col>3</xdr:col>
      <xdr:colOff>617923</xdr:colOff>
      <xdr:row>4</xdr:row>
      <xdr:rowOff>22225</xdr:rowOff>
    </xdr:to>
    <xdr:sp macro="'displayActiviteTeam &quot;9232&quot;'" textlink="">
      <xdr:nvSpPr>
        <xdr:cNvPr id="2658" name="ACTIVITE_LEADER_FILTER_9232"/>
        <xdr:cNvSpPr/>
      </xdr:nvSpPr>
      <xdr:spPr>
        <a:xfrm>
          <a:off x="2718057" y="601889"/>
          <a:ext cx="1195516" cy="353786"/>
        </a:xfrm>
        <a:prstGeom prst="rect">
          <a:avLst/>
        </a:prstGeom>
        <a:solidFill>
          <a:schemeClr val="accent1"/>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fr-FR" sz="900" baseline="0">
              <a:solidFill>
                <a:schemeClr val="bg1"/>
              </a:solidFill>
            </a:rPr>
            <a:t>DJAFFAL Noura</a:t>
          </a:r>
          <a:endParaRPr lang="fr-FR" sz="900">
            <a:solidFill>
              <a:schemeClr val="bg1"/>
            </a:solidFill>
          </a:endParaRPr>
        </a:p>
      </xdr:txBody>
    </xdr:sp>
    <xdr:clientData/>
  </xdr:twoCellAnchor>
  <xdr:twoCellAnchor>
    <xdr:from>
      <xdr:col>3</xdr:col>
      <xdr:colOff>271463</xdr:colOff>
      <xdr:row>7</xdr:row>
      <xdr:rowOff>12700</xdr:rowOff>
    </xdr:from>
    <xdr:to>
      <xdr:col>12</xdr:col>
      <xdr:colOff>542926</xdr:colOff>
      <xdr:row>7</xdr:row>
      <xdr:rowOff>168275</xdr:rowOff>
    </xdr:to>
    <xdr:sp macro="" textlink="">
      <xdr:nvSpPr>
        <xdr:cNvPr id="2868" name="7595_ACTIVITE"/>
        <xdr:cNvSpPr/>
      </xdr:nvSpPr>
      <xdr:spPr>
        <a:xfrm>
          <a:off x="3567113" y="1460500"/>
          <a:ext cx="10044113" cy="155575"/>
        </a:xfrm>
        <a:prstGeom prst="rect">
          <a:avLst/>
        </a:prstGeom>
        <a:solidFill>
          <a:schemeClr val="accent1">
            <a:lumMod val="20000"/>
            <a:lumOff val="80000"/>
          </a:schemeClr>
        </a:solidFill>
        <a:ln w="635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FR" sz="1000">
              <a:solidFill>
                <a:schemeClr val="accent1">
                  <a:lumMod val="50000"/>
                </a:schemeClr>
              </a:solidFill>
            </a:rPr>
            <a:t>08:45 - 18:00</a:t>
          </a:r>
        </a:p>
      </xdr:txBody>
    </xdr:sp>
    <xdr:clientData/>
  </xdr:twoCellAnchor>
  <xdr:twoCellAnchor>
    <xdr:from>
      <xdr:col>3</xdr:col>
      <xdr:colOff>271463</xdr:colOff>
      <xdr:row>8</xdr:row>
      <xdr:rowOff>12700</xdr:rowOff>
    </xdr:from>
    <xdr:to>
      <xdr:col>13</xdr:col>
      <xdr:colOff>814388</xdr:colOff>
      <xdr:row>8</xdr:row>
      <xdr:rowOff>168275</xdr:rowOff>
    </xdr:to>
    <xdr:sp macro="" textlink="">
      <xdr:nvSpPr>
        <xdr:cNvPr id="2869" name="7840_ACTIVITE"/>
        <xdr:cNvSpPr/>
      </xdr:nvSpPr>
      <xdr:spPr>
        <a:xfrm>
          <a:off x="3567113" y="1641475"/>
          <a:ext cx="11401425" cy="155575"/>
        </a:xfrm>
        <a:prstGeom prst="rect">
          <a:avLst/>
        </a:prstGeom>
        <a:solidFill>
          <a:schemeClr val="accent1">
            <a:lumMod val="20000"/>
            <a:lumOff val="80000"/>
          </a:schemeClr>
        </a:solidFill>
        <a:ln w="635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FR" sz="1000">
              <a:solidFill>
                <a:schemeClr val="accent1">
                  <a:lumMod val="50000"/>
                </a:schemeClr>
              </a:solidFill>
            </a:rPr>
            <a:t>08:45 - 19:15</a:t>
          </a:r>
        </a:p>
      </xdr:txBody>
    </xdr:sp>
    <xdr:clientData/>
  </xdr:twoCellAnchor>
  <xdr:twoCellAnchor>
    <xdr:from>
      <xdr:col>3</xdr:col>
      <xdr:colOff>271463</xdr:colOff>
      <xdr:row>12</xdr:row>
      <xdr:rowOff>12700</xdr:rowOff>
    </xdr:from>
    <xdr:to>
      <xdr:col>13</xdr:col>
      <xdr:colOff>814388</xdr:colOff>
      <xdr:row>12</xdr:row>
      <xdr:rowOff>168275</xdr:rowOff>
    </xdr:to>
    <xdr:sp macro="" textlink="">
      <xdr:nvSpPr>
        <xdr:cNvPr id="2870" name="7938_ACTIVITE"/>
        <xdr:cNvSpPr/>
      </xdr:nvSpPr>
      <xdr:spPr>
        <a:xfrm>
          <a:off x="3567113" y="2365375"/>
          <a:ext cx="11401425" cy="155575"/>
        </a:xfrm>
        <a:prstGeom prst="rect">
          <a:avLst/>
        </a:prstGeom>
        <a:solidFill>
          <a:schemeClr val="accent1">
            <a:lumMod val="20000"/>
            <a:lumOff val="80000"/>
          </a:schemeClr>
        </a:solidFill>
        <a:ln w="635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FR" sz="1000">
              <a:solidFill>
                <a:schemeClr val="accent1">
                  <a:lumMod val="50000"/>
                </a:schemeClr>
              </a:solidFill>
            </a:rPr>
            <a:t>08:45 - 19:15</a:t>
          </a:r>
        </a:p>
      </xdr:txBody>
    </xdr:sp>
    <xdr:clientData/>
  </xdr:twoCellAnchor>
  <xdr:twoCellAnchor>
    <xdr:from>
      <xdr:col>4</xdr:col>
      <xdr:colOff>271463</xdr:colOff>
      <xdr:row>13</xdr:row>
      <xdr:rowOff>12700</xdr:rowOff>
    </xdr:from>
    <xdr:to>
      <xdr:col>13</xdr:col>
      <xdr:colOff>542926</xdr:colOff>
      <xdr:row>13</xdr:row>
      <xdr:rowOff>168275</xdr:rowOff>
    </xdr:to>
    <xdr:sp macro="" textlink="">
      <xdr:nvSpPr>
        <xdr:cNvPr id="2871" name="8302_ACTIVITE"/>
        <xdr:cNvSpPr/>
      </xdr:nvSpPr>
      <xdr:spPr>
        <a:xfrm>
          <a:off x="4652963" y="2546350"/>
          <a:ext cx="10044113" cy="155575"/>
        </a:xfrm>
        <a:prstGeom prst="rect">
          <a:avLst/>
        </a:prstGeom>
        <a:solidFill>
          <a:schemeClr val="accent1">
            <a:lumMod val="20000"/>
            <a:lumOff val="80000"/>
          </a:schemeClr>
        </a:solidFill>
        <a:ln w="635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FR" sz="1000">
              <a:solidFill>
                <a:schemeClr val="accent1">
                  <a:lumMod val="50000"/>
                </a:schemeClr>
              </a:solidFill>
            </a:rPr>
            <a:t>09:45 - 19:00</a:t>
          </a:r>
        </a:p>
      </xdr:txBody>
    </xdr:sp>
    <xdr:clientData/>
  </xdr:twoCellAnchor>
  <xdr:twoCellAnchor>
    <xdr:from>
      <xdr:col>3</xdr:col>
      <xdr:colOff>271463</xdr:colOff>
      <xdr:row>14</xdr:row>
      <xdr:rowOff>12700</xdr:rowOff>
    </xdr:from>
    <xdr:to>
      <xdr:col>12</xdr:col>
      <xdr:colOff>542926</xdr:colOff>
      <xdr:row>14</xdr:row>
      <xdr:rowOff>168275</xdr:rowOff>
    </xdr:to>
    <xdr:sp macro="" textlink="">
      <xdr:nvSpPr>
        <xdr:cNvPr id="2872" name="8122_ACTIVITE"/>
        <xdr:cNvSpPr/>
      </xdr:nvSpPr>
      <xdr:spPr>
        <a:xfrm>
          <a:off x="3567113" y="2727325"/>
          <a:ext cx="10044113" cy="155575"/>
        </a:xfrm>
        <a:prstGeom prst="rect">
          <a:avLst/>
        </a:prstGeom>
        <a:solidFill>
          <a:schemeClr val="accent1">
            <a:lumMod val="20000"/>
            <a:lumOff val="80000"/>
          </a:schemeClr>
        </a:solidFill>
        <a:ln w="635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FR" sz="1000">
              <a:solidFill>
                <a:schemeClr val="accent1">
                  <a:lumMod val="50000"/>
                </a:schemeClr>
              </a:solidFill>
            </a:rPr>
            <a:t>08:45 - 18:00</a:t>
          </a:r>
        </a:p>
      </xdr:txBody>
    </xdr:sp>
    <xdr:clientData/>
  </xdr:twoCellAnchor>
  <xdr:twoCellAnchor>
    <xdr:from>
      <xdr:col>3</xdr:col>
      <xdr:colOff>271463</xdr:colOff>
      <xdr:row>15</xdr:row>
      <xdr:rowOff>12700</xdr:rowOff>
    </xdr:from>
    <xdr:to>
      <xdr:col>11</xdr:col>
      <xdr:colOff>814388</xdr:colOff>
      <xdr:row>15</xdr:row>
      <xdr:rowOff>168275</xdr:rowOff>
    </xdr:to>
    <xdr:sp macro="" textlink="">
      <xdr:nvSpPr>
        <xdr:cNvPr id="2873" name="7973_ACTIVITE"/>
        <xdr:cNvSpPr/>
      </xdr:nvSpPr>
      <xdr:spPr>
        <a:xfrm>
          <a:off x="3567113" y="2908300"/>
          <a:ext cx="9229725" cy="155575"/>
        </a:xfrm>
        <a:prstGeom prst="rect">
          <a:avLst/>
        </a:prstGeom>
        <a:solidFill>
          <a:schemeClr val="accent1">
            <a:lumMod val="20000"/>
            <a:lumOff val="80000"/>
          </a:schemeClr>
        </a:solidFill>
        <a:ln w="635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FR" sz="1000">
              <a:solidFill>
                <a:schemeClr val="accent1">
                  <a:lumMod val="50000"/>
                </a:schemeClr>
              </a:solidFill>
            </a:rPr>
            <a:t>08:45 - 17:15</a:t>
          </a:r>
        </a:p>
      </xdr:txBody>
    </xdr:sp>
    <xdr:clientData/>
  </xdr:twoCellAnchor>
  <xdr:twoCellAnchor>
    <xdr:from>
      <xdr:col>3</xdr:col>
      <xdr:colOff>271463</xdr:colOff>
      <xdr:row>16</xdr:row>
      <xdr:rowOff>12700</xdr:rowOff>
    </xdr:from>
    <xdr:to>
      <xdr:col>13</xdr:col>
      <xdr:colOff>814388</xdr:colOff>
      <xdr:row>16</xdr:row>
      <xdr:rowOff>168275</xdr:rowOff>
    </xdr:to>
    <xdr:sp macro="" textlink="">
      <xdr:nvSpPr>
        <xdr:cNvPr id="2874" name="8123_ACTIVITE"/>
        <xdr:cNvSpPr/>
      </xdr:nvSpPr>
      <xdr:spPr>
        <a:xfrm>
          <a:off x="3567113" y="3089275"/>
          <a:ext cx="11401425" cy="155575"/>
        </a:xfrm>
        <a:prstGeom prst="rect">
          <a:avLst/>
        </a:prstGeom>
        <a:solidFill>
          <a:schemeClr val="accent1">
            <a:lumMod val="20000"/>
            <a:lumOff val="80000"/>
          </a:schemeClr>
        </a:solidFill>
        <a:ln w="635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FR" sz="1000">
              <a:solidFill>
                <a:schemeClr val="accent1">
                  <a:lumMod val="50000"/>
                </a:schemeClr>
              </a:solidFill>
            </a:rPr>
            <a:t>08:45 - 19:15</a:t>
          </a:r>
        </a:p>
      </xdr:txBody>
    </xdr:sp>
    <xdr:clientData/>
  </xdr:twoCellAnchor>
  <xdr:twoCellAnchor>
    <xdr:from>
      <xdr:col>3</xdr:col>
      <xdr:colOff>271463</xdr:colOff>
      <xdr:row>19</xdr:row>
      <xdr:rowOff>12700</xdr:rowOff>
    </xdr:from>
    <xdr:to>
      <xdr:col>12</xdr:col>
      <xdr:colOff>542926</xdr:colOff>
      <xdr:row>19</xdr:row>
      <xdr:rowOff>168275</xdr:rowOff>
    </xdr:to>
    <xdr:sp macro="" textlink="">
      <xdr:nvSpPr>
        <xdr:cNvPr id="2875" name="7935_ACTIVITE"/>
        <xdr:cNvSpPr/>
      </xdr:nvSpPr>
      <xdr:spPr>
        <a:xfrm>
          <a:off x="3567113" y="3632200"/>
          <a:ext cx="10044113" cy="155575"/>
        </a:xfrm>
        <a:prstGeom prst="rect">
          <a:avLst/>
        </a:prstGeom>
        <a:solidFill>
          <a:schemeClr val="accent1">
            <a:lumMod val="20000"/>
            <a:lumOff val="80000"/>
          </a:schemeClr>
        </a:solidFill>
        <a:ln w="635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FR" sz="1000">
              <a:solidFill>
                <a:schemeClr val="accent1">
                  <a:lumMod val="50000"/>
                </a:schemeClr>
              </a:solidFill>
            </a:rPr>
            <a:t>08:45 - 18:00</a:t>
          </a:r>
        </a:p>
      </xdr:txBody>
    </xdr:sp>
    <xdr:clientData/>
  </xdr:twoCellAnchor>
  <xdr:twoCellAnchor>
    <xdr:from>
      <xdr:col>3</xdr:col>
      <xdr:colOff>271463</xdr:colOff>
      <xdr:row>20</xdr:row>
      <xdr:rowOff>12700</xdr:rowOff>
    </xdr:from>
    <xdr:to>
      <xdr:col>12</xdr:col>
      <xdr:colOff>542926</xdr:colOff>
      <xdr:row>20</xdr:row>
      <xdr:rowOff>168275</xdr:rowOff>
    </xdr:to>
    <xdr:sp macro="" textlink="">
      <xdr:nvSpPr>
        <xdr:cNvPr id="2876" name="9245_ACTIVITE"/>
        <xdr:cNvSpPr/>
      </xdr:nvSpPr>
      <xdr:spPr>
        <a:xfrm>
          <a:off x="3567113" y="3813175"/>
          <a:ext cx="10044113" cy="155575"/>
        </a:xfrm>
        <a:prstGeom prst="rect">
          <a:avLst/>
        </a:prstGeom>
        <a:solidFill>
          <a:schemeClr val="accent1">
            <a:lumMod val="20000"/>
            <a:lumOff val="80000"/>
          </a:schemeClr>
        </a:solidFill>
        <a:ln w="635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FR" sz="1000">
              <a:solidFill>
                <a:schemeClr val="accent1">
                  <a:lumMod val="50000"/>
                </a:schemeClr>
              </a:solidFill>
            </a:rPr>
            <a:t>08:45 - 18:00</a:t>
          </a:r>
        </a:p>
      </xdr:txBody>
    </xdr:sp>
    <xdr:clientData/>
  </xdr:twoCellAnchor>
  <xdr:twoCellAnchor>
    <xdr:from>
      <xdr:col>4</xdr:col>
      <xdr:colOff>271463</xdr:colOff>
      <xdr:row>22</xdr:row>
      <xdr:rowOff>12700</xdr:rowOff>
    </xdr:from>
    <xdr:to>
      <xdr:col>13</xdr:col>
      <xdr:colOff>542926</xdr:colOff>
      <xdr:row>22</xdr:row>
      <xdr:rowOff>168275</xdr:rowOff>
    </xdr:to>
    <xdr:sp macro="" textlink="">
      <xdr:nvSpPr>
        <xdr:cNvPr id="2877" name="7826_ACTIVITE"/>
        <xdr:cNvSpPr/>
      </xdr:nvSpPr>
      <xdr:spPr>
        <a:xfrm>
          <a:off x="4652963" y="4175125"/>
          <a:ext cx="10044113" cy="155575"/>
        </a:xfrm>
        <a:prstGeom prst="rect">
          <a:avLst/>
        </a:prstGeom>
        <a:solidFill>
          <a:schemeClr val="accent1">
            <a:lumMod val="20000"/>
            <a:lumOff val="80000"/>
          </a:schemeClr>
        </a:solidFill>
        <a:ln w="635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FR" sz="1000">
              <a:solidFill>
                <a:schemeClr val="accent1">
                  <a:lumMod val="50000"/>
                </a:schemeClr>
              </a:solidFill>
            </a:rPr>
            <a:t>09:45 - 19:00</a:t>
          </a:r>
        </a:p>
      </xdr:txBody>
    </xdr:sp>
    <xdr:clientData/>
  </xdr:twoCellAnchor>
  <xdr:twoCellAnchor>
    <xdr:from>
      <xdr:col>3</xdr:col>
      <xdr:colOff>271463</xdr:colOff>
      <xdr:row>24</xdr:row>
      <xdr:rowOff>12700</xdr:rowOff>
    </xdr:from>
    <xdr:to>
      <xdr:col>13</xdr:col>
      <xdr:colOff>814388</xdr:colOff>
      <xdr:row>24</xdr:row>
      <xdr:rowOff>168275</xdr:rowOff>
    </xdr:to>
    <xdr:sp macro="" textlink="">
      <xdr:nvSpPr>
        <xdr:cNvPr id="2878" name="7605_ACTIVITE"/>
        <xdr:cNvSpPr/>
      </xdr:nvSpPr>
      <xdr:spPr>
        <a:xfrm>
          <a:off x="3567113" y="4537075"/>
          <a:ext cx="11401425" cy="155575"/>
        </a:xfrm>
        <a:prstGeom prst="rect">
          <a:avLst/>
        </a:prstGeom>
        <a:solidFill>
          <a:schemeClr val="accent1">
            <a:lumMod val="20000"/>
            <a:lumOff val="80000"/>
          </a:schemeClr>
        </a:solidFill>
        <a:ln w="635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FR" sz="1000">
              <a:solidFill>
                <a:schemeClr val="accent1">
                  <a:lumMod val="50000"/>
                </a:schemeClr>
              </a:solidFill>
            </a:rPr>
            <a:t>08:45 - 19:15</a:t>
          </a:r>
        </a:p>
      </xdr:txBody>
    </xdr:sp>
    <xdr:clientData/>
  </xdr:twoCellAnchor>
  <xdr:twoCellAnchor>
    <xdr:from>
      <xdr:col>4</xdr:col>
      <xdr:colOff>271463</xdr:colOff>
      <xdr:row>25</xdr:row>
      <xdr:rowOff>12700</xdr:rowOff>
    </xdr:from>
    <xdr:to>
      <xdr:col>13</xdr:col>
      <xdr:colOff>542926</xdr:colOff>
      <xdr:row>25</xdr:row>
      <xdr:rowOff>168275</xdr:rowOff>
    </xdr:to>
    <xdr:sp macro="" textlink="">
      <xdr:nvSpPr>
        <xdr:cNvPr id="2879" name="7820_ACTIVITE"/>
        <xdr:cNvSpPr/>
      </xdr:nvSpPr>
      <xdr:spPr>
        <a:xfrm>
          <a:off x="4652963" y="4718050"/>
          <a:ext cx="10044113" cy="155575"/>
        </a:xfrm>
        <a:prstGeom prst="rect">
          <a:avLst/>
        </a:prstGeom>
        <a:solidFill>
          <a:schemeClr val="accent1">
            <a:lumMod val="20000"/>
            <a:lumOff val="80000"/>
          </a:schemeClr>
        </a:solidFill>
        <a:ln w="635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FR" sz="1000">
              <a:solidFill>
                <a:schemeClr val="accent1">
                  <a:lumMod val="50000"/>
                </a:schemeClr>
              </a:solidFill>
            </a:rPr>
            <a:t>09:45 - 19:00</a:t>
          </a:r>
        </a:p>
      </xdr:txBody>
    </xdr:sp>
    <xdr:clientData/>
  </xdr:twoCellAnchor>
  <xdr:twoCellAnchor>
    <xdr:from>
      <xdr:col>4</xdr:col>
      <xdr:colOff>0</xdr:colOff>
      <xdr:row>27</xdr:row>
      <xdr:rowOff>12700</xdr:rowOff>
    </xdr:from>
    <xdr:to>
      <xdr:col>10</xdr:col>
      <xdr:colOff>542925</xdr:colOff>
      <xdr:row>27</xdr:row>
      <xdr:rowOff>168275</xdr:rowOff>
    </xdr:to>
    <xdr:sp macro="" textlink="">
      <xdr:nvSpPr>
        <xdr:cNvPr id="2880" name="8124_ACTIVITE"/>
        <xdr:cNvSpPr/>
      </xdr:nvSpPr>
      <xdr:spPr>
        <a:xfrm>
          <a:off x="4381500" y="5080000"/>
          <a:ext cx="7058025" cy="155575"/>
        </a:xfrm>
        <a:prstGeom prst="rect">
          <a:avLst/>
        </a:prstGeom>
        <a:solidFill>
          <a:schemeClr val="accent1">
            <a:lumMod val="20000"/>
            <a:lumOff val="80000"/>
          </a:schemeClr>
        </a:solidFill>
        <a:ln w="635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FR" sz="1000">
              <a:solidFill>
                <a:schemeClr val="accent1">
                  <a:lumMod val="50000"/>
                </a:schemeClr>
              </a:solidFill>
            </a:rPr>
            <a:t>09:30 - 16:00</a:t>
          </a:r>
        </a:p>
      </xdr:txBody>
    </xdr:sp>
    <xdr:clientData/>
  </xdr:twoCellAnchor>
  <xdr:twoCellAnchor>
    <xdr:from>
      <xdr:col>3</xdr:col>
      <xdr:colOff>271463</xdr:colOff>
      <xdr:row>29</xdr:row>
      <xdr:rowOff>12700</xdr:rowOff>
    </xdr:from>
    <xdr:to>
      <xdr:col>10</xdr:col>
      <xdr:colOff>814388</xdr:colOff>
      <xdr:row>29</xdr:row>
      <xdr:rowOff>168275</xdr:rowOff>
    </xdr:to>
    <xdr:sp macro="" textlink="">
      <xdr:nvSpPr>
        <xdr:cNvPr id="2881" name="8218_ACTIVITE"/>
        <xdr:cNvSpPr/>
      </xdr:nvSpPr>
      <xdr:spPr>
        <a:xfrm>
          <a:off x="3567113" y="5441950"/>
          <a:ext cx="8143875" cy="155575"/>
        </a:xfrm>
        <a:prstGeom prst="rect">
          <a:avLst/>
        </a:prstGeom>
        <a:solidFill>
          <a:schemeClr val="accent1">
            <a:lumMod val="20000"/>
            <a:lumOff val="80000"/>
          </a:schemeClr>
        </a:solidFill>
        <a:ln w="635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FR" sz="1000">
              <a:solidFill>
                <a:schemeClr val="accent1">
                  <a:lumMod val="50000"/>
                </a:schemeClr>
              </a:solidFill>
            </a:rPr>
            <a:t>08:45 - 16:15</a:t>
          </a:r>
        </a:p>
      </xdr:txBody>
    </xdr:sp>
    <xdr:clientData/>
  </xdr:twoCellAnchor>
  <xdr:twoCellAnchor>
    <xdr:from>
      <xdr:col>3</xdr:col>
      <xdr:colOff>271463</xdr:colOff>
      <xdr:row>31</xdr:row>
      <xdr:rowOff>12700</xdr:rowOff>
    </xdr:from>
    <xdr:to>
      <xdr:col>12</xdr:col>
      <xdr:colOff>542926</xdr:colOff>
      <xdr:row>31</xdr:row>
      <xdr:rowOff>168275</xdr:rowOff>
    </xdr:to>
    <xdr:sp macro="" textlink="">
      <xdr:nvSpPr>
        <xdr:cNvPr id="2882" name="8106_ACTIVITE"/>
        <xdr:cNvSpPr/>
      </xdr:nvSpPr>
      <xdr:spPr>
        <a:xfrm>
          <a:off x="3567113" y="5803900"/>
          <a:ext cx="10044113" cy="155575"/>
        </a:xfrm>
        <a:prstGeom prst="rect">
          <a:avLst/>
        </a:prstGeom>
        <a:solidFill>
          <a:schemeClr val="accent1">
            <a:lumMod val="20000"/>
            <a:lumOff val="80000"/>
          </a:schemeClr>
        </a:solidFill>
        <a:ln w="635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FR" sz="1000">
              <a:solidFill>
                <a:schemeClr val="accent1">
                  <a:lumMod val="50000"/>
                </a:schemeClr>
              </a:solidFill>
            </a:rPr>
            <a:t>08:45 - 18:00</a:t>
          </a:r>
        </a:p>
      </xdr:txBody>
    </xdr:sp>
    <xdr:clientData/>
  </xdr:twoCellAnchor>
  <xdr:twoCellAnchor>
    <xdr:from>
      <xdr:col>3</xdr:col>
      <xdr:colOff>542925</xdr:colOff>
      <xdr:row>31</xdr:row>
      <xdr:rowOff>12700</xdr:rowOff>
    </xdr:from>
    <xdr:to>
      <xdr:col>5</xdr:col>
      <xdr:colOff>542925</xdr:colOff>
      <xdr:row>31</xdr:row>
      <xdr:rowOff>168275</xdr:rowOff>
    </xdr:to>
    <xdr:sp macro="" textlink="">
      <xdr:nvSpPr>
        <xdr:cNvPr id="2883" name="8106_FORMATION_ACTIVITE"/>
        <xdr:cNvSpPr/>
      </xdr:nvSpPr>
      <xdr:spPr>
        <a:xfrm>
          <a:off x="3838575" y="5803900"/>
          <a:ext cx="2171700" cy="155575"/>
        </a:xfrm>
        <a:prstGeom prst="rect">
          <a:avLst/>
        </a:prstGeom>
        <a:solidFill>
          <a:srgbClr val="D2D2D2"/>
        </a:solidFill>
        <a:ln w="635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fr-FR" sz="1000">
              <a:solidFill>
                <a:schemeClr val="accent1">
                  <a:lumMod val="50000"/>
                </a:schemeClr>
              </a:solidFill>
            </a:rPr>
            <a:t>09:00 - 11:00</a:t>
          </a:r>
        </a:p>
      </xdr:txBody>
    </xdr:sp>
    <xdr:clientData/>
  </xdr:twoCellAnchor>
  <xdr:twoCellAnchor>
    <xdr:from>
      <xdr:col>2</xdr:col>
      <xdr:colOff>542925</xdr:colOff>
      <xdr:row>6</xdr:row>
      <xdr:rowOff>0</xdr:rowOff>
    </xdr:from>
    <xdr:to>
      <xdr:col>2</xdr:col>
      <xdr:colOff>542925</xdr:colOff>
      <xdr:row>32</xdr:row>
      <xdr:rowOff>0</xdr:rowOff>
    </xdr:to>
    <xdr:cxnSp macro="">
      <xdr:nvCxnSpPr>
        <xdr:cNvPr id="2838" name="TIME_SHAPE_1"/>
        <xdr:cNvCxnSpPr/>
      </xdr:nvCxnSpPr>
      <xdr:spPr>
        <a:xfrm>
          <a:off x="2752725" y="1266825"/>
          <a:ext cx="0" cy="4705350"/>
        </a:xfrm>
        <a:prstGeom prst="line">
          <a:avLst/>
        </a:prstGeom>
        <a:ln w="6350">
          <a:solidFill>
            <a:srgbClr val="D2D2D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542925</xdr:colOff>
      <xdr:row>6</xdr:row>
      <xdr:rowOff>0</xdr:rowOff>
    </xdr:from>
    <xdr:to>
      <xdr:col>3</xdr:col>
      <xdr:colOff>542925</xdr:colOff>
      <xdr:row>32</xdr:row>
      <xdr:rowOff>0</xdr:rowOff>
    </xdr:to>
    <xdr:cxnSp macro="">
      <xdr:nvCxnSpPr>
        <xdr:cNvPr id="2839" name="TIME_SHAPE_2"/>
        <xdr:cNvCxnSpPr/>
      </xdr:nvCxnSpPr>
      <xdr:spPr>
        <a:xfrm>
          <a:off x="3838575" y="1266825"/>
          <a:ext cx="0" cy="4705350"/>
        </a:xfrm>
        <a:prstGeom prst="line">
          <a:avLst/>
        </a:prstGeom>
        <a:ln w="6350">
          <a:solidFill>
            <a:srgbClr val="D2D2D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542925</xdr:colOff>
      <xdr:row>6</xdr:row>
      <xdr:rowOff>0</xdr:rowOff>
    </xdr:from>
    <xdr:to>
      <xdr:col>4</xdr:col>
      <xdr:colOff>542925</xdr:colOff>
      <xdr:row>32</xdr:row>
      <xdr:rowOff>0</xdr:rowOff>
    </xdr:to>
    <xdr:cxnSp macro="">
      <xdr:nvCxnSpPr>
        <xdr:cNvPr id="2840" name="TIME_SHAPE_3"/>
        <xdr:cNvCxnSpPr/>
      </xdr:nvCxnSpPr>
      <xdr:spPr>
        <a:xfrm>
          <a:off x="4924425" y="1266825"/>
          <a:ext cx="0" cy="4705350"/>
        </a:xfrm>
        <a:prstGeom prst="line">
          <a:avLst/>
        </a:prstGeom>
        <a:ln w="6350">
          <a:solidFill>
            <a:srgbClr val="D2D2D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542925</xdr:colOff>
      <xdr:row>6</xdr:row>
      <xdr:rowOff>0</xdr:rowOff>
    </xdr:from>
    <xdr:to>
      <xdr:col>5</xdr:col>
      <xdr:colOff>542925</xdr:colOff>
      <xdr:row>32</xdr:row>
      <xdr:rowOff>0</xdr:rowOff>
    </xdr:to>
    <xdr:cxnSp macro="">
      <xdr:nvCxnSpPr>
        <xdr:cNvPr id="2841" name="TIME_SHAPE_4"/>
        <xdr:cNvCxnSpPr/>
      </xdr:nvCxnSpPr>
      <xdr:spPr>
        <a:xfrm>
          <a:off x="6010275" y="1266825"/>
          <a:ext cx="0" cy="4705350"/>
        </a:xfrm>
        <a:prstGeom prst="line">
          <a:avLst/>
        </a:prstGeom>
        <a:ln w="6350">
          <a:solidFill>
            <a:srgbClr val="D2D2D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542925</xdr:colOff>
      <xdr:row>6</xdr:row>
      <xdr:rowOff>0</xdr:rowOff>
    </xdr:from>
    <xdr:to>
      <xdr:col>6</xdr:col>
      <xdr:colOff>542925</xdr:colOff>
      <xdr:row>32</xdr:row>
      <xdr:rowOff>0</xdr:rowOff>
    </xdr:to>
    <xdr:cxnSp macro="">
      <xdr:nvCxnSpPr>
        <xdr:cNvPr id="2842" name="TIME_SHAPE_5"/>
        <xdr:cNvCxnSpPr/>
      </xdr:nvCxnSpPr>
      <xdr:spPr>
        <a:xfrm>
          <a:off x="7096125" y="1266825"/>
          <a:ext cx="0" cy="4705350"/>
        </a:xfrm>
        <a:prstGeom prst="line">
          <a:avLst/>
        </a:prstGeom>
        <a:ln w="6350">
          <a:solidFill>
            <a:srgbClr val="D2D2D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542925</xdr:colOff>
      <xdr:row>6</xdr:row>
      <xdr:rowOff>0</xdr:rowOff>
    </xdr:from>
    <xdr:to>
      <xdr:col>7</xdr:col>
      <xdr:colOff>542925</xdr:colOff>
      <xdr:row>32</xdr:row>
      <xdr:rowOff>0</xdr:rowOff>
    </xdr:to>
    <xdr:cxnSp macro="">
      <xdr:nvCxnSpPr>
        <xdr:cNvPr id="2843" name="TIME_SHAPE_6"/>
        <xdr:cNvCxnSpPr/>
      </xdr:nvCxnSpPr>
      <xdr:spPr>
        <a:xfrm>
          <a:off x="8181975" y="1266825"/>
          <a:ext cx="0" cy="4705350"/>
        </a:xfrm>
        <a:prstGeom prst="line">
          <a:avLst/>
        </a:prstGeom>
        <a:ln w="6350">
          <a:solidFill>
            <a:srgbClr val="D2D2D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542925</xdr:colOff>
      <xdr:row>6</xdr:row>
      <xdr:rowOff>0</xdr:rowOff>
    </xdr:from>
    <xdr:to>
      <xdr:col>8</xdr:col>
      <xdr:colOff>542925</xdr:colOff>
      <xdr:row>32</xdr:row>
      <xdr:rowOff>0</xdr:rowOff>
    </xdr:to>
    <xdr:cxnSp macro="">
      <xdr:nvCxnSpPr>
        <xdr:cNvPr id="2884" name="TIME_SHAPE_7"/>
        <xdr:cNvCxnSpPr/>
      </xdr:nvCxnSpPr>
      <xdr:spPr>
        <a:xfrm>
          <a:off x="9267825" y="1266825"/>
          <a:ext cx="0" cy="4705350"/>
        </a:xfrm>
        <a:prstGeom prst="line">
          <a:avLst/>
        </a:prstGeom>
        <a:ln w="6350">
          <a:solidFill>
            <a:srgbClr val="D2D2D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542925</xdr:colOff>
      <xdr:row>6</xdr:row>
      <xdr:rowOff>0</xdr:rowOff>
    </xdr:from>
    <xdr:to>
      <xdr:col>9</xdr:col>
      <xdr:colOff>542925</xdr:colOff>
      <xdr:row>32</xdr:row>
      <xdr:rowOff>0</xdr:rowOff>
    </xdr:to>
    <xdr:cxnSp macro="">
      <xdr:nvCxnSpPr>
        <xdr:cNvPr id="2885" name="TIME_SHAPE_8"/>
        <xdr:cNvCxnSpPr/>
      </xdr:nvCxnSpPr>
      <xdr:spPr>
        <a:xfrm>
          <a:off x="10353675" y="1266825"/>
          <a:ext cx="0" cy="4705350"/>
        </a:xfrm>
        <a:prstGeom prst="line">
          <a:avLst/>
        </a:prstGeom>
        <a:ln w="6350">
          <a:solidFill>
            <a:srgbClr val="D2D2D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542925</xdr:colOff>
      <xdr:row>6</xdr:row>
      <xdr:rowOff>0</xdr:rowOff>
    </xdr:from>
    <xdr:to>
      <xdr:col>10</xdr:col>
      <xdr:colOff>542925</xdr:colOff>
      <xdr:row>32</xdr:row>
      <xdr:rowOff>0</xdr:rowOff>
    </xdr:to>
    <xdr:cxnSp macro="">
      <xdr:nvCxnSpPr>
        <xdr:cNvPr id="2886" name="TIME_SHAPE_9"/>
        <xdr:cNvCxnSpPr/>
      </xdr:nvCxnSpPr>
      <xdr:spPr>
        <a:xfrm>
          <a:off x="11439525" y="1266825"/>
          <a:ext cx="0" cy="4705350"/>
        </a:xfrm>
        <a:prstGeom prst="line">
          <a:avLst/>
        </a:prstGeom>
        <a:ln w="6350">
          <a:solidFill>
            <a:srgbClr val="D2D2D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542925</xdr:colOff>
      <xdr:row>6</xdr:row>
      <xdr:rowOff>0</xdr:rowOff>
    </xdr:from>
    <xdr:to>
      <xdr:col>11</xdr:col>
      <xdr:colOff>542925</xdr:colOff>
      <xdr:row>32</xdr:row>
      <xdr:rowOff>0</xdr:rowOff>
    </xdr:to>
    <xdr:cxnSp macro="">
      <xdr:nvCxnSpPr>
        <xdr:cNvPr id="2887" name="TIME_SHAPE_10"/>
        <xdr:cNvCxnSpPr/>
      </xdr:nvCxnSpPr>
      <xdr:spPr>
        <a:xfrm>
          <a:off x="12525375" y="1266825"/>
          <a:ext cx="0" cy="4705350"/>
        </a:xfrm>
        <a:prstGeom prst="line">
          <a:avLst/>
        </a:prstGeom>
        <a:ln w="6350">
          <a:solidFill>
            <a:srgbClr val="D2D2D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542925</xdr:colOff>
      <xdr:row>6</xdr:row>
      <xdr:rowOff>0</xdr:rowOff>
    </xdr:from>
    <xdr:to>
      <xdr:col>12</xdr:col>
      <xdr:colOff>542925</xdr:colOff>
      <xdr:row>32</xdr:row>
      <xdr:rowOff>0</xdr:rowOff>
    </xdr:to>
    <xdr:cxnSp macro="">
      <xdr:nvCxnSpPr>
        <xdr:cNvPr id="2888" name="TIME_SHAPE_11"/>
        <xdr:cNvCxnSpPr/>
      </xdr:nvCxnSpPr>
      <xdr:spPr>
        <a:xfrm>
          <a:off x="13611225" y="1266825"/>
          <a:ext cx="0" cy="4705350"/>
        </a:xfrm>
        <a:prstGeom prst="line">
          <a:avLst/>
        </a:prstGeom>
        <a:ln w="6350">
          <a:solidFill>
            <a:srgbClr val="D2D2D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542925</xdr:colOff>
      <xdr:row>6</xdr:row>
      <xdr:rowOff>0</xdr:rowOff>
    </xdr:from>
    <xdr:to>
      <xdr:col>13</xdr:col>
      <xdr:colOff>542925</xdr:colOff>
      <xdr:row>32</xdr:row>
      <xdr:rowOff>0</xdr:rowOff>
    </xdr:to>
    <xdr:cxnSp macro="">
      <xdr:nvCxnSpPr>
        <xdr:cNvPr id="2889" name="TIME_SHAPE_12"/>
        <xdr:cNvCxnSpPr/>
      </xdr:nvCxnSpPr>
      <xdr:spPr>
        <a:xfrm>
          <a:off x="14697075" y="1266825"/>
          <a:ext cx="0" cy="4705350"/>
        </a:xfrm>
        <a:prstGeom prst="line">
          <a:avLst/>
        </a:prstGeom>
        <a:ln w="6350">
          <a:solidFill>
            <a:srgbClr val="D2D2D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542925</xdr:colOff>
      <xdr:row>6</xdr:row>
      <xdr:rowOff>0</xdr:rowOff>
    </xdr:from>
    <xdr:to>
      <xdr:col>14</xdr:col>
      <xdr:colOff>542925</xdr:colOff>
      <xdr:row>32</xdr:row>
      <xdr:rowOff>0</xdr:rowOff>
    </xdr:to>
    <xdr:cxnSp macro="">
      <xdr:nvCxnSpPr>
        <xdr:cNvPr id="2890" name="TIME_SHAPE_13"/>
        <xdr:cNvCxnSpPr/>
      </xdr:nvCxnSpPr>
      <xdr:spPr>
        <a:xfrm>
          <a:off x="15782925" y="1266825"/>
          <a:ext cx="0" cy="4705350"/>
        </a:xfrm>
        <a:prstGeom prst="line">
          <a:avLst/>
        </a:prstGeom>
        <a:ln w="6350">
          <a:solidFill>
            <a:srgbClr val="D2D2D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542925</xdr:colOff>
      <xdr:row>32</xdr:row>
      <xdr:rowOff>0</xdr:rowOff>
    </xdr:from>
    <xdr:to>
      <xdr:col>3</xdr:col>
      <xdr:colOff>542925</xdr:colOff>
      <xdr:row>33</xdr:row>
      <xdr:rowOff>0</xdr:rowOff>
    </xdr:to>
    <xdr:sp macro="" textlink="">
      <xdr:nvSpPr>
        <xdr:cNvPr id="2897" name="TOTAL_8_ACTIVITE"/>
        <xdr:cNvSpPr/>
      </xdr:nvSpPr>
      <xdr:spPr>
        <a:xfrm>
          <a:off x="2752725" y="5972175"/>
          <a:ext cx="1085850" cy="190500"/>
        </a:xfrm>
        <a:prstGeom prst="rect">
          <a:avLst/>
        </a:prstGeom>
        <a:solidFill>
          <a:schemeClr val="accent3">
            <a:lumMod val="20000"/>
            <a:lumOff val="80000"/>
          </a:schemeClr>
        </a:solidFill>
        <a:ln w="6350">
          <a:solidFill>
            <a:schemeClr val="accent3">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solidFill>
                <a:schemeClr val="accent3">
                  <a:lumMod val="50000"/>
                </a:schemeClr>
              </a:solidFill>
            </a:rPr>
            <a:t>2,75</a:t>
          </a:r>
        </a:p>
      </xdr:txBody>
    </xdr:sp>
    <xdr:clientData/>
  </xdr:twoCellAnchor>
  <xdr:twoCellAnchor>
    <xdr:from>
      <xdr:col>3</xdr:col>
      <xdr:colOff>542925</xdr:colOff>
      <xdr:row>32</xdr:row>
      <xdr:rowOff>0</xdr:rowOff>
    </xdr:from>
    <xdr:to>
      <xdr:col>4</xdr:col>
      <xdr:colOff>542925</xdr:colOff>
      <xdr:row>33</xdr:row>
      <xdr:rowOff>0</xdr:rowOff>
    </xdr:to>
    <xdr:sp macro="" textlink="">
      <xdr:nvSpPr>
        <xdr:cNvPr id="2898" name="TOTAL_9_ACTIVITE"/>
        <xdr:cNvSpPr/>
      </xdr:nvSpPr>
      <xdr:spPr>
        <a:xfrm>
          <a:off x="3838575" y="5972175"/>
          <a:ext cx="1085850" cy="190500"/>
        </a:xfrm>
        <a:prstGeom prst="rect">
          <a:avLst/>
        </a:prstGeom>
        <a:solidFill>
          <a:schemeClr val="accent3">
            <a:lumMod val="20000"/>
            <a:lumOff val="80000"/>
          </a:schemeClr>
        </a:solidFill>
        <a:ln w="6350">
          <a:solidFill>
            <a:schemeClr val="accent3">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solidFill>
                <a:schemeClr val="accent3">
                  <a:lumMod val="50000"/>
                </a:schemeClr>
              </a:solidFill>
            </a:rPr>
            <a:t>11,25</a:t>
          </a:r>
        </a:p>
      </xdr:txBody>
    </xdr:sp>
    <xdr:clientData/>
  </xdr:twoCellAnchor>
  <xdr:twoCellAnchor>
    <xdr:from>
      <xdr:col>4</xdr:col>
      <xdr:colOff>542925</xdr:colOff>
      <xdr:row>32</xdr:row>
      <xdr:rowOff>0</xdr:rowOff>
    </xdr:from>
    <xdr:to>
      <xdr:col>5</xdr:col>
      <xdr:colOff>542925</xdr:colOff>
      <xdr:row>33</xdr:row>
      <xdr:rowOff>0</xdr:rowOff>
    </xdr:to>
    <xdr:sp macro="" textlink="">
      <xdr:nvSpPr>
        <xdr:cNvPr id="2899" name="TOTAL_10_ACTIVITE"/>
        <xdr:cNvSpPr/>
      </xdr:nvSpPr>
      <xdr:spPr>
        <a:xfrm>
          <a:off x="4924425" y="5972175"/>
          <a:ext cx="1085850" cy="190500"/>
        </a:xfrm>
        <a:prstGeom prst="rect">
          <a:avLst/>
        </a:prstGeom>
        <a:solidFill>
          <a:schemeClr val="accent3">
            <a:lumMod val="20000"/>
            <a:lumOff val="80000"/>
          </a:schemeClr>
        </a:solidFill>
        <a:ln w="6350">
          <a:solidFill>
            <a:schemeClr val="accent3">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solidFill>
                <a:schemeClr val="accent3">
                  <a:lumMod val="50000"/>
                </a:schemeClr>
              </a:solidFill>
            </a:rPr>
            <a:t>14</a:t>
          </a:r>
        </a:p>
      </xdr:txBody>
    </xdr:sp>
    <xdr:clientData/>
  </xdr:twoCellAnchor>
  <xdr:twoCellAnchor>
    <xdr:from>
      <xdr:col>5</xdr:col>
      <xdr:colOff>542925</xdr:colOff>
      <xdr:row>32</xdr:row>
      <xdr:rowOff>0</xdr:rowOff>
    </xdr:from>
    <xdr:to>
      <xdr:col>6</xdr:col>
      <xdr:colOff>542925</xdr:colOff>
      <xdr:row>33</xdr:row>
      <xdr:rowOff>0</xdr:rowOff>
    </xdr:to>
    <xdr:sp macro="" textlink="">
      <xdr:nvSpPr>
        <xdr:cNvPr id="2900" name="TOTAL_11_ACTIVITE"/>
        <xdr:cNvSpPr/>
      </xdr:nvSpPr>
      <xdr:spPr>
        <a:xfrm>
          <a:off x="6010275" y="5972175"/>
          <a:ext cx="1085850" cy="190500"/>
        </a:xfrm>
        <a:prstGeom prst="rect">
          <a:avLst/>
        </a:prstGeom>
        <a:solidFill>
          <a:schemeClr val="accent3">
            <a:lumMod val="20000"/>
            <a:lumOff val="80000"/>
          </a:schemeClr>
        </a:solidFill>
        <a:ln w="6350">
          <a:solidFill>
            <a:schemeClr val="accent3">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solidFill>
                <a:schemeClr val="accent3">
                  <a:lumMod val="50000"/>
                </a:schemeClr>
              </a:solidFill>
            </a:rPr>
            <a:t>15</a:t>
          </a:r>
        </a:p>
      </xdr:txBody>
    </xdr:sp>
    <xdr:clientData/>
  </xdr:twoCellAnchor>
  <xdr:twoCellAnchor>
    <xdr:from>
      <xdr:col>6</xdr:col>
      <xdr:colOff>542925</xdr:colOff>
      <xdr:row>32</xdr:row>
      <xdr:rowOff>0</xdr:rowOff>
    </xdr:from>
    <xdr:to>
      <xdr:col>7</xdr:col>
      <xdr:colOff>542925</xdr:colOff>
      <xdr:row>33</xdr:row>
      <xdr:rowOff>0</xdr:rowOff>
    </xdr:to>
    <xdr:sp macro="" textlink="">
      <xdr:nvSpPr>
        <xdr:cNvPr id="2901" name="TOTAL_12_ACTIVITE"/>
        <xdr:cNvSpPr/>
      </xdr:nvSpPr>
      <xdr:spPr>
        <a:xfrm>
          <a:off x="7096125" y="5972175"/>
          <a:ext cx="1085850" cy="190500"/>
        </a:xfrm>
        <a:prstGeom prst="rect">
          <a:avLst/>
        </a:prstGeom>
        <a:solidFill>
          <a:schemeClr val="accent3">
            <a:lumMod val="20000"/>
            <a:lumOff val="80000"/>
          </a:schemeClr>
        </a:solidFill>
        <a:ln w="6350">
          <a:solidFill>
            <a:schemeClr val="accent3">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solidFill>
                <a:schemeClr val="accent3">
                  <a:lumMod val="50000"/>
                </a:schemeClr>
              </a:solidFill>
            </a:rPr>
            <a:t>9,75</a:t>
          </a:r>
        </a:p>
      </xdr:txBody>
    </xdr:sp>
    <xdr:clientData/>
  </xdr:twoCellAnchor>
  <xdr:twoCellAnchor>
    <xdr:from>
      <xdr:col>7</xdr:col>
      <xdr:colOff>542925</xdr:colOff>
      <xdr:row>32</xdr:row>
      <xdr:rowOff>0</xdr:rowOff>
    </xdr:from>
    <xdr:to>
      <xdr:col>8</xdr:col>
      <xdr:colOff>542925</xdr:colOff>
      <xdr:row>33</xdr:row>
      <xdr:rowOff>0</xdr:rowOff>
    </xdr:to>
    <xdr:sp macro="" textlink="">
      <xdr:nvSpPr>
        <xdr:cNvPr id="2902" name="TOTAL_13_ACTIVITE"/>
        <xdr:cNvSpPr/>
      </xdr:nvSpPr>
      <xdr:spPr>
        <a:xfrm>
          <a:off x="8181975" y="5972175"/>
          <a:ext cx="1085850" cy="190500"/>
        </a:xfrm>
        <a:prstGeom prst="rect">
          <a:avLst/>
        </a:prstGeom>
        <a:solidFill>
          <a:schemeClr val="accent3">
            <a:lumMod val="20000"/>
            <a:lumOff val="80000"/>
          </a:schemeClr>
        </a:solidFill>
        <a:ln w="6350">
          <a:solidFill>
            <a:schemeClr val="accent3">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solidFill>
                <a:schemeClr val="accent3">
                  <a:lumMod val="50000"/>
                </a:schemeClr>
              </a:solidFill>
            </a:rPr>
            <a:t>9</a:t>
          </a:r>
        </a:p>
      </xdr:txBody>
    </xdr:sp>
    <xdr:clientData/>
  </xdr:twoCellAnchor>
  <xdr:twoCellAnchor>
    <xdr:from>
      <xdr:col>8</xdr:col>
      <xdr:colOff>542925</xdr:colOff>
      <xdr:row>32</xdr:row>
      <xdr:rowOff>0</xdr:rowOff>
    </xdr:from>
    <xdr:to>
      <xdr:col>9</xdr:col>
      <xdr:colOff>542925</xdr:colOff>
      <xdr:row>33</xdr:row>
      <xdr:rowOff>0</xdr:rowOff>
    </xdr:to>
    <xdr:sp macro="" textlink="">
      <xdr:nvSpPr>
        <xdr:cNvPr id="2903" name="TOTAL_14_ACTIVITE"/>
        <xdr:cNvSpPr/>
      </xdr:nvSpPr>
      <xdr:spPr>
        <a:xfrm>
          <a:off x="9267825" y="5972175"/>
          <a:ext cx="1085850" cy="190500"/>
        </a:xfrm>
        <a:prstGeom prst="rect">
          <a:avLst/>
        </a:prstGeom>
        <a:solidFill>
          <a:schemeClr val="accent3">
            <a:lumMod val="20000"/>
            <a:lumOff val="80000"/>
          </a:schemeClr>
        </a:solidFill>
        <a:ln w="6350">
          <a:solidFill>
            <a:schemeClr val="accent3">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solidFill>
                <a:schemeClr val="accent3">
                  <a:lumMod val="50000"/>
                </a:schemeClr>
              </a:solidFill>
            </a:rPr>
            <a:t>15</a:t>
          </a:r>
        </a:p>
      </xdr:txBody>
    </xdr:sp>
    <xdr:clientData/>
  </xdr:twoCellAnchor>
  <xdr:twoCellAnchor>
    <xdr:from>
      <xdr:col>9</xdr:col>
      <xdr:colOff>542925</xdr:colOff>
      <xdr:row>32</xdr:row>
      <xdr:rowOff>0</xdr:rowOff>
    </xdr:from>
    <xdr:to>
      <xdr:col>10</xdr:col>
      <xdr:colOff>542925</xdr:colOff>
      <xdr:row>33</xdr:row>
      <xdr:rowOff>0</xdr:rowOff>
    </xdr:to>
    <xdr:sp macro="" textlink="">
      <xdr:nvSpPr>
        <xdr:cNvPr id="2904" name="TOTAL_15_ACTIVITE"/>
        <xdr:cNvSpPr/>
      </xdr:nvSpPr>
      <xdr:spPr>
        <a:xfrm>
          <a:off x="10353675" y="5972175"/>
          <a:ext cx="1085850" cy="190500"/>
        </a:xfrm>
        <a:prstGeom prst="rect">
          <a:avLst/>
        </a:prstGeom>
        <a:solidFill>
          <a:schemeClr val="accent3">
            <a:lumMod val="20000"/>
            <a:lumOff val="80000"/>
          </a:schemeClr>
        </a:solidFill>
        <a:ln w="6350">
          <a:solidFill>
            <a:schemeClr val="accent3">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solidFill>
                <a:schemeClr val="accent3">
                  <a:lumMod val="50000"/>
                </a:schemeClr>
              </a:solidFill>
            </a:rPr>
            <a:t>15</a:t>
          </a:r>
        </a:p>
      </xdr:txBody>
    </xdr:sp>
    <xdr:clientData/>
  </xdr:twoCellAnchor>
  <xdr:twoCellAnchor>
    <xdr:from>
      <xdr:col>10</xdr:col>
      <xdr:colOff>542925</xdr:colOff>
      <xdr:row>32</xdr:row>
      <xdr:rowOff>0</xdr:rowOff>
    </xdr:from>
    <xdr:to>
      <xdr:col>11</xdr:col>
      <xdr:colOff>542925</xdr:colOff>
      <xdr:row>33</xdr:row>
      <xdr:rowOff>0</xdr:rowOff>
    </xdr:to>
    <xdr:sp macro="" textlink="">
      <xdr:nvSpPr>
        <xdr:cNvPr id="2905" name="TOTAL_16_ACTIVITE"/>
        <xdr:cNvSpPr/>
      </xdr:nvSpPr>
      <xdr:spPr>
        <a:xfrm>
          <a:off x="11439525" y="5972175"/>
          <a:ext cx="1085850" cy="190500"/>
        </a:xfrm>
        <a:prstGeom prst="rect">
          <a:avLst/>
        </a:prstGeom>
        <a:solidFill>
          <a:schemeClr val="accent3">
            <a:lumMod val="20000"/>
            <a:lumOff val="80000"/>
          </a:schemeClr>
        </a:solidFill>
        <a:ln w="6350">
          <a:solidFill>
            <a:schemeClr val="accent3">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solidFill>
                <a:schemeClr val="accent3">
                  <a:lumMod val="50000"/>
                </a:schemeClr>
              </a:solidFill>
            </a:rPr>
            <a:t>13,25</a:t>
          </a:r>
        </a:p>
      </xdr:txBody>
    </xdr:sp>
    <xdr:clientData/>
  </xdr:twoCellAnchor>
  <xdr:twoCellAnchor>
    <xdr:from>
      <xdr:col>11</xdr:col>
      <xdr:colOff>542925</xdr:colOff>
      <xdr:row>32</xdr:row>
      <xdr:rowOff>0</xdr:rowOff>
    </xdr:from>
    <xdr:to>
      <xdr:col>12</xdr:col>
      <xdr:colOff>542925</xdr:colOff>
      <xdr:row>33</xdr:row>
      <xdr:rowOff>0</xdr:rowOff>
    </xdr:to>
    <xdr:sp macro="" textlink="">
      <xdr:nvSpPr>
        <xdr:cNvPr id="2906" name="TOTAL_17_ACTIVITE"/>
        <xdr:cNvSpPr/>
      </xdr:nvSpPr>
      <xdr:spPr>
        <a:xfrm>
          <a:off x="12525375" y="5972175"/>
          <a:ext cx="1085850" cy="190500"/>
        </a:xfrm>
        <a:prstGeom prst="rect">
          <a:avLst/>
        </a:prstGeom>
        <a:solidFill>
          <a:schemeClr val="accent3">
            <a:lumMod val="20000"/>
            <a:lumOff val="80000"/>
          </a:schemeClr>
        </a:solidFill>
        <a:ln w="6350">
          <a:solidFill>
            <a:schemeClr val="accent3">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solidFill>
                <a:schemeClr val="accent3">
                  <a:lumMod val="50000"/>
                </a:schemeClr>
              </a:solidFill>
            </a:rPr>
            <a:t>12,25</a:t>
          </a:r>
        </a:p>
      </xdr:txBody>
    </xdr:sp>
    <xdr:clientData/>
  </xdr:twoCellAnchor>
  <xdr:twoCellAnchor>
    <xdr:from>
      <xdr:col>12</xdr:col>
      <xdr:colOff>542925</xdr:colOff>
      <xdr:row>32</xdr:row>
      <xdr:rowOff>0</xdr:rowOff>
    </xdr:from>
    <xdr:to>
      <xdr:col>13</xdr:col>
      <xdr:colOff>542925</xdr:colOff>
      <xdr:row>33</xdr:row>
      <xdr:rowOff>0</xdr:rowOff>
    </xdr:to>
    <xdr:sp macro="" textlink="">
      <xdr:nvSpPr>
        <xdr:cNvPr id="2907" name="TOTAL_18_ACTIVITE"/>
        <xdr:cNvSpPr/>
      </xdr:nvSpPr>
      <xdr:spPr>
        <a:xfrm>
          <a:off x="13611225" y="5972175"/>
          <a:ext cx="1085850" cy="190500"/>
        </a:xfrm>
        <a:prstGeom prst="rect">
          <a:avLst/>
        </a:prstGeom>
        <a:solidFill>
          <a:schemeClr val="accent3">
            <a:lumMod val="20000"/>
            <a:lumOff val="80000"/>
          </a:schemeClr>
        </a:solidFill>
        <a:ln w="6350">
          <a:solidFill>
            <a:schemeClr val="accent3">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solidFill>
                <a:schemeClr val="accent3">
                  <a:lumMod val="50000"/>
                </a:schemeClr>
              </a:solidFill>
            </a:rPr>
            <a:t>7</a:t>
          </a:r>
        </a:p>
      </xdr:txBody>
    </xdr:sp>
    <xdr:clientData/>
  </xdr:twoCellAnchor>
  <xdr:twoCellAnchor>
    <xdr:from>
      <xdr:col>13</xdr:col>
      <xdr:colOff>542925</xdr:colOff>
      <xdr:row>32</xdr:row>
      <xdr:rowOff>0</xdr:rowOff>
    </xdr:from>
    <xdr:to>
      <xdr:col>14</xdr:col>
      <xdr:colOff>542925</xdr:colOff>
      <xdr:row>33</xdr:row>
      <xdr:rowOff>0</xdr:rowOff>
    </xdr:to>
    <xdr:sp macro="" textlink="">
      <xdr:nvSpPr>
        <xdr:cNvPr id="2908" name="TOTAL_19_ACTIVITE"/>
        <xdr:cNvSpPr/>
      </xdr:nvSpPr>
      <xdr:spPr>
        <a:xfrm>
          <a:off x="14697075" y="5972175"/>
          <a:ext cx="1085850" cy="190500"/>
        </a:xfrm>
        <a:prstGeom prst="rect">
          <a:avLst/>
        </a:prstGeom>
        <a:solidFill>
          <a:schemeClr val="accent3">
            <a:lumMod val="20000"/>
            <a:lumOff val="80000"/>
          </a:schemeClr>
        </a:solidFill>
        <a:ln w="6350">
          <a:solidFill>
            <a:schemeClr val="accent3">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solidFill>
                <a:schemeClr val="accent3">
                  <a:lumMod val="50000"/>
                </a:schemeClr>
              </a:solidFill>
            </a:rPr>
            <a:t>1</a:t>
          </a:r>
        </a:p>
      </xdr:txBody>
    </xdr:sp>
    <xdr:clientData/>
  </xdr:twoCellAnchor>
  <xdr:twoCellAnchor>
    <xdr:from>
      <xdr:col>2</xdr:col>
      <xdr:colOff>542925</xdr:colOff>
      <xdr:row>33</xdr:row>
      <xdr:rowOff>0</xdr:rowOff>
    </xdr:from>
    <xdr:to>
      <xdr:col>3</xdr:col>
      <xdr:colOff>542925</xdr:colOff>
      <xdr:row>34</xdr:row>
      <xdr:rowOff>0</xdr:rowOff>
    </xdr:to>
    <xdr:sp macro="" textlink="">
      <xdr:nvSpPr>
        <xdr:cNvPr id="2909" name="TOTAL_8_PRESENTS"/>
        <xdr:cNvSpPr/>
      </xdr:nvSpPr>
      <xdr:spPr>
        <a:xfrm>
          <a:off x="2752725" y="6162675"/>
          <a:ext cx="1085850" cy="190500"/>
        </a:xfrm>
        <a:prstGeom prst="rect">
          <a:avLst/>
        </a:prstGeom>
        <a:solidFill>
          <a:schemeClr val="bg1">
            <a:lumMod val="95000"/>
          </a:schemeClr>
        </a:solidFill>
        <a:ln w="952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solidFill>
                <a:schemeClr val="tx1">
                  <a:lumMod val="50000"/>
                  <a:lumOff val="50000"/>
                </a:schemeClr>
              </a:solidFill>
            </a:rPr>
            <a:t>11</a:t>
          </a:r>
        </a:p>
      </xdr:txBody>
    </xdr:sp>
    <xdr:clientData/>
  </xdr:twoCellAnchor>
  <xdr:twoCellAnchor>
    <xdr:from>
      <xdr:col>3</xdr:col>
      <xdr:colOff>542925</xdr:colOff>
      <xdr:row>33</xdr:row>
      <xdr:rowOff>0</xdr:rowOff>
    </xdr:from>
    <xdr:to>
      <xdr:col>4</xdr:col>
      <xdr:colOff>542925</xdr:colOff>
      <xdr:row>34</xdr:row>
      <xdr:rowOff>0</xdr:rowOff>
    </xdr:to>
    <xdr:sp macro="" textlink="">
      <xdr:nvSpPr>
        <xdr:cNvPr id="2910" name="TOTAL_9_PRESENTS"/>
        <xdr:cNvSpPr/>
      </xdr:nvSpPr>
      <xdr:spPr>
        <a:xfrm>
          <a:off x="3838575" y="6162675"/>
          <a:ext cx="1085850" cy="190500"/>
        </a:xfrm>
        <a:prstGeom prst="rect">
          <a:avLst/>
        </a:prstGeom>
        <a:solidFill>
          <a:schemeClr val="bg1">
            <a:lumMod val="95000"/>
          </a:schemeClr>
        </a:solidFill>
        <a:ln w="952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solidFill>
                <a:schemeClr val="tx1">
                  <a:lumMod val="50000"/>
                  <a:lumOff val="50000"/>
                </a:schemeClr>
              </a:solidFill>
            </a:rPr>
            <a:t>15</a:t>
          </a:r>
        </a:p>
      </xdr:txBody>
    </xdr:sp>
    <xdr:clientData/>
  </xdr:twoCellAnchor>
  <xdr:twoCellAnchor>
    <xdr:from>
      <xdr:col>4</xdr:col>
      <xdr:colOff>542925</xdr:colOff>
      <xdr:row>33</xdr:row>
      <xdr:rowOff>0</xdr:rowOff>
    </xdr:from>
    <xdr:to>
      <xdr:col>5</xdr:col>
      <xdr:colOff>542925</xdr:colOff>
      <xdr:row>34</xdr:row>
      <xdr:rowOff>0</xdr:rowOff>
    </xdr:to>
    <xdr:sp macro="" textlink="">
      <xdr:nvSpPr>
        <xdr:cNvPr id="2911" name="TOTAL_10_PRESENTS"/>
        <xdr:cNvSpPr/>
      </xdr:nvSpPr>
      <xdr:spPr>
        <a:xfrm>
          <a:off x="4924425" y="6162675"/>
          <a:ext cx="1085850" cy="190500"/>
        </a:xfrm>
        <a:prstGeom prst="rect">
          <a:avLst/>
        </a:prstGeom>
        <a:solidFill>
          <a:schemeClr val="bg1">
            <a:lumMod val="95000"/>
          </a:schemeClr>
        </a:solidFill>
        <a:ln w="952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solidFill>
                <a:schemeClr val="tx1">
                  <a:lumMod val="50000"/>
                  <a:lumOff val="50000"/>
                </a:schemeClr>
              </a:solidFill>
            </a:rPr>
            <a:t>15</a:t>
          </a:r>
        </a:p>
      </xdr:txBody>
    </xdr:sp>
    <xdr:clientData/>
  </xdr:twoCellAnchor>
  <xdr:twoCellAnchor>
    <xdr:from>
      <xdr:col>5</xdr:col>
      <xdr:colOff>542925</xdr:colOff>
      <xdr:row>33</xdr:row>
      <xdr:rowOff>0</xdr:rowOff>
    </xdr:from>
    <xdr:to>
      <xdr:col>6</xdr:col>
      <xdr:colOff>542925</xdr:colOff>
      <xdr:row>34</xdr:row>
      <xdr:rowOff>0</xdr:rowOff>
    </xdr:to>
    <xdr:sp macro="" textlink="">
      <xdr:nvSpPr>
        <xdr:cNvPr id="2912" name="TOTAL_11_PRESENTS"/>
        <xdr:cNvSpPr/>
      </xdr:nvSpPr>
      <xdr:spPr>
        <a:xfrm>
          <a:off x="6010275" y="6162675"/>
          <a:ext cx="1085850" cy="190500"/>
        </a:xfrm>
        <a:prstGeom prst="rect">
          <a:avLst/>
        </a:prstGeom>
        <a:solidFill>
          <a:schemeClr val="bg1">
            <a:lumMod val="95000"/>
          </a:schemeClr>
        </a:solidFill>
        <a:ln w="952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solidFill>
                <a:schemeClr val="tx1">
                  <a:lumMod val="50000"/>
                  <a:lumOff val="50000"/>
                </a:schemeClr>
              </a:solidFill>
            </a:rPr>
            <a:t>15</a:t>
          </a:r>
        </a:p>
      </xdr:txBody>
    </xdr:sp>
    <xdr:clientData/>
  </xdr:twoCellAnchor>
  <xdr:twoCellAnchor>
    <xdr:from>
      <xdr:col>6</xdr:col>
      <xdr:colOff>542925</xdr:colOff>
      <xdr:row>33</xdr:row>
      <xdr:rowOff>0</xdr:rowOff>
    </xdr:from>
    <xdr:to>
      <xdr:col>7</xdr:col>
      <xdr:colOff>542925</xdr:colOff>
      <xdr:row>34</xdr:row>
      <xdr:rowOff>0</xdr:rowOff>
    </xdr:to>
    <xdr:sp macro="" textlink="">
      <xdr:nvSpPr>
        <xdr:cNvPr id="2913" name="TOTAL_12_PRESENTS"/>
        <xdr:cNvSpPr/>
      </xdr:nvSpPr>
      <xdr:spPr>
        <a:xfrm>
          <a:off x="7096125" y="6162675"/>
          <a:ext cx="1085850" cy="190500"/>
        </a:xfrm>
        <a:prstGeom prst="rect">
          <a:avLst/>
        </a:prstGeom>
        <a:solidFill>
          <a:schemeClr val="bg1">
            <a:lumMod val="95000"/>
          </a:schemeClr>
        </a:solidFill>
        <a:ln w="952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solidFill>
                <a:schemeClr val="tx1">
                  <a:lumMod val="50000"/>
                  <a:lumOff val="50000"/>
                </a:schemeClr>
              </a:solidFill>
            </a:rPr>
            <a:t>15</a:t>
          </a:r>
        </a:p>
      </xdr:txBody>
    </xdr:sp>
    <xdr:clientData/>
  </xdr:twoCellAnchor>
  <xdr:twoCellAnchor>
    <xdr:from>
      <xdr:col>7</xdr:col>
      <xdr:colOff>542925</xdr:colOff>
      <xdr:row>33</xdr:row>
      <xdr:rowOff>0</xdr:rowOff>
    </xdr:from>
    <xdr:to>
      <xdr:col>8</xdr:col>
      <xdr:colOff>542925</xdr:colOff>
      <xdr:row>34</xdr:row>
      <xdr:rowOff>0</xdr:rowOff>
    </xdr:to>
    <xdr:sp macro="" textlink="">
      <xdr:nvSpPr>
        <xdr:cNvPr id="2914" name="TOTAL_13_PRESENTS"/>
        <xdr:cNvSpPr/>
      </xdr:nvSpPr>
      <xdr:spPr>
        <a:xfrm>
          <a:off x="8181975" y="6162675"/>
          <a:ext cx="1085850" cy="190500"/>
        </a:xfrm>
        <a:prstGeom prst="rect">
          <a:avLst/>
        </a:prstGeom>
        <a:solidFill>
          <a:schemeClr val="bg1">
            <a:lumMod val="95000"/>
          </a:schemeClr>
        </a:solidFill>
        <a:ln w="952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solidFill>
                <a:schemeClr val="tx1">
                  <a:lumMod val="50000"/>
                  <a:lumOff val="50000"/>
                </a:schemeClr>
              </a:solidFill>
            </a:rPr>
            <a:t>15</a:t>
          </a:r>
        </a:p>
      </xdr:txBody>
    </xdr:sp>
    <xdr:clientData/>
  </xdr:twoCellAnchor>
  <xdr:twoCellAnchor>
    <xdr:from>
      <xdr:col>8</xdr:col>
      <xdr:colOff>542925</xdr:colOff>
      <xdr:row>33</xdr:row>
      <xdr:rowOff>0</xdr:rowOff>
    </xdr:from>
    <xdr:to>
      <xdr:col>9</xdr:col>
      <xdr:colOff>542925</xdr:colOff>
      <xdr:row>34</xdr:row>
      <xdr:rowOff>0</xdr:rowOff>
    </xdr:to>
    <xdr:sp macro="" textlink="">
      <xdr:nvSpPr>
        <xdr:cNvPr id="2915" name="TOTAL_14_PRESENTS"/>
        <xdr:cNvSpPr/>
      </xdr:nvSpPr>
      <xdr:spPr>
        <a:xfrm>
          <a:off x="9267825" y="6162675"/>
          <a:ext cx="1085850" cy="190500"/>
        </a:xfrm>
        <a:prstGeom prst="rect">
          <a:avLst/>
        </a:prstGeom>
        <a:solidFill>
          <a:schemeClr val="bg1">
            <a:lumMod val="95000"/>
          </a:schemeClr>
        </a:solidFill>
        <a:ln w="952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solidFill>
                <a:schemeClr val="tx1">
                  <a:lumMod val="50000"/>
                  <a:lumOff val="50000"/>
                </a:schemeClr>
              </a:solidFill>
            </a:rPr>
            <a:t>15</a:t>
          </a:r>
        </a:p>
      </xdr:txBody>
    </xdr:sp>
    <xdr:clientData/>
  </xdr:twoCellAnchor>
  <xdr:twoCellAnchor>
    <xdr:from>
      <xdr:col>9</xdr:col>
      <xdr:colOff>542925</xdr:colOff>
      <xdr:row>33</xdr:row>
      <xdr:rowOff>0</xdr:rowOff>
    </xdr:from>
    <xdr:to>
      <xdr:col>10</xdr:col>
      <xdr:colOff>542925</xdr:colOff>
      <xdr:row>34</xdr:row>
      <xdr:rowOff>0</xdr:rowOff>
    </xdr:to>
    <xdr:sp macro="" textlink="">
      <xdr:nvSpPr>
        <xdr:cNvPr id="2916" name="TOTAL_15_PRESENTS"/>
        <xdr:cNvSpPr/>
      </xdr:nvSpPr>
      <xdr:spPr>
        <a:xfrm>
          <a:off x="10353675" y="6162675"/>
          <a:ext cx="1085850" cy="190500"/>
        </a:xfrm>
        <a:prstGeom prst="rect">
          <a:avLst/>
        </a:prstGeom>
        <a:solidFill>
          <a:schemeClr val="bg1">
            <a:lumMod val="95000"/>
          </a:schemeClr>
        </a:solidFill>
        <a:ln w="952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solidFill>
                <a:schemeClr val="tx1">
                  <a:lumMod val="50000"/>
                  <a:lumOff val="50000"/>
                </a:schemeClr>
              </a:solidFill>
            </a:rPr>
            <a:t>15</a:t>
          </a:r>
        </a:p>
      </xdr:txBody>
    </xdr:sp>
    <xdr:clientData/>
  </xdr:twoCellAnchor>
  <xdr:twoCellAnchor>
    <xdr:from>
      <xdr:col>10</xdr:col>
      <xdr:colOff>542925</xdr:colOff>
      <xdr:row>33</xdr:row>
      <xdr:rowOff>0</xdr:rowOff>
    </xdr:from>
    <xdr:to>
      <xdr:col>11</xdr:col>
      <xdr:colOff>542925</xdr:colOff>
      <xdr:row>34</xdr:row>
      <xdr:rowOff>0</xdr:rowOff>
    </xdr:to>
    <xdr:sp macro="" textlink="">
      <xdr:nvSpPr>
        <xdr:cNvPr id="2917" name="TOTAL_16_PRESENTS"/>
        <xdr:cNvSpPr/>
      </xdr:nvSpPr>
      <xdr:spPr>
        <a:xfrm>
          <a:off x="11439525" y="6162675"/>
          <a:ext cx="1085850" cy="190500"/>
        </a:xfrm>
        <a:prstGeom prst="rect">
          <a:avLst/>
        </a:prstGeom>
        <a:solidFill>
          <a:schemeClr val="bg1">
            <a:lumMod val="95000"/>
          </a:schemeClr>
        </a:solidFill>
        <a:ln w="952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solidFill>
                <a:schemeClr val="tx1">
                  <a:lumMod val="50000"/>
                  <a:lumOff val="50000"/>
                </a:schemeClr>
              </a:solidFill>
            </a:rPr>
            <a:t>14</a:t>
          </a:r>
        </a:p>
      </xdr:txBody>
    </xdr:sp>
    <xdr:clientData/>
  </xdr:twoCellAnchor>
  <xdr:twoCellAnchor>
    <xdr:from>
      <xdr:col>11</xdr:col>
      <xdr:colOff>542925</xdr:colOff>
      <xdr:row>33</xdr:row>
      <xdr:rowOff>0</xdr:rowOff>
    </xdr:from>
    <xdr:to>
      <xdr:col>12</xdr:col>
      <xdr:colOff>542925</xdr:colOff>
      <xdr:row>34</xdr:row>
      <xdr:rowOff>0</xdr:rowOff>
    </xdr:to>
    <xdr:sp macro="" textlink="">
      <xdr:nvSpPr>
        <xdr:cNvPr id="2918" name="TOTAL_17_PRESENTS"/>
        <xdr:cNvSpPr/>
      </xdr:nvSpPr>
      <xdr:spPr>
        <a:xfrm>
          <a:off x="12525375" y="6162675"/>
          <a:ext cx="1085850" cy="190500"/>
        </a:xfrm>
        <a:prstGeom prst="rect">
          <a:avLst/>
        </a:prstGeom>
        <a:solidFill>
          <a:schemeClr val="bg1">
            <a:lumMod val="95000"/>
          </a:schemeClr>
        </a:solidFill>
        <a:ln w="952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solidFill>
                <a:schemeClr val="tx1">
                  <a:lumMod val="50000"/>
                  <a:lumOff val="50000"/>
                </a:schemeClr>
              </a:solidFill>
            </a:rPr>
            <a:t>13</a:t>
          </a:r>
        </a:p>
      </xdr:txBody>
    </xdr:sp>
    <xdr:clientData/>
  </xdr:twoCellAnchor>
  <xdr:twoCellAnchor>
    <xdr:from>
      <xdr:col>12</xdr:col>
      <xdr:colOff>542925</xdr:colOff>
      <xdr:row>33</xdr:row>
      <xdr:rowOff>0</xdr:rowOff>
    </xdr:from>
    <xdr:to>
      <xdr:col>13</xdr:col>
      <xdr:colOff>542925</xdr:colOff>
      <xdr:row>34</xdr:row>
      <xdr:rowOff>0</xdr:rowOff>
    </xdr:to>
    <xdr:sp macro="" textlink="">
      <xdr:nvSpPr>
        <xdr:cNvPr id="2919" name="TOTAL_18_PRESENTS"/>
        <xdr:cNvSpPr/>
      </xdr:nvSpPr>
      <xdr:spPr>
        <a:xfrm>
          <a:off x="13611225" y="6162675"/>
          <a:ext cx="1085850" cy="190500"/>
        </a:xfrm>
        <a:prstGeom prst="rect">
          <a:avLst/>
        </a:prstGeom>
        <a:solidFill>
          <a:schemeClr val="bg1">
            <a:lumMod val="95000"/>
          </a:schemeClr>
        </a:solidFill>
        <a:ln w="952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solidFill>
                <a:schemeClr val="tx1">
                  <a:lumMod val="50000"/>
                  <a:lumOff val="50000"/>
                </a:schemeClr>
              </a:solidFill>
            </a:rPr>
            <a:t>7</a:t>
          </a:r>
        </a:p>
      </xdr:txBody>
    </xdr:sp>
    <xdr:clientData/>
  </xdr:twoCellAnchor>
  <xdr:twoCellAnchor>
    <xdr:from>
      <xdr:col>13</xdr:col>
      <xdr:colOff>542925</xdr:colOff>
      <xdr:row>33</xdr:row>
      <xdr:rowOff>0</xdr:rowOff>
    </xdr:from>
    <xdr:to>
      <xdr:col>14</xdr:col>
      <xdr:colOff>542925</xdr:colOff>
      <xdr:row>34</xdr:row>
      <xdr:rowOff>0</xdr:rowOff>
    </xdr:to>
    <xdr:sp macro="" textlink="">
      <xdr:nvSpPr>
        <xdr:cNvPr id="2920" name="TOTAL_19_PRESENTS"/>
        <xdr:cNvSpPr/>
      </xdr:nvSpPr>
      <xdr:spPr>
        <a:xfrm>
          <a:off x="14697075" y="6162675"/>
          <a:ext cx="1085850" cy="190500"/>
        </a:xfrm>
        <a:prstGeom prst="rect">
          <a:avLst/>
        </a:prstGeom>
        <a:solidFill>
          <a:schemeClr val="bg1">
            <a:lumMod val="95000"/>
          </a:schemeClr>
        </a:solidFill>
        <a:ln w="952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solidFill>
                <a:schemeClr val="tx1">
                  <a:lumMod val="50000"/>
                  <a:lumOff val="50000"/>
                </a:schemeClr>
              </a:solidFill>
            </a:rPr>
            <a:t>4</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47625</xdr:colOff>
      <xdr:row>0</xdr:row>
      <xdr:rowOff>38100</xdr:rowOff>
    </xdr:from>
    <xdr:to>
      <xdr:col>1</xdr:col>
      <xdr:colOff>113625</xdr:colOff>
      <xdr:row>0</xdr:row>
      <xdr:rowOff>342900</xdr:rowOff>
    </xdr:to>
    <xdr:sp macro="" textlink="">
      <xdr:nvSpPr>
        <xdr:cNvPr id="2" name="Rectangle 1">
          <a:hlinkClick xmlns:r="http://schemas.openxmlformats.org/officeDocument/2006/relationships" r:id="rId1"/>
        </xdr:cNvPr>
        <xdr:cNvSpPr/>
      </xdr:nvSpPr>
      <xdr:spPr>
        <a:xfrm>
          <a:off x="47625" y="38100"/>
          <a:ext cx="828000" cy="304800"/>
        </a:xfrm>
        <a:prstGeom prst="rect">
          <a:avLst/>
        </a:prstGeom>
        <a:solidFill>
          <a:schemeClr val="accent3">
            <a:lumMod val="75000"/>
          </a:schemeClr>
        </a:solidFill>
        <a:ln w="6350">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200"/>
            <a:t>ACCUEIL</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57150</xdr:colOff>
      <xdr:row>0</xdr:row>
      <xdr:rowOff>57150</xdr:rowOff>
    </xdr:from>
    <xdr:to>
      <xdr:col>1</xdr:col>
      <xdr:colOff>599400</xdr:colOff>
      <xdr:row>0</xdr:row>
      <xdr:rowOff>361950</xdr:rowOff>
    </xdr:to>
    <xdr:sp macro="" textlink="">
      <xdr:nvSpPr>
        <xdr:cNvPr id="3" name="Rectangle 2">
          <a:hlinkClick xmlns:r="http://schemas.openxmlformats.org/officeDocument/2006/relationships" r:id="rId1"/>
        </xdr:cNvPr>
        <xdr:cNvSpPr/>
      </xdr:nvSpPr>
      <xdr:spPr>
        <a:xfrm>
          <a:off x="57150" y="57150"/>
          <a:ext cx="828000" cy="304800"/>
        </a:xfrm>
        <a:prstGeom prst="rect">
          <a:avLst/>
        </a:prstGeom>
        <a:solidFill>
          <a:schemeClr val="accent3"/>
        </a:solidFill>
        <a:ln w="6350">
          <a:solidFill>
            <a:schemeClr val="accent3">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200"/>
            <a:t>ACCUEIL</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76200</xdr:colOff>
      <xdr:row>0</xdr:row>
      <xdr:rowOff>57150</xdr:rowOff>
    </xdr:from>
    <xdr:to>
      <xdr:col>1</xdr:col>
      <xdr:colOff>628650</xdr:colOff>
      <xdr:row>0</xdr:row>
      <xdr:rowOff>361950</xdr:rowOff>
    </xdr:to>
    <xdr:sp macro="" textlink="">
      <xdr:nvSpPr>
        <xdr:cNvPr id="3" name="Rectangle 2">
          <a:hlinkClick xmlns:r="http://schemas.openxmlformats.org/officeDocument/2006/relationships" r:id="rId1"/>
        </xdr:cNvPr>
        <xdr:cNvSpPr/>
      </xdr:nvSpPr>
      <xdr:spPr>
        <a:xfrm>
          <a:off x="76200" y="57150"/>
          <a:ext cx="752475" cy="304800"/>
        </a:xfrm>
        <a:prstGeom prst="rect">
          <a:avLst/>
        </a:prstGeom>
        <a:solidFill>
          <a:schemeClr val="accent3"/>
        </a:solidFill>
        <a:ln w="9525">
          <a:solidFill>
            <a:schemeClr val="accent3">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200"/>
            <a:t>Accueil</a:t>
          </a:r>
        </a:p>
      </xdr:txBody>
    </xdr:sp>
    <xdr:clientData/>
  </xdr:twoCellAnchor>
  <xdr:twoCellAnchor>
    <xdr:from>
      <xdr:col>14</xdr:col>
      <xdr:colOff>123824</xdr:colOff>
      <xdr:row>1</xdr:row>
      <xdr:rowOff>38100</xdr:rowOff>
    </xdr:from>
    <xdr:to>
      <xdr:col>15</xdr:col>
      <xdr:colOff>942974</xdr:colOff>
      <xdr:row>2</xdr:row>
      <xdr:rowOff>257175</xdr:rowOff>
    </xdr:to>
    <xdr:sp macro="[0]!initPopulations" textlink="">
      <xdr:nvSpPr>
        <xdr:cNvPr id="2" name="Rectangle 1"/>
        <xdr:cNvSpPr/>
      </xdr:nvSpPr>
      <xdr:spPr>
        <a:xfrm>
          <a:off x="12182474" y="447675"/>
          <a:ext cx="1895475" cy="314325"/>
        </a:xfrm>
        <a:prstGeom prst="rect">
          <a:avLst/>
        </a:prstGeom>
        <a:solidFill>
          <a:schemeClr val="accent2"/>
        </a:solidFill>
        <a:ln w="6350">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fr-FR" sz="1200">
              <a:solidFill>
                <a:schemeClr val="lt1"/>
              </a:solidFill>
              <a:latin typeface="+mn-lt"/>
              <a:ea typeface="+mn-ea"/>
              <a:cs typeface="+mn-cs"/>
            </a:rPr>
            <a:t>RECHARGER LES EFFECTIFS</a:t>
          </a:r>
        </a:p>
      </xdr:txBody>
    </xdr:sp>
    <xdr:clientData/>
  </xdr:twoCellAnchor>
</xdr:wsDr>
</file>

<file path=xl/tables/table1.xml><?xml version="1.0" encoding="utf-8"?>
<table xmlns="http://schemas.openxmlformats.org/spreadsheetml/2006/main" id="8" name="Tableau8" displayName="Tableau8" ref="E4:F6" totalsRowShown="0">
  <autoFilter ref="E4:F6"/>
  <tableColumns count="2">
    <tableColumn id="1" name="utilisateur"/>
    <tableColumn id="2" name="role"/>
  </tableColumns>
  <tableStyleInfo name="TableStyleMedium10" showFirstColumn="0" showLastColumn="0" showRowStripes="1" showColumnStripes="0"/>
</table>
</file>

<file path=xl/tables/table2.xml><?xml version="1.0" encoding="utf-8"?>
<table xmlns="http://schemas.openxmlformats.org/spreadsheetml/2006/main" id="7" name="Tableau58" displayName="Tableau58" ref="H4:H7" totalsRowShown="0" headerRowDxfId="229">
  <autoFilter ref="H4:H7"/>
  <tableColumns count="1">
    <tableColumn id="1" name="salles possibles"/>
  </tableColumns>
  <tableStyleInfo name="TableStyleMedium9" showFirstColumn="0" showLastColumn="0" showRowStripes="1" showColumnStripes="0"/>
</table>
</file>

<file path=xl/tables/table3.xml><?xml version="1.0" encoding="utf-8"?>
<table xmlns="http://schemas.openxmlformats.org/spreadsheetml/2006/main" id="3" name="Tableau3" displayName="Tableau3" ref="B5:P38" totalsRowShown="0" headerRowDxfId="228" tableBorderDxfId="227">
  <autoFilter ref="B5:P38"/>
  <sortState ref="B6:P38">
    <sortCondition ref="D6:D38"/>
  </sortState>
  <tableColumns count="15">
    <tableColumn id="3" name="n°agent" dataDxfId="226"/>
    <tableColumn id="14" name="numagt" dataDxfId="225">
      <calculatedColumnFormula>LEFT(Tableau3[[#This Row],[n°agent]],4)*1</calculatedColumnFormula>
    </tableColumn>
    <tableColumn id="2" name="Nom" dataDxfId="224" dataCellStyle="Normal_CAL0599"/>
    <tableColumn id="4" name="n° PMF" dataDxfId="223"/>
    <tableColumn id="5" name="contrat" dataDxfId="222" dataCellStyle="Normal_CAL0599"/>
    <tableColumn id="6" name="Date d'Entrée" dataDxfId="221"/>
    <tableColumn id="7" name="ETP" dataDxfId="220"/>
    <tableColumn id="8" name="telephone personnel" dataDxfId="219"/>
    <tableColumn id="9" name="Mail personnel " dataDxfId="218" dataCellStyle="Lien hypertexte"/>
    <tableColumn id="10" name="Date sortie" dataDxfId="217"/>
    <tableColumn id="11" name="Resp Equipe" dataDxfId="216" dataCellStyle="Normal_CAL0599"/>
    <tableColumn id="12" name="Nom Equipe" dataDxfId="215" dataCellStyle="Normal_CAL0599"/>
    <tableColumn id="13" name="Missions" dataDxfId="214"/>
    <tableColumn id="1" name="est formateur (oui si non vide)" dataDxfId="213"/>
    <tableColumn id="15" name="numagt_resp" dataDxfId="212">
      <calculatedColumnFormula>LEFT(Tableau3[[#This Row],[Resp Equipe]],4)*1</calculatedColumnFormula>
    </tableColumn>
  </tableColumns>
  <tableStyleInfo name="Personnal_Light_Gray" showFirstColumn="0" showLastColumn="0" showRowStripes="1" showColumnStripes="0"/>
</table>
</file>

<file path=xl/tables/table4.xml><?xml version="1.0" encoding="utf-8"?>
<table xmlns="http://schemas.openxmlformats.org/spreadsheetml/2006/main" id="4" name="Tableau4" displayName="Tableau4" ref="R5:T12" totalsRowShown="0" headerRowDxfId="211" dataDxfId="210">
  <autoFilter ref="R5:T12"/>
  <sortState ref="R6:T12">
    <sortCondition ref="T5"/>
  </sortState>
  <tableColumns count="3">
    <tableColumn id="1" name="numagt" dataDxfId="209"/>
    <tableColumn id="2" name="Nom" dataDxfId="208">
      <calculatedColumnFormula>VLOOKUP(Tableau4[[#This Row],[numagt]],Tableau3[[numagt]:[Nom]],2,FALSE)</calculatedColumnFormula>
    </tableColumn>
    <tableColumn id="3" name="ordre" dataDxfId="207"/>
  </tableColumns>
  <tableStyleInfo name="TableStyleMedium9"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drawing" Target="../drawings/drawing7.xml"/><Relationship Id="rId5" Type="http://schemas.openxmlformats.org/officeDocument/2006/relationships/comments" Target="../comments2.xml"/><Relationship Id="rId4"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3" Type="http://schemas.openxmlformats.org/officeDocument/2006/relationships/hyperlink" Target="mailto:natsurlenet@hotmail.com" TargetMode="External"/><Relationship Id="rId18" Type="http://schemas.openxmlformats.org/officeDocument/2006/relationships/hyperlink" Target="mailto:chantal.groetz@gmail.com" TargetMode="External"/><Relationship Id="rId26" Type="http://schemas.openxmlformats.org/officeDocument/2006/relationships/hyperlink" Target="mailto:severine.jumel53@orange.fr" TargetMode="External"/><Relationship Id="rId21" Type="http://schemas.openxmlformats.org/officeDocument/2006/relationships/hyperlink" Target="mailto:annie.dennez@laposte.net" TargetMode="External"/><Relationship Id="rId34" Type="http://schemas.openxmlformats.org/officeDocument/2006/relationships/drawing" Target="../drawings/drawing8.xml"/><Relationship Id="rId7" Type="http://schemas.openxmlformats.org/officeDocument/2006/relationships/hyperlink" Target="mailto:verofonice@gmail.com" TargetMode="External"/><Relationship Id="rId12" Type="http://schemas.openxmlformats.org/officeDocument/2006/relationships/hyperlink" Target="mailto:sportaneri@gmail.com" TargetMode="External"/><Relationship Id="rId17" Type="http://schemas.openxmlformats.org/officeDocument/2006/relationships/hyperlink" Target="mailto:garnier06000@gmail.com" TargetMode="External"/><Relationship Id="rId25" Type="http://schemas.openxmlformats.org/officeDocument/2006/relationships/hyperlink" Target="mailto:gumball1407@gmail.com" TargetMode="External"/><Relationship Id="rId33" Type="http://schemas.openxmlformats.org/officeDocument/2006/relationships/printerSettings" Target="../printerSettings/printerSettings8.bin"/><Relationship Id="rId38" Type="http://schemas.openxmlformats.org/officeDocument/2006/relationships/comments" Target="../comments3.xml"/><Relationship Id="rId2" Type="http://schemas.openxmlformats.org/officeDocument/2006/relationships/hyperlink" Target="mailto:senesi.vi@gmail.com" TargetMode="External"/><Relationship Id="rId16" Type="http://schemas.openxmlformats.org/officeDocument/2006/relationships/hyperlink" Target="mailto:lidwine.pezzoli@gmail.com" TargetMode="External"/><Relationship Id="rId20" Type="http://schemas.openxmlformats.org/officeDocument/2006/relationships/hyperlink" Target="mailto:nadine.lefevre2@9online.fr" TargetMode="External"/><Relationship Id="rId29" Type="http://schemas.openxmlformats.org/officeDocument/2006/relationships/hyperlink" Target="mailto:leocassandre@gmail.com" TargetMode="External"/><Relationship Id="rId1" Type="http://schemas.openxmlformats.org/officeDocument/2006/relationships/hyperlink" Target="mailto:janine.nelou@gmail.com" TargetMode="External"/><Relationship Id="rId6" Type="http://schemas.openxmlformats.org/officeDocument/2006/relationships/hyperlink" Target="mailto:leogene29@gmail.com" TargetMode="External"/><Relationship Id="rId11" Type="http://schemas.openxmlformats.org/officeDocument/2006/relationships/hyperlink" Target="mailto:mojan.legeard@sfr.fr" TargetMode="External"/><Relationship Id="rId24" Type="http://schemas.openxmlformats.org/officeDocument/2006/relationships/hyperlink" Target="mailto:p.lopez134@laposte.net" TargetMode="External"/><Relationship Id="rId32" Type="http://schemas.openxmlformats.org/officeDocument/2006/relationships/hyperlink" Target="mailto:rosalie.morel@gmail.com" TargetMode="External"/><Relationship Id="rId37" Type="http://schemas.openxmlformats.org/officeDocument/2006/relationships/table" Target="../tables/table4.xml"/><Relationship Id="rId5" Type="http://schemas.openxmlformats.org/officeDocument/2006/relationships/hyperlink" Target="mailto:santoinho@hotmail.fr" TargetMode="External"/><Relationship Id="rId15" Type="http://schemas.openxmlformats.org/officeDocument/2006/relationships/hyperlink" Target="mailto:natalieparaud@gmail.com" TargetMode="External"/><Relationship Id="rId23" Type="http://schemas.openxmlformats.org/officeDocument/2006/relationships/hyperlink" Target="mailto:ffoulatier@gmail.com" TargetMode="External"/><Relationship Id="rId28" Type="http://schemas.openxmlformats.org/officeDocument/2006/relationships/hyperlink" Target="mailto:sandrine.tiozzo@sfr.fr" TargetMode="External"/><Relationship Id="rId36" Type="http://schemas.openxmlformats.org/officeDocument/2006/relationships/table" Target="../tables/table3.xml"/><Relationship Id="rId10" Type="http://schemas.openxmlformats.org/officeDocument/2006/relationships/hyperlink" Target="mailto:christine.soler06@free.fr" TargetMode="External"/><Relationship Id="rId19" Type="http://schemas.openxmlformats.org/officeDocument/2006/relationships/hyperlink" Target="mailto:arlette.papot@hotmail.fr" TargetMode="External"/><Relationship Id="rId31" Type="http://schemas.openxmlformats.org/officeDocument/2006/relationships/hyperlink" Target="mailto:mpeaud1@gmail.com" TargetMode="External"/><Relationship Id="rId4" Type="http://schemas.openxmlformats.org/officeDocument/2006/relationships/hyperlink" Target="mailto:robbesylvie@yahoo.fr" TargetMode="External"/><Relationship Id="rId9" Type="http://schemas.openxmlformats.org/officeDocument/2006/relationships/hyperlink" Target="mailto:cloclo06974@gmail.com" TargetMode="External"/><Relationship Id="rId14" Type="http://schemas.openxmlformats.org/officeDocument/2006/relationships/hyperlink" Target="mailto:patricia.vives@icloud.com" TargetMode="External"/><Relationship Id="rId22" Type="http://schemas.openxmlformats.org/officeDocument/2006/relationships/hyperlink" Target="mailto:nathaliebaer5@gmail.com" TargetMode="External"/><Relationship Id="rId27" Type="http://schemas.openxmlformats.org/officeDocument/2006/relationships/hyperlink" Target="mailto:djaffalnoura@gmail.com" TargetMode="External"/><Relationship Id="rId30" Type="http://schemas.openxmlformats.org/officeDocument/2006/relationships/hyperlink" Target="mailto:sophie.rondey@orange.fr" TargetMode="External"/><Relationship Id="rId35" Type="http://schemas.openxmlformats.org/officeDocument/2006/relationships/vmlDrawing" Target="../drawings/vmlDrawing3.vml"/><Relationship Id="rId8" Type="http://schemas.openxmlformats.org/officeDocument/2006/relationships/hyperlink" Target="mailto:amelie.pottier06@gmail.com" TargetMode="External"/><Relationship Id="rId3" Type="http://schemas.openxmlformats.org/officeDocument/2006/relationships/hyperlink" Target="mailto:sciortinojc@gmail.com"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C14"/>
  <sheetViews>
    <sheetView workbookViewId="0">
      <selection activeCell="A2" sqref="A2:C9"/>
    </sheetView>
  </sheetViews>
  <sheetFormatPr baseColWidth="10" defaultRowHeight="15" x14ac:dyDescent="0.25"/>
  <sheetData>
    <row r="1" spans="1:3" x14ac:dyDescent="0.25">
      <c r="A1" s="165" t="s">
        <v>207</v>
      </c>
      <c r="B1" s="165" t="s">
        <v>216</v>
      </c>
      <c r="C1" s="165" t="s">
        <v>223</v>
      </c>
    </row>
    <row r="2" spans="1:3" x14ac:dyDescent="0.25">
      <c r="A2" s="166">
        <v>9245</v>
      </c>
      <c r="B2" s="167">
        <v>45194</v>
      </c>
      <c r="C2" s="166" t="s">
        <v>224</v>
      </c>
    </row>
    <row r="3" spans="1:3" x14ac:dyDescent="0.25">
      <c r="A3" s="166">
        <v>8302</v>
      </c>
      <c r="B3" s="167">
        <v>45194</v>
      </c>
      <c r="C3" s="166" t="s">
        <v>224</v>
      </c>
    </row>
    <row r="4" spans="1:3" x14ac:dyDescent="0.25">
      <c r="A4" s="166">
        <v>7595</v>
      </c>
      <c r="B4" s="167">
        <v>45272</v>
      </c>
      <c r="C4" s="166" t="s">
        <v>224</v>
      </c>
    </row>
    <row r="5" spans="1:3" x14ac:dyDescent="0.25">
      <c r="A5" s="3">
        <v>7841</v>
      </c>
      <c r="B5" s="15">
        <v>45272</v>
      </c>
      <c r="C5" s="3" t="s">
        <v>322</v>
      </c>
    </row>
    <row r="6" spans="1:3" x14ac:dyDescent="0.25">
      <c r="A6" s="166">
        <v>8308</v>
      </c>
      <c r="B6" s="167">
        <v>45273</v>
      </c>
      <c r="C6" s="166" t="s">
        <v>322</v>
      </c>
    </row>
    <row r="7" spans="1:3" x14ac:dyDescent="0.25">
      <c r="A7" s="166">
        <v>7826</v>
      </c>
      <c r="B7" s="167">
        <v>45274</v>
      </c>
      <c r="C7" s="166" t="s">
        <v>224</v>
      </c>
    </row>
    <row r="8" spans="1:3" x14ac:dyDescent="0.25">
      <c r="A8" s="166">
        <v>8124</v>
      </c>
      <c r="B8" s="167">
        <v>45275</v>
      </c>
      <c r="C8" s="166" t="s">
        <v>322</v>
      </c>
    </row>
    <row r="9" spans="1:3" x14ac:dyDescent="0.25">
      <c r="A9" s="3">
        <v>8302</v>
      </c>
      <c r="B9" s="15">
        <v>45272</v>
      </c>
      <c r="C9" s="3" t="s">
        <v>224</v>
      </c>
    </row>
    <row r="10" spans="1:3" x14ac:dyDescent="0.25">
      <c r="A10" s="3"/>
      <c r="B10" s="15"/>
      <c r="C10" s="3"/>
    </row>
    <row r="11" spans="1:3" x14ac:dyDescent="0.25">
      <c r="A11" s="3"/>
      <c r="B11" s="15"/>
      <c r="C11" s="3"/>
    </row>
    <row r="12" spans="1:3" x14ac:dyDescent="0.25">
      <c r="A12" s="3"/>
      <c r="B12" s="15"/>
      <c r="C12" s="3"/>
    </row>
    <row r="13" spans="1:3" x14ac:dyDescent="0.25">
      <c r="A13" s="3"/>
      <c r="B13" s="15"/>
      <c r="C13" s="3"/>
    </row>
    <row r="14" spans="1:3" x14ac:dyDescent="0.25">
      <c r="A14" s="3"/>
      <c r="B14" s="15"/>
      <c r="C14" s="3"/>
    </row>
  </sheetData>
  <sortState ref="A2:C9">
    <sortCondition ref="B1:B8"/>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ME"/>
  <dimension ref="A1:Y46"/>
  <sheetViews>
    <sheetView showGridLines="0" showRowColHeaders="0" tabSelected="1" zoomScaleNormal="100" workbookViewId="0">
      <selection sqref="A1:X1"/>
    </sheetView>
  </sheetViews>
  <sheetFormatPr baseColWidth="10" defaultRowHeight="15" x14ac:dyDescent="0.25"/>
  <sheetData>
    <row r="1" spans="1:25" ht="39.75" customHeight="1" x14ac:dyDescent="0.25">
      <c r="A1" s="239" t="s">
        <v>355</v>
      </c>
      <c r="B1" s="239"/>
      <c r="C1" s="239"/>
      <c r="D1" s="239"/>
      <c r="E1" s="239"/>
      <c r="F1" s="239"/>
      <c r="G1" s="239"/>
      <c r="H1" s="239"/>
      <c r="I1" s="239"/>
      <c r="J1" s="239"/>
      <c r="K1" s="239"/>
      <c r="L1" s="239"/>
      <c r="M1" s="239"/>
      <c r="N1" s="239"/>
      <c r="O1" s="239"/>
      <c r="P1" s="239"/>
      <c r="Q1" s="239"/>
      <c r="R1" s="239"/>
      <c r="S1" s="239"/>
      <c r="T1" s="239"/>
      <c r="U1" s="239"/>
      <c r="V1" s="239"/>
      <c r="W1" s="239"/>
      <c r="X1" s="239"/>
      <c r="Y1" s="162"/>
    </row>
    <row r="2" spans="1:25" ht="6" customHeight="1" x14ac:dyDescent="0.25">
      <c r="A2" s="243"/>
      <c r="B2" s="243"/>
      <c r="C2" s="243"/>
      <c r="D2" s="243"/>
      <c r="E2" s="243"/>
      <c r="F2" s="243"/>
      <c r="G2" s="243"/>
      <c r="H2" s="243"/>
      <c r="I2" s="243"/>
      <c r="J2" s="243"/>
      <c r="K2" s="243"/>
      <c r="L2" s="243"/>
      <c r="M2" s="243"/>
      <c r="N2" s="243"/>
      <c r="O2" s="243"/>
      <c r="P2" s="243"/>
      <c r="Q2" s="243"/>
      <c r="R2" s="243"/>
      <c r="S2" s="243"/>
      <c r="T2" s="243"/>
      <c r="U2" s="243"/>
      <c r="V2" s="243"/>
      <c r="W2" s="243"/>
      <c r="X2" s="243"/>
      <c r="Y2" s="14"/>
    </row>
    <row r="3" spans="1:25" x14ac:dyDescent="0.25">
      <c r="A3" s="243"/>
      <c r="B3" s="243"/>
      <c r="C3" s="243"/>
      <c r="D3" s="243"/>
      <c r="E3" s="243"/>
      <c r="F3" s="243"/>
      <c r="G3" s="243"/>
      <c r="H3" s="243"/>
      <c r="I3" s="243"/>
      <c r="J3" s="243"/>
      <c r="K3" s="243"/>
      <c r="L3" s="243"/>
      <c r="M3" s="243"/>
      <c r="N3" s="243"/>
      <c r="O3" s="243"/>
      <c r="P3" s="243"/>
      <c r="Q3" s="243"/>
      <c r="R3" s="243"/>
      <c r="S3" s="243"/>
      <c r="T3" s="243"/>
      <c r="U3" s="243"/>
      <c r="V3" s="243"/>
      <c r="W3" s="243"/>
      <c r="X3" s="243"/>
      <c r="Y3" s="14"/>
    </row>
    <row r="4" spans="1:25" ht="8.25" customHeight="1" x14ac:dyDescent="0.25">
      <c r="A4" s="243"/>
      <c r="B4" s="243"/>
      <c r="C4" s="243"/>
      <c r="D4" s="243"/>
      <c r="E4" s="243"/>
      <c r="F4" s="243"/>
      <c r="G4" s="243"/>
      <c r="H4" s="243"/>
      <c r="I4" s="243"/>
      <c r="J4" s="243"/>
      <c r="K4" s="243"/>
      <c r="L4" s="243"/>
      <c r="M4" s="243"/>
      <c r="N4" s="243"/>
      <c r="O4" s="243"/>
      <c r="P4" s="243"/>
      <c r="Q4" s="243"/>
      <c r="R4" s="243"/>
      <c r="S4" s="243"/>
      <c r="T4" s="243"/>
      <c r="U4" s="243"/>
      <c r="V4" s="243"/>
      <c r="W4" s="243"/>
      <c r="X4" s="243"/>
      <c r="Y4" s="14"/>
    </row>
    <row r="5" spans="1:25" ht="3.75" customHeight="1" x14ac:dyDescent="0.25">
      <c r="A5" s="244"/>
      <c r="B5" s="244"/>
      <c r="C5" s="244"/>
      <c r="D5" s="244"/>
      <c r="E5" s="244"/>
      <c r="F5" s="244"/>
      <c r="G5" s="244"/>
      <c r="H5" s="244"/>
      <c r="I5" s="244"/>
      <c r="J5" s="244"/>
      <c r="K5" s="244"/>
      <c r="L5" s="244"/>
      <c r="M5" s="244"/>
      <c r="N5" s="244"/>
      <c r="O5" s="244"/>
      <c r="P5" s="244"/>
      <c r="Q5" s="244"/>
      <c r="R5" s="244"/>
      <c r="S5" s="244"/>
      <c r="T5" s="244"/>
      <c r="U5" s="244"/>
      <c r="V5" s="244"/>
      <c r="W5" s="244"/>
      <c r="X5" s="244"/>
      <c r="Y5" s="14"/>
    </row>
    <row r="6" spans="1:25" ht="9" customHeight="1" x14ac:dyDescent="0.25">
      <c r="A6" s="245"/>
      <c r="B6" s="245"/>
      <c r="C6" s="246"/>
      <c r="D6" s="237"/>
      <c r="E6" s="237"/>
      <c r="F6" s="237"/>
      <c r="G6" s="237"/>
      <c r="H6" s="237"/>
      <c r="I6" s="237"/>
      <c r="J6" s="237"/>
      <c r="K6" s="237"/>
      <c r="L6" s="237"/>
      <c r="M6" s="237"/>
      <c r="N6" s="237"/>
      <c r="O6" s="237"/>
      <c r="P6" s="237"/>
      <c r="Q6" s="237"/>
      <c r="R6" s="237"/>
      <c r="S6" s="237"/>
      <c r="T6" s="237"/>
      <c r="U6" s="237"/>
      <c r="V6" s="237"/>
      <c r="W6" s="237"/>
      <c r="X6" s="237"/>
      <c r="Y6" s="14"/>
    </row>
    <row r="7" spans="1:25" x14ac:dyDescent="0.25">
      <c r="A7" s="247"/>
      <c r="B7" s="247"/>
      <c r="C7" s="248"/>
      <c r="D7" s="237"/>
      <c r="E7" s="237"/>
      <c r="F7" s="237"/>
      <c r="G7" s="237"/>
      <c r="H7" s="237"/>
      <c r="I7" s="237"/>
      <c r="J7" s="237"/>
      <c r="K7" s="237"/>
      <c r="L7" s="237"/>
      <c r="M7" s="237"/>
      <c r="N7" s="237"/>
      <c r="O7" s="237"/>
      <c r="P7" s="237"/>
      <c r="Q7" s="237"/>
      <c r="R7" s="237"/>
      <c r="S7" s="237"/>
      <c r="T7" s="237"/>
      <c r="U7" s="237"/>
      <c r="V7" s="237"/>
      <c r="W7" s="237"/>
      <c r="X7" s="237"/>
      <c r="Y7" s="14"/>
    </row>
    <row r="8" spans="1:25" ht="18.75" x14ac:dyDescent="0.25">
      <c r="A8" s="247"/>
      <c r="B8" s="247"/>
      <c r="C8" s="248"/>
      <c r="D8" s="237"/>
      <c r="E8" s="237"/>
      <c r="F8" s="237"/>
      <c r="G8" s="237"/>
      <c r="H8" s="237"/>
      <c r="I8" s="237"/>
      <c r="J8" s="237"/>
      <c r="K8" s="240">
        <v>45300</v>
      </c>
      <c r="L8" s="241"/>
      <c r="M8" s="241"/>
      <c r="N8" s="242"/>
      <c r="O8" s="237"/>
      <c r="P8" s="237"/>
      <c r="Q8" s="237"/>
      <c r="R8" s="237"/>
      <c r="S8" s="237"/>
      <c r="T8" s="237"/>
      <c r="U8" s="237"/>
      <c r="V8" s="237"/>
      <c r="W8" s="237"/>
      <c r="X8" s="237"/>
      <c r="Y8" s="14"/>
    </row>
    <row r="9" spans="1:25" ht="15" customHeight="1" x14ac:dyDescent="0.25">
      <c r="A9" s="247"/>
      <c r="B9" s="247"/>
      <c r="C9" s="248"/>
      <c r="D9" s="237"/>
      <c r="E9" s="237"/>
      <c r="F9" s="237" t="s">
        <v>0</v>
      </c>
      <c r="G9" s="237"/>
      <c r="H9" s="237"/>
      <c r="I9" s="237"/>
      <c r="J9" s="237"/>
      <c r="K9" s="237"/>
      <c r="L9" s="237"/>
      <c r="M9" s="237"/>
      <c r="N9" s="237"/>
      <c r="O9" s="237"/>
      <c r="P9" s="237"/>
      <c r="Q9" s="237"/>
      <c r="R9" s="237"/>
      <c r="S9" s="237"/>
      <c r="T9" s="237"/>
      <c r="U9" s="237"/>
      <c r="V9" s="237"/>
      <c r="W9" s="237"/>
      <c r="X9" s="237"/>
      <c r="Y9" s="14"/>
    </row>
    <row r="10" spans="1:25" ht="15" customHeight="1" x14ac:dyDescent="0.25">
      <c r="A10" s="247"/>
      <c r="B10" s="247"/>
      <c r="C10" s="248"/>
      <c r="D10" s="237"/>
      <c r="E10" s="237"/>
      <c r="F10" s="237"/>
      <c r="G10" s="237"/>
      <c r="H10" s="237"/>
      <c r="I10" s="237"/>
      <c r="J10" s="237"/>
      <c r="K10" s="237"/>
      <c r="L10" s="237"/>
      <c r="M10" s="237"/>
      <c r="N10" s="237"/>
      <c r="O10" s="237"/>
      <c r="P10" s="237"/>
      <c r="Q10" s="237"/>
      <c r="R10" s="237"/>
      <c r="S10" s="237"/>
      <c r="T10" s="237"/>
      <c r="U10" s="237"/>
      <c r="V10" s="237"/>
      <c r="W10" s="237"/>
      <c r="X10" s="237"/>
      <c r="Y10" s="14"/>
    </row>
    <row r="11" spans="1:25" ht="15" customHeight="1" x14ac:dyDescent="0.25">
      <c r="A11" s="247"/>
      <c r="B11" s="247"/>
      <c r="C11" s="248"/>
      <c r="D11" s="237"/>
      <c r="E11" s="237"/>
      <c r="F11" s="237"/>
      <c r="G11" s="237"/>
      <c r="H11" s="237"/>
      <c r="I11" s="237"/>
      <c r="J11" s="237"/>
      <c r="K11" s="237"/>
      <c r="L11" s="237"/>
      <c r="M11" s="237"/>
      <c r="N11" s="237"/>
      <c r="O11" s="237"/>
      <c r="P11" s="237"/>
      <c r="Q11" s="237"/>
      <c r="R11" s="237"/>
      <c r="S11" s="237"/>
      <c r="T11" s="237"/>
      <c r="U11" s="237"/>
      <c r="V11" s="237"/>
      <c r="W11" s="237"/>
      <c r="X11" s="237"/>
      <c r="Y11" s="14"/>
    </row>
    <row r="12" spans="1:25" ht="15" customHeight="1" x14ac:dyDescent="0.25">
      <c r="A12" s="247"/>
      <c r="B12" s="247"/>
      <c r="C12" s="248"/>
      <c r="D12" s="237"/>
      <c r="E12" s="237"/>
      <c r="F12" s="237"/>
      <c r="G12" s="237"/>
      <c r="H12" s="237"/>
      <c r="I12" s="237"/>
      <c r="J12" s="237"/>
      <c r="K12" s="237"/>
      <c r="L12" s="237"/>
      <c r="M12" s="237"/>
      <c r="N12" s="237"/>
      <c r="O12" s="237"/>
      <c r="P12" s="237"/>
      <c r="Q12" s="237"/>
      <c r="R12" s="237"/>
      <c r="S12" s="237"/>
      <c r="T12" s="237"/>
      <c r="U12" s="237"/>
      <c r="V12" s="237"/>
      <c r="W12" s="237"/>
      <c r="X12" s="237"/>
      <c r="Y12" s="14"/>
    </row>
    <row r="13" spans="1:25" ht="15" customHeight="1" x14ac:dyDescent="0.25">
      <c r="A13" s="247"/>
      <c r="B13" s="247"/>
      <c r="C13" s="248"/>
      <c r="D13" s="237"/>
      <c r="E13" s="237"/>
      <c r="F13" s="237"/>
      <c r="G13" s="237"/>
      <c r="H13" s="237"/>
      <c r="I13" s="237"/>
      <c r="J13" s="237"/>
      <c r="K13" s="237"/>
      <c r="L13" s="237"/>
      <c r="M13" s="237"/>
      <c r="N13" s="237"/>
      <c r="O13" s="237"/>
      <c r="P13" s="237"/>
      <c r="Q13" s="237"/>
      <c r="R13" s="237"/>
      <c r="S13" s="237"/>
      <c r="T13" s="237"/>
      <c r="U13" s="237"/>
      <c r="V13" s="237"/>
      <c r="W13" s="237"/>
      <c r="X13" s="237"/>
      <c r="Y13" s="14"/>
    </row>
    <row r="14" spans="1:25" ht="15" customHeight="1" x14ac:dyDescent="0.25">
      <c r="A14" s="247"/>
      <c r="B14" s="247"/>
      <c r="C14" s="248"/>
      <c r="D14" s="237"/>
      <c r="E14" s="237"/>
      <c r="F14" s="237"/>
      <c r="G14" s="237"/>
      <c r="H14" s="237"/>
      <c r="I14" s="237"/>
      <c r="J14" s="237"/>
      <c r="K14" s="237"/>
      <c r="L14" s="237"/>
      <c r="M14" s="237"/>
      <c r="N14" s="237"/>
      <c r="O14" s="237"/>
      <c r="P14" s="237"/>
      <c r="Q14" s="237"/>
      <c r="R14" s="237"/>
      <c r="S14" s="237"/>
      <c r="T14" s="237"/>
      <c r="U14" s="237"/>
      <c r="V14" s="237"/>
      <c r="W14" s="237"/>
      <c r="X14" s="237"/>
      <c r="Y14" s="14"/>
    </row>
    <row r="15" spans="1:25" ht="15" customHeight="1" x14ac:dyDescent="0.25">
      <c r="A15" s="247"/>
      <c r="B15" s="247"/>
      <c r="C15" s="248"/>
      <c r="D15" s="237"/>
      <c r="E15" s="237"/>
      <c r="F15" s="237"/>
      <c r="G15" s="237"/>
      <c r="H15" s="237"/>
      <c r="I15" s="237"/>
      <c r="J15" s="237"/>
      <c r="K15" s="237"/>
      <c r="L15" s="237"/>
      <c r="M15" s="237"/>
      <c r="N15" s="237"/>
      <c r="O15" s="237"/>
      <c r="P15" s="237"/>
      <c r="Q15" s="237"/>
      <c r="R15" s="237"/>
      <c r="S15" s="237"/>
      <c r="T15" s="237"/>
      <c r="U15" s="237"/>
      <c r="V15" s="237"/>
      <c r="W15" s="237"/>
      <c r="X15" s="237"/>
      <c r="Y15" s="14"/>
    </row>
    <row r="16" spans="1:25" x14ac:dyDescent="0.25">
      <c r="A16" s="247"/>
      <c r="B16" s="247"/>
      <c r="C16" s="248"/>
      <c r="D16" s="237"/>
      <c r="E16" s="237"/>
      <c r="F16" s="237"/>
      <c r="G16" s="237"/>
      <c r="H16" s="237"/>
      <c r="I16" s="237"/>
      <c r="J16" s="237"/>
      <c r="K16" s="237"/>
      <c r="L16" s="237"/>
      <c r="M16" s="237"/>
      <c r="N16" s="237"/>
      <c r="O16" s="237"/>
      <c r="P16" s="237"/>
      <c r="Q16" s="237"/>
      <c r="R16" s="237"/>
      <c r="S16" s="237"/>
      <c r="T16" s="237"/>
      <c r="U16" s="237"/>
      <c r="V16" s="237"/>
      <c r="W16" s="237"/>
      <c r="X16" s="237"/>
      <c r="Y16" s="14"/>
    </row>
    <row r="17" spans="1:25" ht="15" customHeight="1" x14ac:dyDescent="0.25">
      <c r="A17" s="247"/>
      <c r="B17" s="247"/>
      <c r="C17" s="248"/>
      <c r="D17" s="238"/>
      <c r="E17" s="237"/>
      <c r="F17" s="237"/>
      <c r="G17" s="237"/>
      <c r="H17" s="237"/>
      <c r="I17" s="237"/>
      <c r="J17" s="237"/>
      <c r="K17" s="237"/>
      <c r="L17" s="237"/>
      <c r="M17" s="237"/>
      <c r="N17" s="237"/>
      <c r="O17" s="237"/>
      <c r="P17" s="237"/>
      <c r="Q17" s="237"/>
      <c r="R17" s="237"/>
      <c r="S17" s="237"/>
      <c r="T17" s="237"/>
      <c r="U17" s="237"/>
      <c r="V17" s="237"/>
      <c r="W17" s="237"/>
      <c r="X17" s="237"/>
      <c r="Y17" s="14"/>
    </row>
    <row r="18" spans="1:25" ht="15" customHeight="1" x14ac:dyDescent="0.25">
      <c r="A18" s="247"/>
      <c r="B18" s="247"/>
      <c r="C18" s="248"/>
      <c r="D18" s="237"/>
      <c r="E18" s="237"/>
      <c r="F18" s="237"/>
      <c r="G18" s="237"/>
      <c r="H18" s="237"/>
      <c r="I18" s="237"/>
      <c r="J18" s="237"/>
      <c r="K18" s="237"/>
      <c r="L18" s="237"/>
      <c r="M18" s="237"/>
      <c r="N18" s="237"/>
      <c r="O18" s="237"/>
      <c r="P18" s="237"/>
      <c r="Q18" s="237"/>
      <c r="R18" s="237"/>
      <c r="S18" s="237"/>
      <c r="T18" s="237"/>
      <c r="U18" s="237"/>
      <c r="V18" s="237"/>
      <c r="W18" s="237"/>
      <c r="X18" s="237"/>
      <c r="Y18" s="14"/>
    </row>
    <row r="19" spans="1:25" ht="15" customHeight="1" x14ac:dyDescent="0.25">
      <c r="A19" s="247"/>
      <c r="B19" s="247"/>
      <c r="C19" s="248"/>
      <c r="D19" s="237"/>
      <c r="E19" s="237"/>
      <c r="F19" s="237"/>
      <c r="G19" s="237"/>
      <c r="H19" s="237"/>
      <c r="I19" s="237"/>
      <c r="J19" s="237"/>
      <c r="K19" s="237"/>
      <c r="L19" s="237"/>
      <c r="M19" s="237"/>
      <c r="N19" s="237"/>
      <c r="O19" s="237"/>
      <c r="P19" s="237"/>
      <c r="Q19" s="237"/>
      <c r="R19" s="237"/>
      <c r="S19" s="237"/>
      <c r="T19" s="237"/>
      <c r="U19" s="237"/>
      <c r="V19" s="237"/>
      <c r="W19" s="237"/>
      <c r="X19" s="237"/>
      <c r="Y19" s="14"/>
    </row>
    <row r="20" spans="1:25" ht="15" customHeight="1" x14ac:dyDescent="0.25">
      <c r="A20" s="247"/>
      <c r="B20" s="247"/>
      <c r="C20" s="248"/>
      <c r="D20" s="237"/>
      <c r="E20" s="237"/>
      <c r="F20" s="237"/>
      <c r="G20" s="237"/>
      <c r="H20" s="237"/>
      <c r="I20" s="237"/>
      <c r="J20" s="237"/>
      <c r="K20" s="237"/>
      <c r="L20" s="237"/>
      <c r="M20" s="237"/>
      <c r="N20" s="237"/>
      <c r="O20" s="237"/>
      <c r="P20" s="237"/>
      <c r="Q20" s="237"/>
      <c r="R20" s="237"/>
      <c r="S20" s="237"/>
      <c r="T20" s="237"/>
      <c r="U20" s="237"/>
      <c r="V20" s="237"/>
      <c r="W20" s="237"/>
      <c r="X20" s="237"/>
      <c r="Y20" s="14"/>
    </row>
    <row r="21" spans="1:25" ht="15" customHeight="1" x14ac:dyDescent="0.25">
      <c r="A21" s="247"/>
      <c r="B21" s="247"/>
      <c r="C21" s="248"/>
      <c r="D21" s="237"/>
      <c r="E21" s="237"/>
      <c r="F21" s="237"/>
      <c r="G21" s="237"/>
      <c r="H21" s="237"/>
      <c r="I21" s="237"/>
      <c r="J21" s="237"/>
      <c r="K21" s="237"/>
      <c r="L21" s="237"/>
      <c r="M21" s="237"/>
      <c r="N21" s="237"/>
      <c r="O21" s="237"/>
      <c r="P21" s="237"/>
      <c r="Q21" s="237"/>
      <c r="R21" s="237"/>
      <c r="S21" s="237"/>
      <c r="T21" s="237"/>
      <c r="U21" s="237"/>
      <c r="V21" s="237"/>
      <c r="W21" s="237"/>
      <c r="X21" s="237"/>
      <c r="Y21" s="14"/>
    </row>
    <row r="22" spans="1:25" ht="15" customHeight="1" x14ac:dyDescent="0.25">
      <c r="A22" s="247"/>
      <c r="B22" s="247"/>
      <c r="C22" s="248"/>
      <c r="D22" s="237"/>
      <c r="E22" s="237"/>
      <c r="F22" s="237"/>
      <c r="G22" s="237"/>
      <c r="H22" s="237"/>
      <c r="I22" s="237"/>
      <c r="J22" s="237"/>
      <c r="K22" s="237"/>
      <c r="L22" s="237"/>
      <c r="M22" s="237"/>
      <c r="N22" s="237"/>
      <c r="O22" s="237"/>
      <c r="P22" s="237"/>
      <c r="Q22" s="237"/>
      <c r="R22" s="237"/>
      <c r="S22" s="237"/>
      <c r="T22" s="237"/>
      <c r="U22" s="237"/>
      <c r="V22" s="237"/>
      <c r="W22" s="237"/>
      <c r="X22" s="237"/>
      <c r="Y22" s="14"/>
    </row>
    <row r="23" spans="1:25" x14ac:dyDescent="0.25">
      <c r="A23" s="247"/>
      <c r="B23" s="247"/>
      <c r="C23" s="248"/>
      <c r="D23" s="237"/>
      <c r="E23" s="237"/>
      <c r="F23" s="237"/>
      <c r="G23" s="237"/>
      <c r="H23" s="237"/>
      <c r="I23" s="237"/>
      <c r="J23" s="237"/>
      <c r="K23" s="237"/>
      <c r="L23" s="237"/>
      <c r="M23" s="237"/>
      <c r="N23" s="237"/>
      <c r="O23" s="237"/>
      <c r="P23" s="237"/>
      <c r="Q23" s="237"/>
      <c r="R23" s="237"/>
      <c r="S23" s="237"/>
      <c r="T23" s="237"/>
      <c r="U23" s="237"/>
      <c r="V23" s="237"/>
      <c r="W23" s="237"/>
      <c r="X23" s="237"/>
      <c r="Y23" s="14"/>
    </row>
    <row r="24" spans="1:25" ht="18.75" customHeight="1" x14ac:dyDescent="0.25">
      <c r="A24" s="247"/>
      <c r="B24" s="247"/>
      <c r="C24" s="248"/>
      <c r="D24" s="237"/>
      <c r="E24" s="237"/>
      <c r="F24" s="237"/>
      <c r="G24" s="237"/>
      <c r="H24" s="237"/>
      <c r="I24" s="237"/>
      <c r="J24" s="237"/>
      <c r="K24" s="237"/>
      <c r="L24" s="237"/>
      <c r="M24" s="237"/>
      <c r="N24" s="237"/>
      <c r="O24" s="237"/>
      <c r="P24" s="237"/>
      <c r="Q24" s="237"/>
      <c r="R24" s="237"/>
      <c r="S24" s="237"/>
      <c r="T24" s="237"/>
      <c r="U24" s="237"/>
      <c r="V24" s="237"/>
      <c r="W24" s="237"/>
      <c r="X24" s="237"/>
      <c r="Y24" s="14"/>
    </row>
    <row r="25" spans="1:25" ht="21" customHeight="1" x14ac:dyDescent="0.25">
      <c r="A25" s="247"/>
      <c r="B25" s="247"/>
      <c r="C25" s="248"/>
      <c r="D25" s="237"/>
      <c r="E25" s="237"/>
      <c r="F25" s="237"/>
      <c r="G25" s="237"/>
      <c r="H25" s="237"/>
      <c r="I25" s="237"/>
      <c r="J25" s="237"/>
      <c r="K25" s="237"/>
      <c r="L25" s="237"/>
      <c r="M25" s="237"/>
      <c r="N25" s="237"/>
      <c r="O25" s="237"/>
      <c r="P25" s="237"/>
      <c r="Q25" s="237"/>
      <c r="R25" s="237"/>
      <c r="S25" s="237"/>
      <c r="T25" s="237"/>
      <c r="U25" s="237"/>
      <c r="V25" s="237"/>
      <c r="W25" s="237"/>
      <c r="X25" s="237"/>
      <c r="Y25" s="14"/>
    </row>
    <row r="26" spans="1:25" ht="18.75" customHeight="1" x14ac:dyDescent="0.25">
      <c r="A26" s="247"/>
      <c r="B26" s="247"/>
      <c r="C26" s="248"/>
      <c r="D26" s="237"/>
      <c r="E26" s="237"/>
      <c r="F26" s="237"/>
      <c r="G26" s="237"/>
      <c r="H26" s="237"/>
      <c r="I26" s="237"/>
      <c r="J26" s="237"/>
      <c r="K26" s="237"/>
      <c r="L26" s="237"/>
      <c r="M26" s="237"/>
      <c r="N26" s="237"/>
      <c r="O26" s="237"/>
      <c r="P26" s="237"/>
      <c r="Q26" s="237"/>
      <c r="R26" s="237"/>
      <c r="S26" s="237"/>
      <c r="T26" s="237"/>
      <c r="U26" s="237"/>
      <c r="V26" s="237"/>
      <c r="W26" s="237"/>
      <c r="X26" s="237"/>
      <c r="Y26" s="14"/>
    </row>
    <row r="27" spans="1:25" ht="18.75" customHeight="1" x14ac:dyDescent="0.25">
      <c r="A27" s="247"/>
      <c r="B27" s="247"/>
      <c r="C27" s="248"/>
      <c r="D27" s="237"/>
      <c r="E27" s="237"/>
      <c r="F27" s="237"/>
      <c r="G27" s="237"/>
      <c r="H27" s="237"/>
      <c r="I27" s="237"/>
      <c r="J27" s="237"/>
      <c r="K27" s="237"/>
      <c r="L27" s="237"/>
      <c r="M27" s="237"/>
      <c r="N27" s="237"/>
      <c r="O27" s="237"/>
      <c r="P27" s="237"/>
      <c r="Q27" s="237"/>
      <c r="R27" s="237"/>
      <c r="S27" s="237"/>
      <c r="T27" s="237"/>
      <c r="U27" s="237"/>
      <c r="V27" s="237"/>
      <c r="W27" s="237"/>
      <c r="X27" s="237"/>
      <c r="Y27" s="14"/>
    </row>
    <row r="28" spans="1:25" ht="18.75" customHeight="1" x14ac:dyDescent="0.25">
      <c r="A28" s="247"/>
      <c r="B28" s="247"/>
      <c r="C28" s="248"/>
      <c r="D28" s="237"/>
      <c r="E28" s="237"/>
      <c r="F28" s="237"/>
      <c r="G28" s="237"/>
      <c r="H28" s="237"/>
      <c r="I28" s="237"/>
      <c r="J28" s="237"/>
      <c r="K28" s="237"/>
      <c r="L28" s="237"/>
      <c r="M28" s="237"/>
      <c r="N28" s="237"/>
      <c r="O28" s="237"/>
      <c r="P28" s="237"/>
      <c r="Q28" s="237"/>
      <c r="R28" s="237"/>
      <c r="S28" s="237"/>
      <c r="T28" s="237"/>
      <c r="U28" s="237"/>
      <c r="V28" s="237"/>
      <c r="W28" s="237"/>
      <c r="X28" s="237"/>
      <c r="Y28" s="14"/>
    </row>
    <row r="29" spans="1:25" ht="15" customHeight="1" x14ac:dyDescent="0.25">
      <c r="A29" s="247"/>
      <c r="B29" s="247"/>
      <c r="C29" s="248"/>
      <c r="D29" s="237"/>
      <c r="E29" s="237"/>
      <c r="F29" s="237"/>
      <c r="G29" s="237"/>
      <c r="H29" s="237"/>
      <c r="I29" s="237"/>
      <c r="J29" s="237"/>
      <c r="K29" s="237"/>
      <c r="L29" s="237"/>
      <c r="M29" s="237"/>
      <c r="N29" s="237"/>
      <c r="O29" s="237"/>
      <c r="P29" s="237"/>
      <c r="Q29" s="237"/>
      <c r="R29" s="237"/>
      <c r="S29" s="237"/>
      <c r="T29" s="237"/>
      <c r="U29" s="237"/>
      <c r="V29" s="237"/>
      <c r="W29" s="237"/>
      <c r="X29" s="237"/>
      <c r="Y29" s="14"/>
    </row>
    <row r="30" spans="1:25" x14ac:dyDescent="0.25">
      <c r="A30" s="247"/>
      <c r="B30" s="247"/>
      <c r="C30" s="248"/>
      <c r="D30" s="237"/>
      <c r="E30" s="237"/>
      <c r="F30" s="237"/>
      <c r="G30" s="237"/>
      <c r="H30" s="237"/>
      <c r="I30" s="237"/>
      <c r="J30" s="237"/>
      <c r="K30" s="237"/>
      <c r="L30" s="237"/>
      <c r="M30" s="237"/>
      <c r="N30" s="237"/>
      <c r="O30" s="237"/>
      <c r="P30" s="237"/>
      <c r="Q30" s="237"/>
      <c r="R30" s="237"/>
      <c r="S30" s="237"/>
      <c r="T30" s="237"/>
      <c r="U30" s="237"/>
      <c r="V30" s="237"/>
      <c r="W30" s="237"/>
      <c r="X30" s="237"/>
      <c r="Y30" s="14"/>
    </row>
    <row r="31" spans="1:25" ht="15" customHeight="1" x14ac:dyDescent="0.25">
      <c r="A31" s="247"/>
      <c r="B31" s="247"/>
      <c r="C31" s="248"/>
      <c r="D31" s="237"/>
      <c r="E31" s="237"/>
      <c r="F31" s="237"/>
      <c r="G31" s="237"/>
      <c r="H31" s="237"/>
      <c r="I31" s="237"/>
      <c r="J31" s="237"/>
      <c r="K31" s="237"/>
      <c r="L31" s="237"/>
      <c r="M31" s="237"/>
      <c r="N31" s="237"/>
      <c r="O31" s="237"/>
      <c r="P31" s="237"/>
      <c r="Q31" s="237"/>
      <c r="R31" s="237"/>
      <c r="S31" s="237"/>
      <c r="T31" s="237"/>
      <c r="U31" s="237"/>
      <c r="V31" s="237"/>
      <c r="W31" s="237"/>
      <c r="X31" s="237"/>
      <c r="Y31" s="14"/>
    </row>
    <row r="32" spans="1:25" ht="15" customHeight="1" x14ac:dyDescent="0.25">
      <c r="A32" s="247"/>
      <c r="B32" s="247"/>
      <c r="C32" s="248"/>
      <c r="D32" s="237"/>
      <c r="E32" s="237"/>
      <c r="F32" s="237"/>
      <c r="G32" s="237"/>
      <c r="H32" s="237"/>
      <c r="I32" s="237"/>
      <c r="J32" s="237"/>
      <c r="K32" s="237"/>
      <c r="L32" s="237"/>
      <c r="M32" s="237"/>
      <c r="N32" s="237"/>
      <c r="O32" s="237"/>
      <c r="P32" s="237"/>
      <c r="Q32" s="237"/>
      <c r="R32" s="237"/>
      <c r="S32" s="237"/>
      <c r="T32" s="237"/>
      <c r="U32" s="237"/>
      <c r="V32" s="237"/>
      <c r="W32" s="237"/>
      <c r="X32" s="237"/>
      <c r="Y32" s="14"/>
    </row>
    <row r="33" spans="1:25" ht="15" customHeight="1" x14ac:dyDescent="0.25">
      <c r="A33" s="247"/>
      <c r="B33" s="247"/>
      <c r="C33" s="248"/>
      <c r="D33" s="237"/>
      <c r="E33" s="237"/>
      <c r="F33" s="237"/>
      <c r="G33" s="237"/>
      <c r="H33" s="237"/>
      <c r="I33" s="237"/>
      <c r="J33" s="237"/>
      <c r="K33" s="237"/>
      <c r="L33" s="237"/>
      <c r="M33" s="237"/>
      <c r="N33" s="237"/>
      <c r="O33" s="237"/>
      <c r="P33" s="237"/>
      <c r="Q33" s="237"/>
      <c r="R33" s="237"/>
      <c r="S33" s="237"/>
      <c r="T33" s="237"/>
      <c r="U33" s="237"/>
      <c r="V33" s="237"/>
      <c r="W33" s="237"/>
      <c r="X33" s="237"/>
      <c r="Y33" s="14"/>
    </row>
    <row r="34" spans="1:25" ht="15" customHeight="1" x14ac:dyDescent="0.25">
      <c r="A34" s="247"/>
      <c r="B34" s="247"/>
      <c r="C34" s="248"/>
      <c r="D34" s="237"/>
      <c r="E34" s="237"/>
      <c r="F34" s="237"/>
      <c r="G34" s="237"/>
      <c r="H34" s="237"/>
      <c r="I34" s="237"/>
      <c r="J34" s="237"/>
      <c r="K34" s="237"/>
      <c r="L34" s="237"/>
      <c r="M34" s="237"/>
      <c r="N34" s="237"/>
      <c r="O34" s="237"/>
      <c r="P34" s="237"/>
      <c r="Q34" s="237"/>
      <c r="R34" s="237"/>
      <c r="S34" s="237"/>
      <c r="T34" s="237"/>
      <c r="U34" s="237"/>
      <c r="V34" s="237"/>
      <c r="W34" s="237"/>
      <c r="X34" s="237"/>
      <c r="Y34" s="14"/>
    </row>
    <row r="35" spans="1:25" ht="15" customHeight="1" x14ac:dyDescent="0.25">
      <c r="A35" s="14"/>
      <c r="B35" s="14"/>
      <c r="C35" s="14"/>
      <c r="D35" s="14"/>
      <c r="E35" s="14"/>
      <c r="F35" s="14"/>
      <c r="G35" s="14"/>
      <c r="H35" s="14"/>
      <c r="I35" s="14"/>
      <c r="J35" s="14"/>
      <c r="K35" s="14"/>
      <c r="L35" s="14"/>
      <c r="M35" s="14"/>
      <c r="N35" s="14"/>
      <c r="O35" s="14"/>
      <c r="P35" s="14"/>
      <c r="Q35" s="14"/>
      <c r="R35" s="14"/>
      <c r="S35" s="14"/>
      <c r="T35" s="14"/>
      <c r="U35" s="14"/>
      <c r="V35" s="14"/>
      <c r="W35" s="14"/>
      <c r="X35" s="14"/>
      <c r="Y35" s="14"/>
    </row>
    <row r="36" spans="1:25" ht="15" customHeight="1" x14ac:dyDescent="0.25">
      <c r="A36" s="14"/>
      <c r="B36" s="14"/>
      <c r="C36" s="14"/>
      <c r="D36" s="14"/>
      <c r="E36" s="14"/>
      <c r="F36" s="14"/>
      <c r="G36" s="14"/>
      <c r="H36" s="14"/>
      <c r="I36" s="14"/>
      <c r="J36" s="14"/>
      <c r="K36" s="14"/>
      <c r="L36" s="14"/>
      <c r="M36" s="14"/>
      <c r="N36" s="14"/>
      <c r="O36" s="14"/>
      <c r="P36" s="14"/>
      <c r="Q36" s="14"/>
      <c r="R36" s="14"/>
      <c r="S36" s="14"/>
      <c r="T36" s="14"/>
      <c r="U36" s="14"/>
      <c r="V36" s="14"/>
      <c r="W36" s="14"/>
      <c r="X36" s="14"/>
      <c r="Y36" s="14"/>
    </row>
    <row r="37" spans="1:25" ht="15" customHeight="1" x14ac:dyDescent="0.25">
      <c r="A37" s="14"/>
      <c r="B37" s="14"/>
      <c r="C37" s="14"/>
      <c r="D37" s="14"/>
      <c r="E37" s="14"/>
      <c r="F37" s="14"/>
      <c r="G37" s="14"/>
      <c r="H37" s="14"/>
      <c r="I37" s="14"/>
      <c r="J37" s="14"/>
      <c r="K37" s="14"/>
      <c r="L37" s="14"/>
      <c r="M37" s="14"/>
      <c r="N37" s="14"/>
      <c r="O37" s="14"/>
      <c r="P37" s="14"/>
      <c r="Q37" s="14"/>
      <c r="R37" s="14"/>
      <c r="S37" s="14"/>
      <c r="T37" s="14"/>
      <c r="U37" s="14"/>
      <c r="V37" s="14"/>
      <c r="W37" s="14"/>
      <c r="X37" s="14"/>
      <c r="Y37" s="14"/>
    </row>
    <row r="38" spans="1:25" ht="18.75" customHeight="1" x14ac:dyDescent="0.25">
      <c r="A38" s="14"/>
      <c r="B38" s="14"/>
      <c r="C38" s="14"/>
      <c r="D38" s="14"/>
      <c r="E38" s="14"/>
      <c r="F38" s="14"/>
      <c r="G38" s="14"/>
      <c r="H38" s="14"/>
      <c r="I38" s="14"/>
      <c r="J38" s="14"/>
      <c r="K38" s="14"/>
      <c r="L38" s="14"/>
      <c r="M38" s="14"/>
      <c r="N38" s="14"/>
      <c r="O38" s="14"/>
      <c r="P38" s="14"/>
      <c r="Q38" s="14"/>
      <c r="R38" s="14"/>
      <c r="S38" s="14"/>
      <c r="T38" s="14"/>
      <c r="U38" s="14"/>
      <c r="V38" s="14"/>
      <c r="W38" s="14"/>
      <c r="X38" s="14"/>
      <c r="Y38" s="14"/>
    </row>
    <row r="39" spans="1:25" ht="18.75" customHeight="1" x14ac:dyDescent="0.25">
      <c r="A39" s="14"/>
      <c r="B39" s="14"/>
      <c r="C39" s="14"/>
      <c r="D39" s="14"/>
      <c r="E39" s="14"/>
      <c r="F39" s="14"/>
      <c r="G39" s="14"/>
      <c r="H39" s="14"/>
      <c r="I39" s="14"/>
      <c r="J39" s="14"/>
      <c r="K39" s="14"/>
      <c r="L39" s="14"/>
      <c r="M39" s="14"/>
      <c r="N39" s="14"/>
      <c r="O39" s="14"/>
      <c r="P39" s="14"/>
      <c r="Q39" s="14"/>
      <c r="R39" s="14"/>
      <c r="S39" s="14"/>
      <c r="T39" s="14"/>
      <c r="U39" s="14"/>
      <c r="V39" s="14"/>
      <c r="W39" s="14"/>
      <c r="X39" s="14"/>
      <c r="Y39" s="14"/>
    </row>
    <row r="40" spans="1:25" ht="15" customHeight="1" x14ac:dyDescent="0.25">
      <c r="A40" s="14"/>
      <c r="B40" s="14"/>
      <c r="C40" s="14"/>
      <c r="D40" s="14"/>
      <c r="E40" s="14"/>
      <c r="F40" s="14"/>
      <c r="G40" s="14"/>
      <c r="H40" s="14"/>
      <c r="I40" s="14"/>
      <c r="J40" s="14"/>
      <c r="K40" s="14"/>
      <c r="L40" s="14"/>
      <c r="M40" s="14"/>
      <c r="N40" s="14"/>
      <c r="O40" s="14"/>
      <c r="P40" s="14"/>
      <c r="Q40" s="14"/>
      <c r="R40" s="14"/>
      <c r="S40" s="14"/>
      <c r="T40" s="14"/>
      <c r="U40" s="14"/>
      <c r="V40" s="14"/>
      <c r="W40" s="14"/>
      <c r="X40" s="14"/>
      <c r="Y40" s="14"/>
    </row>
    <row r="41" spans="1:25" ht="15" customHeight="1" x14ac:dyDescent="0.25">
      <c r="A41" s="14"/>
      <c r="B41" s="14"/>
      <c r="C41" s="14"/>
      <c r="D41" s="14"/>
      <c r="E41" s="14"/>
      <c r="F41" s="14"/>
      <c r="G41" s="14"/>
      <c r="H41" s="14"/>
      <c r="I41" s="14"/>
      <c r="J41" s="14"/>
      <c r="K41" s="14"/>
      <c r="L41" s="14"/>
      <c r="M41" s="14"/>
      <c r="N41" s="14"/>
      <c r="O41" s="14"/>
      <c r="P41" s="14"/>
      <c r="Q41" s="14"/>
      <c r="R41" s="14"/>
      <c r="S41" s="14"/>
      <c r="T41" s="14"/>
      <c r="U41" s="14"/>
      <c r="V41" s="14"/>
      <c r="W41" s="14"/>
      <c r="X41" s="14"/>
      <c r="Y41" s="14"/>
    </row>
    <row r="42" spans="1:25" ht="15" customHeight="1" x14ac:dyDescent="0.25">
      <c r="A42" s="14"/>
      <c r="B42" s="14"/>
      <c r="C42" s="14"/>
      <c r="D42" s="14"/>
      <c r="E42" s="14"/>
      <c r="F42" s="14"/>
      <c r="G42" s="14"/>
      <c r="H42" s="14"/>
      <c r="I42" s="14"/>
      <c r="J42" s="14"/>
      <c r="K42" s="14"/>
      <c r="L42" s="14"/>
      <c r="M42" s="14"/>
      <c r="N42" s="14"/>
      <c r="O42" s="14"/>
      <c r="P42" s="14"/>
      <c r="Q42" s="14"/>
      <c r="R42" s="14"/>
      <c r="S42" s="14"/>
      <c r="T42" s="14"/>
      <c r="U42" s="14"/>
      <c r="V42" s="14"/>
      <c r="W42" s="14"/>
      <c r="X42" s="14"/>
      <c r="Y42" s="14"/>
    </row>
    <row r="43" spans="1:25" ht="15" customHeight="1" x14ac:dyDescent="0.25">
      <c r="A43" s="14"/>
      <c r="B43" s="14"/>
      <c r="C43" s="14"/>
      <c r="D43" s="14"/>
      <c r="E43" s="14"/>
      <c r="F43" s="14"/>
      <c r="G43" s="14"/>
      <c r="H43" s="14"/>
      <c r="I43" s="14"/>
      <c r="J43" s="14"/>
      <c r="K43" s="14"/>
      <c r="L43" s="14"/>
      <c r="M43" s="14"/>
      <c r="N43" s="14"/>
      <c r="O43" s="14"/>
      <c r="P43" s="14"/>
      <c r="Q43" s="14"/>
      <c r="R43" s="14"/>
      <c r="S43" s="14"/>
      <c r="T43" s="14"/>
      <c r="U43" s="14"/>
      <c r="V43" s="14"/>
      <c r="W43" s="14"/>
      <c r="X43" s="14"/>
      <c r="Y43" s="14"/>
    </row>
    <row r="44" spans="1:25" x14ac:dyDescent="0.25">
      <c r="A44" s="14"/>
      <c r="B44" s="14"/>
      <c r="C44" s="14"/>
      <c r="D44" s="14"/>
      <c r="E44" s="14"/>
      <c r="F44" s="14"/>
      <c r="G44" s="14"/>
      <c r="H44" s="14"/>
      <c r="I44" s="14"/>
      <c r="J44" s="14"/>
      <c r="K44" s="14"/>
      <c r="L44" s="14"/>
      <c r="M44" s="14"/>
      <c r="N44" s="14"/>
      <c r="O44" s="14"/>
      <c r="P44" s="14"/>
      <c r="Q44" s="14"/>
      <c r="R44" s="14"/>
      <c r="S44" s="14"/>
      <c r="T44" s="14"/>
      <c r="U44" s="14"/>
      <c r="V44" s="14"/>
      <c r="W44" s="14"/>
      <c r="X44" s="14"/>
      <c r="Y44" s="14"/>
    </row>
    <row r="45" spans="1:25" x14ac:dyDescent="0.25">
      <c r="A45" s="14"/>
      <c r="B45" s="14"/>
      <c r="C45" s="14"/>
      <c r="D45" s="14"/>
      <c r="E45" s="14"/>
      <c r="F45" s="14"/>
      <c r="G45" s="14"/>
      <c r="H45" s="14"/>
      <c r="I45" s="14"/>
      <c r="J45" s="14"/>
      <c r="K45" s="14"/>
      <c r="L45" s="14"/>
      <c r="M45" s="14"/>
      <c r="N45" s="14"/>
      <c r="O45" s="14"/>
      <c r="P45" s="14"/>
      <c r="Q45" s="14"/>
      <c r="R45" s="14"/>
      <c r="S45" s="14"/>
      <c r="T45" s="14"/>
      <c r="U45" s="14"/>
      <c r="V45" s="14"/>
      <c r="W45" s="14"/>
      <c r="X45" s="14"/>
      <c r="Y45" s="14"/>
    </row>
    <row r="46" spans="1:25" x14ac:dyDescent="0.25">
      <c r="A46" s="14"/>
      <c r="B46" s="14"/>
      <c r="C46" s="14"/>
      <c r="D46" s="14"/>
      <c r="E46" s="14"/>
      <c r="F46" s="14"/>
      <c r="G46" s="14"/>
      <c r="H46" s="14"/>
      <c r="I46" s="14"/>
      <c r="J46" s="14"/>
      <c r="K46" s="14"/>
      <c r="L46" s="14"/>
      <c r="M46" s="14"/>
      <c r="N46" s="14"/>
      <c r="O46" s="14"/>
      <c r="P46" s="14"/>
      <c r="Q46" s="14"/>
      <c r="R46" s="14"/>
      <c r="S46" s="14"/>
      <c r="T46" s="14"/>
      <c r="U46" s="14"/>
      <c r="V46" s="14"/>
      <c r="W46" s="14"/>
      <c r="X46" s="14"/>
      <c r="Y46" s="14"/>
    </row>
  </sheetData>
  <customSheetViews>
    <customSheetView guid="{5863F5CF-7431-4D0A-A4E3-E0B6BDE019D1}" topLeftCell="A4">
      <selection activeCell="O20" sqref="O20"/>
      <pageMargins left="0.7" right="0.7" top="0.75" bottom="0.75" header="0.3" footer="0.3"/>
    </customSheetView>
    <customSheetView guid="{315A58E5-6659-4E22-8975-B4F24C88D2B9}" showGridLines="0">
      <selection activeCell="AM16" sqref="AM16"/>
      <pageMargins left="0.7" right="0.7" top="0.75" bottom="0.75" header="0.3" footer="0.3"/>
      <pageSetup paperSize="9" orientation="portrait" verticalDpi="0" r:id="rId1"/>
    </customSheetView>
  </customSheetViews>
  <mergeCells count="4">
    <mergeCell ref="A1:X1"/>
    <mergeCell ref="K8:N8"/>
    <mergeCell ref="A2:X5"/>
    <mergeCell ref="A6:C34"/>
  </mergeCell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CS_VUE"/>
  <dimension ref="A1:AU34"/>
  <sheetViews>
    <sheetView showGridLines="0" showRowColHeaders="0" zoomScaleNormal="100" workbookViewId="0">
      <selection activeCell="N12" sqref="N12"/>
    </sheetView>
  </sheetViews>
  <sheetFormatPr baseColWidth="10" defaultColWidth="11.42578125" defaultRowHeight="15" x14ac:dyDescent="0.25"/>
  <cols>
    <col min="1" max="1" width="3.5703125" style="16" customWidth="1"/>
    <col min="2" max="2" width="27.42578125" style="2" customWidth="1"/>
    <col min="3" max="3" width="0.140625" style="2" customWidth="1"/>
    <col min="4" max="4" width="12.42578125" style="17" customWidth="1"/>
    <col min="5" max="5" width="5" style="19" customWidth="1"/>
    <col min="6" max="6" width="5.28515625" style="16" customWidth="1"/>
    <col min="7" max="7" width="3.85546875" style="16" customWidth="1"/>
    <col min="8" max="8" width="5.5703125" style="16" customWidth="1"/>
    <col min="9" max="9" width="5.7109375" style="18" customWidth="1"/>
    <col min="10" max="10" width="0.85546875" style="48" customWidth="1"/>
    <col min="11" max="11" width="11.5703125" style="17" customWidth="1"/>
    <col min="12" max="12" width="5" style="19" customWidth="1"/>
    <col min="13" max="13" width="3.42578125" style="16" customWidth="1"/>
    <col min="14" max="14" width="3.85546875" style="16" customWidth="1"/>
    <col min="15" max="15" width="5.5703125" style="16" customWidth="1"/>
    <col min="16" max="16" width="5.7109375" style="18" customWidth="1"/>
    <col min="17" max="17" width="0.85546875" style="18" customWidth="1"/>
    <col min="18" max="18" width="11.5703125" style="17" customWidth="1"/>
    <col min="19" max="19" width="5" style="19" customWidth="1"/>
    <col min="20" max="20" width="5.28515625" style="16" customWidth="1"/>
    <col min="21" max="21" width="3.85546875" style="16" customWidth="1"/>
    <col min="22" max="22" width="5.5703125" style="16" customWidth="1"/>
    <col min="23" max="23" width="5.7109375" style="18" customWidth="1"/>
    <col min="24" max="24" width="0.85546875" style="18" customWidth="1"/>
    <col min="25" max="25" width="11.5703125" style="17" customWidth="1"/>
    <col min="26" max="26" width="5" style="19" customWidth="1"/>
    <col min="27" max="27" width="5.28515625" style="16" customWidth="1"/>
    <col min="28" max="28" width="3.85546875" style="16" customWidth="1"/>
    <col min="29" max="29" width="5.5703125" style="16" customWidth="1"/>
    <col min="30" max="30" width="5.7109375" style="18" customWidth="1"/>
    <col min="31" max="31" width="0.85546875" style="18" customWidth="1"/>
    <col min="32" max="32" width="11.5703125" style="17" customWidth="1"/>
    <col min="33" max="33" width="5" style="19" customWidth="1"/>
    <col min="34" max="34" width="5.28515625" style="16" customWidth="1"/>
    <col min="35" max="35" width="3.85546875" style="16" customWidth="1"/>
    <col min="36" max="36" width="5.5703125" style="16" customWidth="1"/>
    <col min="37" max="37" width="5.7109375" style="18" customWidth="1"/>
    <col min="38" max="38" width="0.85546875" style="18" customWidth="1"/>
    <col min="39" max="39" width="11.5703125" style="17" customWidth="1"/>
    <col min="40" max="40" width="5" style="19" customWidth="1"/>
    <col min="41" max="41" width="5.28515625" style="16" customWidth="1"/>
    <col min="42" max="42" width="3.85546875" style="16" customWidth="1"/>
    <col min="43" max="43" width="5.5703125" style="16" customWidth="1"/>
    <col min="44" max="44" width="5.7109375" style="16" customWidth="1"/>
    <col min="45" max="16384" width="11.42578125" style="16"/>
  </cols>
  <sheetData>
    <row r="1" spans="1:47" ht="35.25" customHeight="1" x14ac:dyDescent="0.25">
      <c r="A1" s="250" t="s">
        <v>215</v>
      </c>
      <c r="B1" s="250"/>
      <c r="C1" s="250"/>
      <c r="D1" s="250"/>
      <c r="E1" s="250"/>
      <c r="F1" s="250"/>
      <c r="G1" s="250"/>
      <c r="H1" s="250"/>
      <c r="I1" s="250"/>
      <c r="J1" s="250"/>
      <c r="K1" s="250"/>
      <c r="L1" s="250"/>
      <c r="M1" s="250"/>
      <c r="N1" s="250"/>
      <c r="O1" s="250"/>
      <c r="P1" s="250"/>
      <c r="Q1" s="250"/>
      <c r="R1" s="250"/>
      <c r="S1" s="250"/>
      <c r="T1" s="250"/>
      <c r="U1" s="250"/>
      <c r="V1" s="250"/>
      <c r="W1" s="250"/>
      <c r="X1" s="250"/>
      <c r="Y1" s="250"/>
      <c r="Z1" s="250"/>
      <c r="AA1" s="250"/>
      <c r="AB1" s="250"/>
      <c r="AC1" s="250"/>
      <c r="AD1" s="250"/>
      <c r="AE1" s="250"/>
      <c r="AF1" s="250"/>
      <c r="AG1" s="250"/>
      <c r="AH1" s="250"/>
      <c r="AI1" s="250"/>
      <c r="AJ1" s="250"/>
      <c r="AK1" s="250"/>
      <c r="AL1" s="250"/>
      <c r="AM1" s="250"/>
      <c r="AN1" s="250"/>
      <c r="AO1" s="250"/>
      <c r="AP1" s="250"/>
      <c r="AQ1" s="250"/>
      <c r="AR1" s="250"/>
      <c r="AS1" s="250"/>
      <c r="AT1" s="250"/>
      <c r="AU1" s="163"/>
    </row>
    <row r="2" spans="1:47" ht="3.75" customHeight="1" x14ac:dyDescent="0.25">
      <c r="B2" s="17"/>
      <c r="C2" s="17"/>
      <c r="D2" s="16"/>
      <c r="E2" s="16"/>
      <c r="G2" s="18"/>
      <c r="H2" s="17"/>
      <c r="I2" s="16"/>
      <c r="J2" s="1"/>
      <c r="K2" s="16"/>
      <c r="L2" s="16"/>
      <c r="N2" s="18"/>
      <c r="O2" s="17"/>
      <c r="P2" s="16"/>
      <c r="Q2" s="45"/>
      <c r="R2" s="16"/>
      <c r="S2" s="16"/>
      <c r="U2" s="18"/>
      <c r="V2" s="17"/>
      <c r="W2" s="16"/>
      <c r="X2" s="45"/>
      <c r="Y2" s="16"/>
      <c r="Z2" s="16"/>
      <c r="AB2" s="18"/>
      <c r="AD2" s="16"/>
      <c r="AE2" s="45"/>
      <c r="AF2" s="16"/>
      <c r="AG2" s="16"/>
      <c r="AK2" s="16"/>
      <c r="AL2" s="45"/>
      <c r="AM2" s="16"/>
      <c r="AN2" s="16"/>
    </row>
    <row r="3" spans="1:47" s="10" customFormat="1" ht="15" customHeight="1" x14ac:dyDescent="0.25">
      <c r="B3" s="9"/>
      <c r="C3" s="9"/>
      <c r="J3" s="8"/>
      <c r="R3" s="262" t="s">
        <v>202</v>
      </c>
      <c r="S3" s="262"/>
      <c r="T3" s="262"/>
      <c r="U3" s="262"/>
      <c r="V3" s="262"/>
      <c r="W3" s="262"/>
      <c r="X3" s="47"/>
    </row>
    <row r="4" spans="1:47" s="7" customFormat="1" ht="27" customHeight="1" x14ac:dyDescent="0.25">
      <c r="B4" s="6"/>
      <c r="C4" s="6"/>
      <c r="J4" s="5"/>
      <c r="R4" s="249">
        <v>45279</v>
      </c>
      <c r="S4" s="249"/>
      <c r="T4" s="249"/>
      <c r="U4" s="249"/>
      <c r="V4" s="249"/>
      <c r="W4" s="249"/>
      <c r="X4" s="65"/>
    </row>
    <row r="5" spans="1:47" ht="17.25" customHeight="1" x14ac:dyDescent="0.25"/>
    <row r="6" spans="1:47" ht="17.25" customHeight="1" x14ac:dyDescent="0.25">
      <c r="B6" s="263" t="s">
        <v>368</v>
      </c>
      <c r="D6" s="254" t="s">
        <v>61</v>
      </c>
      <c r="E6" s="255"/>
      <c r="F6" s="255"/>
      <c r="G6" s="255"/>
      <c r="H6" s="255"/>
      <c r="I6" s="256"/>
      <c r="J6" s="62"/>
      <c r="K6" s="254" t="s">
        <v>62</v>
      </c>
      <c r="L6" s="255"/>
      <c r="M6" s="255"/>
      <c r="N6" s="255"/>
      <c r="O6" s="255"/>
      <c r="P6" s="256"/>
      <c r="Q6" s="62"/>
      <c r="R6" s="257" t="s">
        <v>63</v>
      </c>
      <c r="S6" s="258"/>
      <c r="T6" s="258"/>
      <c r="U6" s="258"/>
      <c r="V6" s="258"/>
      <c r="W6" s="259"/>
      <c r="X6" s="62"/>
      <c r="Y6" s="257" t="s">
        <v>64</v>
      </c>
      <c r="Z6" s="258"/>
      <c r="AA6" s="258"/>
      <c r="AB6" s="258"/>
      <c r="AC6" s="258"/>
      <c r="AD6" s="259"/>
      <c r="AE6" s="62"/>
      <c r="AF6" s="257" t="s">
        <v>65</v>
      </c>
      <c r="AG6" s="258"/>
      <c r="AH6" s="258"/>
      <c r="AI6" s="258"/>
      <c r="AJ6" s="258"/>
      <c r="AK6" s="259"/>
      <c r="AL6" s="62"/>
      <c r="AM6" s="257" t="s">
        <v>66</v>
      </c>
      <c r="AN6" s="258"/>
      <c r="AO6" s="258"/>
      <c r="AP6" s="258"/>
      <c r="AQ6" s="258"/>
      <c r="AR6" s="259"/>
    </row>
    <row r="7" spans="1:47" s="20" customFormat="1" ht="17.25" customHeight="1" x14ac:dyDescent="0.25">
      <c r="B7" s="264"/>
      <c r="C7" s="12"/>
      <c r="D7" s="260">
        <v>45278</v>
      </c>
      <c r="E7" s="252"/>
      <c r="F7" s="252"/>
      <c r="G7" s="252"/>
      <c r="H7" s="252"/>
      <c r="I7" s="261"/>
      <c r="J7" s="63"/>
      <c r="K7" s="251">
        <v>45279</v>
      </c>
      <c r="L7" s="252"/>
      <c r="M7" s="252"/>
      <c r="N7" s="252"/>
      <c r="O7" s="252"/>
      <c r="P7" s="253"/>
      <c r="Q7" s="63"/>
      <c r="R7" s="251">
        <v>45280</v>
      </c>
      <c r="S7" s="252"/>
      <c r="T7" s="252"/>
      <c r="U7" s="252"/>
      <c r="V7" s="252"/>
      <c r="W7" s="253"/>
      <c r="X7" s="63"/>
      <c r="Y7" s="251">
        <v>45281</v>
      </c>
      <c r="Z7" s="252"/>
      <c r="AA7" s="252"/>
      <c r="AB7" s="252"/>
      <c r="AC7" s="252"/>
      <c r="AD7" s="253"/>
      <c r="AE7" s="63"/>
      <c r="AF7" s="251">
        <v>45282</v>
      </c>
      <c r="AG7" s="252"/>
      <c r="AH7" s="252"/>
      <c r="AI7" s="252"/>
      <c r="AJ7" s="252"/>
      <c r="AK7" s="253"/>
      <c r="AL7" s="63"/>
      <c r="AM7" s="251">
        <v>45283</v>
      </c>
      <c r="AN7" s="252"/>
      <c r="AO7" s="252"/>
      <c r="AP7" s="252"/>
      <c r="AQ7" s="252"/>
      <c r="AR7" s="253"/>
    </row>
    <row r="8" spans="1:47" ht="61.5" customHeight="1" x14ac:dyDescent="0.25">
      <c r="B8" s="54" t="s">
        <v>181</v>
      </c>
      <c r="C8" s="46" t="s">
        <v>207</v>
      </c>
      <c r="D8" s="55" t="s">
        <v>68</v>
      </c>
      <c r="E8" s="56" t="s">
        <v>67</v>
      </c>
      <c r="F8" s="57" t="s">
        <v>290</v>
      </c>
      <c r="G8" s="58" t="s">
        <v>217</v>
      </c>
      <c r="H8" s="59" t="s">
        <v>218</v>
      </c>
      <c r="I8" s="60" t="s">
        <v>219</v>
      </c>
      <c r="J8" s="61"/>
      <c r="K8" s="55" t="s">
        <v>68</v>
      </c>
      <c r="L8" s="56" t="s">
        <v>67</v>
      </c>
      <c r="M8" s="57" t="s">
        <v>290</v>
      </c>
      <c r="N8" s="58" t="s">
        <v>217</v>
      </c>
      <c r="O8" s="59" t="s">
        <v>218</v>
      </c>
      <c r="P8" s="60" t="s">
        <v>219</v>
      </c>
      <c r="Q8" s="61"/>
      <c r="R8" s="55" t="s">
        <v>68</v>
      </c>
      <c r="S8" s="56" t="s">
        <v>67</v>
      </c>
      <c r="T8" s="57" t="s">
        <v>290</v>
      </c>
      <c r="U8" s="58" t="s">
        <v>217</v>
      </c>
      <c r="V8" s="59" t="s">
        <v>218</v>
      </c>
      <c r="W8" s="60" t="s">
        <v>219</v>
      </c>
      <c r="X8" s="61"/>
      <c r="Y8" s="55" t="s">
        <v>68</v>
      </c>
      <c r="Z8" s="56" t="s">
        <v>67</v>
      </c>
      <c r="AA8" s="57" t="s">
        <v>290</v>
      </c>
      <c r="AB8" s="58" t="s">
        <v>217</v>
      </c>
      <c r="AC8" s="59" t="s">
        <v>218</v>
      </c>
      <c r="AD8" s="60" t="s">
        <v>219</v>
      </c>
      <c r="AE8" s="61"/>
      <c r="AF8" s="55" t="s">
        <v>68</v>
      </c>
      <c r="AG8" s="56" t="s">
        <v>67</v>
      </c>
      <c r="AH8" s="57" t="s">
        <v>290</v>
      </c>
      <c r="AI8" s="58" t="s">
        <v>217</v>
      </c>
      <c r="AJ8" s="59" t="s">
        <v>218</v>
      </c>
      <c r="AK8" s="60" t="s">
        <v>219</v>
      </c>
      <c r="AL8" s="61"/>
      <c r="AM8" s="55" t="s">
        <v>68</v>
      </c>
      <c r="AN8" s="56" t="s">
        <v>67</v>
      </c>
      <c r="AO8" s="57" t="s">
        <v>290</v>
      </c>
      <c r="AP8" s="58" t="s">
        <v>217</v>
      </c>
      <c r="AQ8" s="59" t="s">
        <v>218</v>
      </c>
      <c r="AR8" s="60" t="s">
        <v>219</v>
      </c>
    </row>
    <row r="9" spans="1:47" ht="15.95" customHeight="1" x14ac:dyDescent="0.25">
      <c r="B9" s="146" t="s">
        <v>184</v>
      </c>
      <c r="C9" s="46">
        <v>7884</v>
      </c>
      <c r="D9" s="210" t="s">
        <v>381</v>
      </c>
      <c r="E9" s="140" t="s">
        <v>382</v>
      </c>
      <c r="F9" s="141"/>
      <c r="G9" s="142"/>
      <c r="H9" s="143"/>
      <c r="I9" s="144"/>
      <c r="J9" s="145"/>
      <c r="K9" s="207" t="s">
        <v>263</v>
      </c>
      <c r="L9" s="140" t="s">
        <v>380</v>
      </c>
      <c r="M9" s="141"/>
      <c r="N9" s="142"/>
      <c r="O9" s="143"/>
      <c r="P9" s="144"/>
      <c r="Q9" s="145"/>
      <c r="R9" s="213"/>
      <c r="S9" s="140"/>
      <c r="T9" s="141"/>
      <c r="U9" s="142" t="s">
        <v>398</v>
      </c>
      <c r="V9" s="143"/>
      <c r="W9" s="144"/>
      <c r="X9" s="145"/>
      <c r="Y9" s="210" t="s">
        <v>381</v>
      </c>
      <c r="Z9" s="140" t="s">
        <v>382</v>
      </c>
      <c r="AA9" s="141"/>
      <c r="AB9" s="142" t="s">
        <v>398</v>
      </c>
      <c r="AC9" s="143"/>
      <c r="AD9" s="144"/>
      <c r="AE9" s="145"/>
      <c r="AF9" s="207" t="s">
        <v>175</v>
      </c>
      <c r="AG9" s="140" t="s">
        <v>382</v>
      </c>
      <c r="AH9" s="141"/>
      <c r="AI9" s="142"/>
      <c r="AJ9" s="143"/>
      <c r="AK9" s="144"/>
      <c r="AL9" s="145"/>
      <c r="AM9" s="209"/>
      <c r="AN9" s="140"/>
      <c r="AO9" s="141"/>
      <c r="AP9" s="142"/>
      <c r="AQ9" s="143"/>
      <c r="AR9" s="144"/>
      <c r="AS9" s="45"/>
    </row>
    <row r="10" spans="1:47" ht="15.95" customHeight="1" x14ac:dyDescent="0.25">
      <c r="B10" s="146" t="s">
        <v>190</v>
      </c>
      <c r="C10" s="46">
        <v>7595</v>
      </c>
      <c r="D10" s="211" t="s">
        <v>2</v>
      </c>
      <c r="E10" s="140"/>
      <c r="F10" s="141"/>
      <c r="G10" s="142"/>
      <c r="H10" s="143"/>
      <c r="I10" s="144"/>
      <c r="J10" s="145"/>
      <c r="K10" s="212" t="s">
        <v>2</v>
      </c>
      <c r="L10" s="140"/>
      <c r="M10" s="141"/>
      <c r="N10" s="142"/>
      <c r="O10" s="143"/>
      <c r="P10" s="144"/>
      <c r="Q10" s="145"/>
      <c r="R10" s="211" t="s">
        <v>2</v>
      </c>
      <c r="S10" s="140"/>
      <c r="T10" s="141"/>
      <c r="U10" s="142" t="s">
        <v>398</v>
      </c>
      <c r="V10" s="143"/>
      <c r="W10" s="144"/>
      <c r="X10" s="145"/>
      <c r="Y10" s="212" t="s">
        <v>2</v>
      </c>
      <c r="Z10" s="140"/>
      <c r="AA10" s="141"/>
      <c r="AB10" s="142" t="s">
        <v>398</v>
      </c>
      <c r="AC10" s="143"/>
      <c r="AD10" s="144"/>
      <c r="AE10" s="145"/>
      <c r="AF10" s="209"/>
      <c r="AG10" s="140"/>
      <c r="AH10" s="141"/>
      <c r="AI10" s="142"/>
      <c r="AJ10" s="143"/>
      <c r="AK10" s="144"/>
      <c r="AL10" s="145"/>
      <c r="AM10" s="215" t="s">
        <v>2</v>
      </c>
      <c r="AN10" s="140"/>
      <c r="AO10" s="141"/>
      <c r="AP10" s="142"/>
      <c r="AQ10" s="143"/>
      <c r="AR10" s="144"/>
      <c r="AS10" s="45"/>
    </row>
    <row r="11" spans="1:47" ht="15.95" customHeight="1" x14ac:dyDescent="0.25">
      <c r="B11" s="146" t="s">
        <v>188</v>
      </c>
      <c r="C11" s="46">
        <v>7840</v>
      </c>
      <c r="D11" s="210" t="s">
        <v>263</v>
      </c>
      <c r="E11" s="140" t="s">
        <v>380</v>
      </c>
      <c r="F11" s="141"/>
      <c r="G11" s="142"/>
      <c r="H11" s="143"/>
      <c r="I11" s="144"/>
      <c r="J11" s="145"/>
      <c r="K11" s="213"/>
      <c r="L11" s="140"/>
      <c r="M11" s="141"/>
      <c r="N11" s="142"/>
      <c r="O11" s="143"/>
      <c r="P11" s="144"/>
      <c r="Q11" s="145"/>
      <c r="R11" s="210" t="s">
        <v>268</v>
      </c>
      <c r="S11" s="140" t="s">
        <v>382</v>
      </c>
      <c r="T11" s="141"/>
      <c r="U11" s="142" t="s">
        <v>398</v>
      </c>
      <c r="V11" s="143"/>
      <c r="W11" s="144"/>
      <c r="X11" s="145"/>
      <c r="Y11" s="207" t="s">
        <v>263</v>
      </c>
      <c r="Z11" s="140" t="s">
        <v>380</v>
      </c>
      <c r="AA11" s="141"/>
      <c r="AB11" s="142"/>
      <c r="AC11" s="143"/>
      <c r="AD11" s="144"/>
      <c r="AE11" s="145"/>
      <c r="AF11" s="207" t="s">
        <v>175</v>
      </c>
      <c r="AG11" s="140" t="s">
        <v>382</v>
      </c>
      <c r="AH11" s="141"/>
      <c r="AI11" s="142"/>
      <c r="AJ11" s="143"/>
      <c r="AK11" s="144"/>
      <c r="AL11" s="145"/>
      <c r="AM11" s="210" t="s">
        <v>175</v>
      </c>
      <c r="AN11" s="140" t="s">
        <v>382</v>
      </c>
      <c r="AO11" s="141"/>
      <c r="AP11" s="142"/>
      <c r="AQ11" s="143"/>
      <c r="AR11" s="144"/>
      <c r="AS11" s="45"/>
    </row>
    <row r="12" spans="1:47" ht="15.95" customHeight="1" x14ac:dyDescent="0.25">
      <c r="B12" s="146" t="s">
        <v>200</v>
      </c>
      <c r="C12" s="46">
        <v>8308</v>
      </c>
      <c r="D12" s="210" t="s">
        <v>265</v>
      </c>
      <c r="E12" s="140" t="s">
        <v>118</v>
      </c>
      <c r="F12" s="141"/>
      <c r="G12" s="142"/>
      <c r="H12" s="143"/>
      <c r="I12" s="144"/>
      <c r="J12" s="145"/>
      <c r="K12" s="207" t="s">
        <v>264</v>
      </c>
      <c r="L12" s="140" t="s">
        <v>118</v>
      </c>
      <c r="M12" s="141"/>
      <c r="N12" s="142" t="s">
        <v>398</v>
      </c>
      <c r="O12" s="143"/>
      <c r="P12" s="144"/>
      <c r="Q12" s="145"/>
      <c r="R12" s="210" t="s">
        <v>375</v>
      </c>
      <c r="S12" s="140" t="s">
        <v>382</v>
      </c>
      <c r="T12" s="141"/>
      <c r="U12" s="142"/>
      <c r="V12" s="143"/>
      <c r="W12" s="144"/>
      <c r="X12" s="145"/>
      <c r="Y12" s="207" t="s">
        <v>376</v>
      </c>
      <c r="Z12" s="140" t="s">
        <v>382</v>
      </c>
      <c r="AA12" s="141"/>
      <c r="AB12" s="142" t="s">
        <v>398</v>
      </c>
      <c r="AC12" s="143"/>
      <c r="AD12" s="144"/>
      <c r="AE12" s="145"/>
      <c r="AF12" s="210" t="s">
        <v>175</v>
      </c>
      <c r="AG12" s="140" t="s">
        <v>382</v>
      </c>
      <c r="AH12" s="141"/>
      <c r="AI12" s="142"/>
      <c r="AJ12" s="143"/>
      <c r="AK12" s="144"/>
      <c r="AL12" s="145"/>
      <c r="AM12" s="213"/>
      <c r="AN12" s="140"/>
      <c r="AO12" s="141"/>
      <c r="AP12" s="142"/>
      <c r="AQ12" s="143"/>
      <c r="AR12" s="144"/>
      <c r="AS12" s="45"/>
    </row>
    <row r="13" spans="1:47" ht="15.95" customHeight="1" x14ac:dyDescent="0.25">
      <c r="B13" s="146" t="s">
        <v>196</v>
      </c>
      <c r="C13" s="46">
        <v>7739</v>
      </c>
      <c r="D13" s="213"/>
      <c r="E13" s="140"/>
      <c r="F13" s="141"/>
      <c r="G13" s="142"/>
      <c r="H13" s="143"/>
      <c r="I13" s="144"/>
      <c r="J13" s="145"/>
      <c r="K13" s="210" t="s">
        <v>263</v>
      </c>
      <c r="L13" s="140" t="s">
        <v>380</v>
      </c>
      <c r="M13" s="141"/>
      <c r="N13" s="142" t="s">
        <v>398</v>
      </c>
      <c r="O13" s="143"/>
      <c r="P13" s="144"/>
      <c r="Q13" s="145"/>
      <c r="R13" s="210" t="s">
        <v>263</v>
      </c>
      <c r="S13" s="140" t="s">
        <v>380</v>
      </c>
      <c r="T13" s="141"/>
      <c r="U13" s="142" t="s">
        <v>398</v>
      </c>
      <c r="V13" s="143"/>
      <c r="W13" s="144"/>
      <c r="X13" s="145"/>
      <c r="Y13" s="210" t="s">
        <v>268</v>
      </c>
      <c r="Z13" s="140" t="s">
        <v>382</v>
      </c>
      <c r="AA13" s="141"/>
      <c r="AB13" s="142" t="s">
        <v>398</v>
      </c>
      <c r="AC13" s="143"/>
      <c r="AD13" s="144"/>
      <c r="AE13" s="145"/>
      <c r="AF13" s="208" t="s">
        <v>175</v>
      </c>
      <c r="AG13" s="140" t="s">
        <v>382</v>
      </c>
      <c r="AH13" s="141"/>
      <c r="AI13" s="142"/>
      <c r="AJ13" s="143"/>
      <c r="AK13" s="144"/>
      <c r="AL13" s="145"/>
      <c r="AM13" s="210" t="s">
        <v>175</v>
      </c>
      <c r="AN13" s="140" t="s">
        <v>382</v>
      </c>
      <c r="AO13" s="141"/>
      <c r="AP13" s="142"/>
      <c r="AQ13" s="143"/>
      <c r="AR13" s="144"/>
      <c r="AS13" s="45"/>
    </row>
    <row r="14" spans="1:47" ht="15.95" customHeight="1" x14ac:dyDescent="0.25">
      <c r="B14" s="146" t="s">
        <v>198</v>
      </c>
      <c r="C14" s="46">
        <v>7589</v>
      </c>
      <c r="D14" s="214"/>
      <c r="E14" s="140"/>
      <c r="F14" s="141"/>
      <c r="G14" s="142"/>
      <c r="H14" s="143"/>
      <c r="I14" s="144"/>
      <c r="J14" s="145"/>
      <c r="K14" s="210" t="s">
        <v>173</v>
      </c>
      <c r="L14" s="140"/>
      <c r="M14" s="141"/>
      <c r="N14" s="142" t="s">
        <v>398</v>
      </c>
      <c r="O14" s="143"/>
      <c r="P14" s="144"/>
      <c r="Q14" s="145"/>
      <c r="R14" s="214"/>
      <c r="S14" s="140"/>
      <c r="T14" s="141"/>
      <c r="U14" s="142"/>
      <c r="V14" s="143"/>
      <c r="W14" s="144"/>
      <c r="X14" s="145"/>
      <c r="Y14" s="210" t="s">
        <v>393</v>
      </c>
      <c r="Z14" s="140"/>
      <c r="AA14" s="141"/>
      <c r="AB14" s="142"/>
      <c r="AC14" s="143"/>
      <c r="AD14" s="144"/>
      <c r="AE14" s="145"/>
      <c r="AF14" s="210" t="s">
        <v>175</v>
      </c>
      <c r="AG14" s="140" t="s">
        <v>382</v>
      </c>
      <c r="AH14" s="141"/>
      <c r="AI14" s="142"/>
      <c r="AJ14" s="143"/>
      <c r="AK14" s="144"/>
      <c r="AL14" s="145"/>
      <c r="AM14" s="214"/>
      <c r="AN14" s="140"/>
      <c r="AO14" s="141"/>
      <c r="AP14" s="142"/>
      <c r="AQ14" s="143"/>
      <c r="AR14" s="144"/>
      <c r="AS14" s="45"/>
    </row>
    <row r="15" spans="1:47" ht="15.95" customHeight="1" x14ac:dyDescent="0.25">
      <c r="B15" s="146" t="s">
        <v>195</v>
      </c>
      <c r="C15" s="46">
        <v>7938</v>
      </c>
      <c r="D15" s="210" t="s">
        <v>263</v>
      </c>
      <c r="E15" s="140" t="s">
        <v>380</v>
      </c>
      <c r="F15" s="141"/>
      <c r="G15" s="142"/>
      <c r="H15" s="143"/>
      <c r="I15" s="144"/>
      <c r="J15" s="145"/>
      <c r="K15" s="210" t="s">
        <v>268</v>
      </c>
      <c r="L15" s="140" t="s">
        <v>382</v>
      </c>
      <c r="M15" s="141"/>
      <c r="N15" s="142"/>
      <c r="O15" s="143"/>
      <c r="P15" s="144"/>
      <c r="Q15" s="145"/>
      <c r="R15" s="210" t="s">
        <v>268</v>
      </c>
      <c r="S15" s="140" t="s">
        <v>382</v>
      </c>
      <c r="T15" s="141"/>
      <c r="U15" s="142"/>
      <c r="V15" s="143"/>
      <c r="W15" s="144"/>
      <c r="X15" s="145"/>
      <c r="Y15" s="210" t="s">
        <v>263</v>
      </c>
      <c r="Z15" s="140" t="s">
        <v>380</v>
      </c>
      <c r="AA15" s="141"/>
      <c r="AB15" s="142" t="s">
        <v>398</v>
      </c>
      <c r="AC15" s="143"/>
      <c r="AD15" s="144"/>
      <c r="AE15" s="145"/>
      <c r="AF15" s="213"/>
      <c r="AG15" s="140"/>
      <c r="AH15" s="141"/>
      <c r="AI15" s="142"/>
      <c r="AJ15" s="143"/>
      <c r="AK15" s="144"/>
      <c r="AL15" s="145"/>
      <c r="AM15" s="210" t="s">
        <v>175</v>
      </c>
      <c r="AN15" s="140" t="s">
        <v>382</v>
      </c>
      <c r="AO15" s="141"/>
      <c r="AP15" s="142"/>
      <c r="AQ15" s="143"/>
      <c r="AR15" s="144"/>
      <c r="AS15" s="45"/>
    </row>
    <row r="16" spans="1:47" ht="15.95" customHeight="1" x14ac:dyDescent="0.25">
      <c r="B16" s="146" t="s">
        <v>189</v>
      </c>
      <c r="C16" s="46">
        <v>8302</v>
      </c>
      <c r="D16" s="210" t="s">
        <v>267</v>
      </c>
      <c r="E16" s="140" t="s">
        <v>382</v>
      </c>
      <c r="F16" s="141"/>
      <c r="G16" s="142"/>
      <c r="H16" s="143"/>
      <c r="I16" s="144"/>
      <c r="J16" s="145"/>
      <c r="K16" s="207" t="s">
        <v>267</v>
      </c>
      <c r="L16" s="140" t="s">
        <v>382</v>
      </c>
      <c r="M16" s="141"/>
      <c r="N16" s="142"/>
      <c r="O16" s="143"/>
      <c r="P16" s="144"/>
      <c r="Q16" s="145"/>
      <c r="R16" s="210" t="s">
        <v>264</v>
      </c>
      <c r="S16" s="140" t="s">
        <v>118</v>
      </c>
      <c r="T16" s="141"/>
      <c r="U16" s="142" t="s">
        <v>398</v>
      </c>
      <c r="V16" s="143"/>
      <c r="W16" s="144"/>
      <c r="X16" s="145"/>
      <c r="Y16" s="213"/>
      <c r="Z16" s="140"/>
      <c r="AA16" s="141"/>
      <c r="AB16" s="142"/>
      <c r="AC16" s="143"/>
      <c r="AD16" s="144"/>
      <c r="AE16" s="145"/>
      <c r="AF16" s="207" t="s">
        <v>175</v>
      </c>
      <c r="AG16" s="140" t="s">
        <v>382</v>
      </c>
      <c r="AH16" s="141"/>
      <c r="AI16" s="142"/>
      <c r="AJ16" s="143"/>
      <c r="AK16" s="144"/>
      <c r="AL16" s="145"/>
      <c r="AM16" s="215" t="s">
        <v>378</v>
      </c>
      <c r="AN16" s="140"/>
      <c r="AO16" s="141"/>
      <c r="AP16" s="142"/>
      <c r="AQ16" s="143"/>
      <c r="AR16" s="144"/>
      <c r="AS16" s="45"/>
    </row>
    <row r="17" spans="2:45" ht="15.95" customHeight="1" x14ac:dyDescent="0.25">
      <c r="B17" s="146" t="s">
        <v>201</v>
      </c>
      <c r="C17" s="46">
        <v>8122</v>
      </c>
      <c r="D17" s="210" t="s">
        <v>265</v>
      </c>
      <c r="E17" s="140" t="s">
        <v>118</v>
      </c>
      <c r="F17" s="141"/>
      <c r="G17" s="142"/>
      <c r="H17" s="143"/>
      <c r="I17" s="144"/>
      <c r="J17" s="145"/>
      <c r="K17" s="208" t="s">
        <v>267</v>
      </c>
      <c r="L17" s="140" t="s">
        <v>382</v>
      </c>
      <c r="M17" s="141"/>
      <c r="N17" s="142"/>
      <c r="O17" s="143"/>
      <c r="P17" s="144"/>
      <c r="Q17" s="145"/>
      <c r="R17" s="207" t="s">
        <v>264</v>
      </c>
      <c r="S17" s="140" t="s">
        <v>118</v>
      </c>
      <c r="T17" s="141"/>
      <c r="U17" s="142"/>
      <c r="V17" s="143"/>
      <c r="W17" s="144"/>
      <c r="X17" s="145"/>
      <c r="Y17" s="212" t="s">
        <v>2</v>
      </c>
      <c r="Z17" s="140"/>
      <c r="AA17" s="141"/>
      <c r="AB17" s="142"/>
      <c r="AC17" s="143"/>
      <c r="AD17" s="144"/>
      <c r="AE17" s="145"/>
      <c r="AF17" s="212" t="s">
        <v>2</v>
      </c>
      <c r="AG17" s="140"/>
      <c r="AH17" s="141"/>
      <c r="AI17" s="142"/>
      <c r="AJ17" s="143"/>
      <c r="AK17" s="144"/>
      <c r="AL17" s="145"/>
      <c r="AM17" s="213"/>
      <c r="AN17" s="140"/>
      <c r="AO17" s="141"/>
      <c r="AP17" s="142"/>
      <c r="AQ17" s="143"/>
      <c r="AR17" s="144"/>
      <c r="AS17" s="45"/>
    </row>
    <row r="18" spans="2:45" ht="15.95" customHeight="1" x14ac:dyDescent="0.25">
      <c r="B18" s="146" t="s">
        <v>191</v>
      </c>
      <c r="C18" s="46">
        <v>7973</v>
      </c>
      <c r="D18" s="213"/>
      <c r="E18" s="140"/>
      <c r="F18" s="141"/>
      <c r="G18" s="142"/>
      <c r="H18" s="143"/>
      <c r="I18" s="144"/>
      <c r="J18" s="145"/>
      <c r="K18" s="210" t="s">
        <v>263</v>
      </c>
      <c r="L18" s="140" t="s">
        <v>380</v>
      </c>
      <c r="M18" s="141"/>
      <c r="N18" s="142"/>
      <c r="O18" s="143"/>
      <c r="P18" s="144"/>
      <c r="Q18" s="145"/>
      <c r="R18" s="210" t="s">
        <v>263</v>
      </c>
      <c r="S18" s="140" t="s">
        <v>380</v>
      </c>
      <c r="T18" s="141"/>
      <c r="U18" s="142"/>
      <c r="V18" s="143"/>
      <c r="W18" s="144"/>
      <c r="X18" s="145"/>
      <c r="Y18" s="210" t="s">
        <v>268</v>
      </c>
      <c r="Z18" s="140" t="s">
        <v>382</v>
      </c>
      <c r="AA18" s="141"/>
      <c r="AB18" s="142"/>
      <c r="AC18" s="143"/>
      <c r="AD18" s="144"/>
      <c r="AE18" s="145"/>
      <c r="AF18" s="210" t="s">
        <v>175</v>
      </c>
      <c r="AG18" s="140" t="s">
        <v>382</v>
      </c>
      <c r="AH18" s="141"/>
      <c r="AI18" s="142"/>
      <c r="AJ18" s="143"/>
      <c r="AK18" s="144"/>
      <c r="AL18" s="145"/>
      <c r="AM18" s="209"/>
      <c r="AN18" s="140"/>
      <c r="AO18" s="141"/>
      <c r="AP18" s="142"/>
      <c r="AQ18" s="143"/>
      <c r="AR18" s="144"/>
      <c r="AS18" s="45"/>
    </row>
    <row r="19" spans="2:45" ht="15.95" customHeight="1" x14ac:dyDescent="0.25">
      <c r="B19" s="146" t="s">
        <v>186</v>
      </c>
      <c r="C19" s="46">
        <v>8123</v>
      </c>
      <c r="D19" s="210" t="s">
        <v>263</v>
      </c>
      <c r="E19" s="140" t="s">
        <v>380</v>
      </c>
      <c r="F19" s="141"/>
      <c r="G19" s="142"/>
      <c r="H19" s="143"/>
      <c r="I19" s="144"/>
      <c r="J19" s="145"/>
      <c r="K19" s="208" t="s">
        <v>268</v>
      </c>
      <c r="L19" s="140" t="s">
        <v>382</v>
      </c>
      <c r="M19" s="141"/>
      <c r="N19" s="142"/>
      <c r="O19" s="143"/>
      <c r="P19" s="144"/>
      <c r="Q19" s="145"/>
      <c r="R19" s="213"/>
      <c r="S19" s="140"/>
      <c r="T19" s="141"/>
      <c r="U19" s="142"/>
      <c r="V19" s="143"/>
      <c r="W19" s="144"/>
      <c r="X19" s="145"/>
      <c r="Y19" s="207" t="s">
        <v>263</v>
      </c>
      <c r="Z19" s="140" t="s">
        <v>380</v>
      </c>
      <c r="AA19" s="141"/>
      <c r="AB19" s="142"/>
      <c r="AC19" s="143"/>
      <c r="AD19" s="144"/>
      <c r="AE19" s="145"/>
      <c r="AF19" s="207" t="s">
        <v>175</v>
      </c>
      <c r="AG19" s="140" t="s">
        <v>382</v>
      </c>
      <c r="AH19" s="141"/>
      <c r="AI19" s="142"/>
      <c r="AJ19" s="143"/>
      <c r="AK19" s="144"/>
      <c r="AL19" s="145"/>
      <c r="AM19" s="210" t="s">
        <v>175</v>
      </c>
      <c r="AN19" s="140" t="s">
        <v>382</v>
      </c>
      <c r="AO19" s="141"/>
      <c r="AP19" s="142"/>
      <c r="AQ19" s="143"/>
      <c r="AR19" s="144"/>
      <c r="AS19" s="45"/>
    </row>
    <row r="20" spans="2:45" ht="15.95" customHeight="1" x14ac:dyDescent="0.25">
      <c r="B20" s="146" t="s">
        <v>197</v>
      </c>
      <c r="C20" s="46">
        <v>7590</v>
      </c>
      <c r="D20" s="216" t="s">
        <v>132</v>
      </c>
      <c r="E20" s="140"/>
      <c r="F20" s="141"/>
      <c r="G20" s="142"/>
      <c r="H20" s="143"/>
      <c r="I20" s="144"/>
      <c r="J20" s="145"/>
      <c r="K20" s="216" t="s">
        <v>132</v>
      </c>
      <c r="L20" s="140"/>
      <c r="M20" s="141"/>
      <c r="N20" s="142"/>
      <c r="O20" s="143"/>
      <c r="P20" s="144"/>
      <c r="Q20" s="145"/>
      <c r="R20" s="209"/>
      <c r="S20" s="140"/>
      <c r="T20" s="141"/>
      <c r="U20" s="142" t="s">
        <v>398</v>
      </c>
      <c r="V20" s="143"/>
      <c r="W20" s="144"/>
      <c r="X20" s="145"/>
      <c r="Y20" s="222" t="s">
        <v>2</v>
      </c>
      <c r="Z20" s="140"/>
      <c r="AA20" s="141"/>
      <c r="AB20" s="142" t="s">
        <v>398</v>
      </c>
      <c r="AC20" s="143"/>
      <c r="AD20" s="144"/>
      <c r="AE20" s="145"/>
      <c r="AF20" s="213"/>
      <c r="AG20" s="140"/>
      <c r="AH20" s="141"/>
      <c r="AI20" s="142"/>
      <c r="AJ20" s="143"/>
      <c r="AK20" s="144"/>
      <c r="AL20" s="145"/>
      <c r="AM20" s="209"/>
      <c r="AN20" s="140"/>
      <c r="AO20" s="141"/>
      <c r="AP20" s="142"/>
      <c r="AQ20" s="143"/>
      <c r="AR20" s="144"/>
      <c r="AS20" s="45"/>
    </row>
    <row r="21" spans="2:45" ht="15.95" customHeight="1" x14ac:dyDescent="0.25">
      <c r="B21" s="146" t="s">
        <v>199</v>
      </c>
      <c r="C21" s="46">
        <v>7841</v>
      </c>
      <c r="D21" s="210" t="s">
        <v>263</v>
      </c>
      <c r="E21" s="140" t="s">
        <v>380</v>
      </c>
      <c r="F21" s="141"/>
      <c r="G21" s="142"/>
      <c r="H21" s="143"/>
      <c r="I21" s="144"/>
      <c r="J21" s="145"/>
      <c r="K21" s="210" t="s">
        <v>381</v>
      </c>
      <c r="L21" s="140" t="s">
        <v>382</v>
      </c>
      <c r="M21" s="141"/>
      <c r="N21" s="142"/>
      <c r="O21" s="143"/>
      <c r="P21" s="144"/>
      <c r="Q21" s="145"/>
      <c r="R21" s="209"/>
      <c r="S21" s="140"/>
      <c r="T21" s="141"/>
      <c r="U21" s="142"/>
      <c r="V21" s="143"/>
      <c r="W21" s="144"/>
      <c r="X21" s="145"/>
      <c r="Y21" s="210" t="s">
        <v>263</v>
      </c>
      <c r="Z21" s="140" t="s">
        <v>380</v>
      </c>
      <c r="AA21" s="141"/>
      <c r="AB21" s="142"/>
      <c r="AC21" s="143"/>
      <c r="AD21" s="144"/>
      <c r="AE21" s="145"/>
      <c r="AF21" s="210" t="s">
        <v>175</v>
      </c>
      <c r="AG21" s="140" t="s">
        <v>382</v>
      </c>
      <c r="AH21" s="141"/>
      <c r="AI21" s="142"/>
      <c r="AJ21" s="143"/>
      <c r="AK21" s="144"/>
      <c r="AL21" s="145"/>
      <c r="AM21" s="215" t="s">
        <v>2</v>
      </c>
      <c r="AN21" s="140"/>
      <c r="AO21" s="141"/>
      <c r="AP21" s="142"/>
      <c r="AQ21" s="143"/>
      <c r="AR21" s="144"/>
      <c r="AS21" s="45"/>
    </row>
    <row r="22" spans="2:45" ht="15.95" customHeight="1" x14ac:dyDescent="0.25">
      <c r="B22" s="146" t="s">
        <v>177</v>
      </c>
      <c r="C22" s="46">
        <v>7935</v>
      </c>
      <c r="D22" s="210" t="s">
        <v>265</v>
      </c>
      <c r="E22" s="140" t="s">
        <v>118</v>
      </c>
      <c r="F22" s="141"/>
      <c r="G22" s="142"/>
      <c r="H22" s="143"/>
      <c r="I22" s="144"/>
      <c r="J22" s="145"/>
      <c r="K22" s="210" t="s">
        <v>267</v>
      </c>
      <c r="L22" s="140" t="s">
        <v>382</v>
      </c>
      <c r="M22" s="141"/>
      <c r="N22" s="142"/>
      <c r="O22" s="143"/>
      <c r="P22" s="144"/>
      <c r="Q22" s="145"/>
      <c r="R22" s="210" t="s">
        <v>267</v>
      </c>
      <c r="S22" s="140" t="s">
        <v>382</v>
      </c>
      <c r="T22" s="141"/>
      <c r="U22" s="142"/>
      <c r="V22" s="143"/>
      <c r="W22" s="144"/>
      <c r="X22" s="145"/>
      <c r="Y22" s="207" t="s">
        <v>264</v>
      </c>
      <c r="Z22" s="140" t="s">
        <v>118</v>
      </c>
      <c r="AA22" s="141"/>
      <c r="AB22" s="142"/>
      <c r="AC22" s="143"/>
      <c r="AD22" s="144"/>
      <c r="AE22" s="145"/>
      <c r="AF22" s="207" t="s">
        <v>175</v>
      </c>
      <c r="AG22" s="140" t="s">
        <v>382</v>
      </c>
      <c r="AH22" s="141"/>
      <c r="AI22" s="142"/>
      <c r="AJ22" s="143"/>
      <c r="AK22" s="144"/>
      <c r="AL22" s="145"/>
      <c r="AM22" s="213"/>
      <c r="AN22" s="140"/>
      <c r="AO22" s="141"/>
      <c r="AP22" s="142"/>
      <c r="AQ22" s="143"/>
      <c r="AR22" s="144"/>
      <c r="AS22" s="45"/>
    </row>
    <row r="23" spans="2:45" ht="15.95" customHeight="1" x14ac:dyDescent="0.25">
      <c r="B23" s="146" t="s">
        <v>192</v>
      </c>
      <c r="C23" s="46">
        <v>9245</v>
      </c>
      <c r="D23" s="211" t="s">
        <v>1</v>
      </c>
      <c r="E23" s="140"/>
      <c r="F23" s="141"/>
      <c r="G23" s="142"/>
      <c r="H23" s="143"/>
      <c r="I23" s="144"/>
      <c r="J23" s="145"/>
      <c r="K23" s="212" t="s">
        <v>1</v>
      </c>
      <c r="L23" s="140"/>
      <c r="M23" s="141"/>
      <c r="N23" s="142"/>
      <c r="O23" s="143"/>
      <c r="P23" s="144"/>
      <c r="Q23" s="145"/>
      <c r="R23" s="210" t="s">
        <v>264</v>
      </c>
      <c r="S23" s="140" t="s">
        <v>118</v>
      </c>
      <c r="T23" s="141"/>
      <c r="U23" s="142" t="s">
        <v>398</v>
      </c>
      <c r="V23" s="143"/>
      <c r="W23" s="144"/>
      <c r="X23" s="145"/>
      <c r="Y23" s="210" t="s">
        <v>267</v>
      </c>
      <c r="Z23" s="140" t="s">
        <v>382</v>
      </c>
      <c r="AA23" s="141"/>
      <c r="AB23" s="142" t="s">
        <v>398</v>
      </c>
      <c r="AC23" s="143"/>
      <c r="AD23" s="144"/>
      <c r="AE23" s="145"/>
      <c r="AF23" s="210" t="s">
        <v>175</v>
      </c>
      <c r="AG23" s="140" t="s">
        <v>382</v>
      </c>
      <c r="AH23" s="141"/>
      <c r="AI23" s="142"/>
      <c r="AJ23" s="143"/>
      <c r="AK23" s="144"/>
      <c r="AL23" s="145"/>
      <c r="AM23" s="214"/>
      <c r="AN23" s="140"/>
      <c r="AO23" s="141"/>
      <c r="AP23" s="142"/>
      <c r="AQ23" s="143"/>
      <c r="AR23" s="144"/>
      <c r="AS23" s="45"/>
    </row>
    <row r="24" spans="2:45" ht="15.95" customHeight="1" x14ac:dyDescent="0.25">
      <c r="B24" s="146" t="s">
        <v>176</v>
      </c>
      <c r="C24" s="46">
        <v>7890</v>
      </c>
      <c r="D24" s="212" t="s">
        <v>1</v>
      </c>
      <c r="E24" s="140"/>
      <c r="F24" s="141"/>
      <c r="G24" s="142"/>
      <c r="H24" s="143"/>
      <c r="I24" s="144"/>
      <c r="J24" s="145"/>
      <c r="K24" s="211" t="s">
        <v>1</v>
      </c>
      <c r="L24" s="140"/>
      <c r="M24" s="141"/>
      <c r="N24" s="142"/>
      <c r="O24" s="143"/>
      <c r="P24" s="144"/>
      <c r="Q24" s="145"/>
      <c r="R24" s="213"/>
      <c r="S24" s="140"/>
      <c r="T24" s="141"/>
      <c r="U24" s="142"/>
      <c r="V24" s="143"/>
      <c r="W24" s="144"/>
      <c r="X24" s="145"/>
      <c r="Y24" s="211" t="s">
        <v>1</v>
      </c>
      <c r="Z24" s="140"/>
      <c r="AA24" s="141"/>
      <c r="AB24" s="142"/>
      <c r="AC24" s="143"/>
      <c r="AD24" s="144"/>
      <c r="AE24" s="145"/>
      <c r="AF24" s="212" t="s">
        <v>1</v>
      </c>
      <c r="AG24" s="140"/>
      <c r="AH24" s="141"/>
      <c r="AI24" s="142"/>
      <c r="AJ24" s="143"/>
      <c r="AK24" s="144"/>
      <c r="AL24" s="145"/>
      <c r="AM24" s="209"/>
      <c r="AN24" s="140"/>
      <c r="AO24" s="141"/>
      <c r="AP24" s="142"/>
      <c r="AQ24" s="143"/>
      <c r="AR24" s="144"/>
      <c r="AS24" s="45"/>
    </row>
    <row r="25" spans="2:45" ht="15.95" customHeight="1" x14ac:dyDescent="0.25">
      <c r="B25" s="146" t="s">
        <v>193</v>
      </c>
      <c r="C25" s="46">
        <v>7826</v>
      </c>
      <c r="D25" s="212" t="s">
        <v>1</v>
      </c>
      <c r="E25" s="140"/>
      <c r="F25" s="141"/>
      <c r="G25" s="142"/>
      <c r="H25" s="143"/>
      <c r="I25" s="144"/>
      <c r="J25" s="145"/>
      <c r="K25" s="213"/>
      <c r="L25" s="140"/>
      <c r="M25" s="141"/>
      <c r="N25" s="142"/>
      <c r="O25" s="143"/>
      <c r="P25" s="144"/>
      <c r="Q25" s="145"/>
      <c r="R25" s="286" t="s">
        <v>1</v>
      </c>
      <c r="S25" s="140"/>
      <c r="T25" s="141"/>
      <c r="U25" s="142" t="s">
        <v>398</v>
      </c>
      <c r="V25" s="143"/>
      <c r="W25" s="144"/>
      <c r="X25" s="145"/>
      <c r="Y25" s="212" t="s">
        <v>1</v>
      </c>
      <c r="Z25" s="140"/>
      <c r="AA25" s="141"/>
      <c r="AB25" s="142"/>
      <c r="AC25" s="143"/>
      <c r="AD25" s="144"/>
      <c r="AE25" s="145"/>
      <c r="AF25" s="286" t="s">
        <v>1</v>
      </c>
      <c r="AG25" s="140"/>
      <c r="AH25" s="141"/>
      <c r="AI25" s="142"/>
      <c r="AJ25" s="143"/>
      <c r="AK25" s="144"/>
      <c r="AL25" s="145"/>
      <c r="AM25" s="215" t="s">
        <v>1</v>
      </c>
      <c r="AN25" s="140"/>
      <c r="AO25" s="141"/>
      <c r="AP25" s="142"/>
      <c r="AQ25" s="143"/>
      <c r="AR25" s="144"/>
      <c r="AS25" s="45"/>
    </row>
    <row r="26" spans="2:45" ht="15.95" customHeight="1" x14ac:dyDescent="0.25">
      <c r="B26" s="146" t="s">
        <v>178</v>
      </c>
      <c r="C26" s="46">
        <v>8306</v>
      </c>
      <c r="D26" s="213"/>
      <c r="E26" s="140"/>
      <c r="F26" s="141"/>
      <c r="G26" s="142"/>
      <c r="H26" s="143"/>
      <c r="I26" s="144"/>
      <c r="J26" s="145"/>
      <c r="K26" s="211" t="s">
        <v>1</v>
      </c>
      <c r="L26" s="140"/>
      <c r="M26" s="141"/>
      <c r="N26" s="142"/>
      <c r="O26" s="143"/>
      <c r="P26" s="144"/>
      <c r="Q26" s="145"/>
      <c r="R26" s="212" t="s">
        <v>1</v>
      </c>
      <c r="S26" s="140"/>
      <c r="T26" s="141"/>
      <c r="U26" s="142"/>
      <c r="V26" s="143"/>
      <c r="W26" s="144"/>
      <c r="X26" s="145"/>
      <c r="Y26" s="211" t="s">
        <v>1</v>
      </c>
      <c r="Z26" s="140"/>
      <c r="AA26" s="141"/>
      <c r="AB26" s="142"/>
      <c r="AC26" s="143"/>
      <c r="AD26" s="144"/>
      <c r="AE26" s="145"/>
      <c r="AF26" s="212" t="s">
        <v>1</v>
      </c>
      <c r="AG26" s="140"/>
      <c r="AH26" s="141"/>
      <c r="AI26" s="142"/>
      <c r="AJ26" s="143"/>
      <c r="AK26" s="144"/>
      <c r="AL26" s="145"/>
      <c r="AM26" s="215" t="s">
        <v>1</v>
      </c>
      <c r="AN26" s="140"/>
      <c r="AO26" s="141"/>
      <c r="AP26" s="142"/>
      <c r="AQ26" s="143"/>
      <c r="AR26" s="144"/>
      <c r="AS26" s="45"/>
    </row>
    <row r="27" spans="2:45" ht="15.95" customHeight="1" x14ac:dyDescent="0.25">
      <c r="B27" s="146" t="s">
        <v>4</v>
      </c>
      <c r="C27" s="46">
        <v>7605</v>
      </c>
      <c r="D27" s="209"/>
      <c r="E27" s="140"/>
      <c r="F27" s="141"/>
      <c r="G27" s="142"/>
      <c r="H27" s="143"/>
      <c r="I27" s="144"/>
      <c r="J27" s="145"/>
      <c r="K27" s="209"/>
      <c r="L27" s="140"/>
      <c r="M27" s="141"/>
      <c r="N27" s="142"/>
      <c r="O27" s="143"/>
      <c r="P27" s="144"/>
      <c r="Q27" s="145"/>
      <c r="R27" s="208" t="s">
        <v>270</v>
      </c>
      <c r="S27" s="140"/>
      <c r="T27" s="141"/>
      <c r="U27" s="142"/>
      <c r="V27" s="143"/>
      <c r="W27" s="144"/>
      <c r="X27" s="145"/>
      <c r="Y27" s="208" t="s">
        <v>270</v>
      </c>
      <c r="Z27" s="140"/>
      <c r="AA27" s="141"/>
      <c r="AB27" s="142"/>
      <c r="AC27" s="143"/>
      <c r="AD27" s="144"/>
      <c r="AE27" s="145"/>
      <c r="AF27" s="210" t="s">
        <v>379</v>
      </c>
      <c r="AG27" s="140"/>
      <c r="AH27" s="141"/>
      <c r="AI27" s="142"/>
      <c r="AJ27" s="143"/>
      <c r="AK27" s="144"/>
      <c r="AL27" s="145"/>
      <c r="AM27" s="209"/>
      <c r="AN27" s="140"/>
      <c r="AO27" s="141"/>
      <c r="AP27" s="142"/>
      <c r="AQ27" s="143"/>
      <c r="AR27" s="144"/>
      <c r="AS27" s="45"/>
    </row>
    <row r="28" spans="2:45" ht="15.95" customHeight="1" x14ac:dyDescent="0.25">
      <c r="B28" s="146" t="s">
        <v>183</v>
      </c>
      <c r="C28" s="46">
        <v>7820</v>
      </c>
      <c r="D28" s="212" t="s">
        <v>2</v>
      </c>
      <c r="E28" s="140"/>
      <c r="F28" s="141"/>
      <c r="G28" s="142"/>
      <c r="H28" s="143"/>
      <c r="I28" s="144"/>
      <c r="J28" s="145"/>
      <c r="K28" s="211" t="s">
        <v>2</v>
      </c>
      <c r="L28" s="140"/>
      <c r="M28" s="141"/>
      <c r="N28" s="142"/>
      <c r="O28" s="143"/>
      <c r="P28" s="144"/>
      <c r="Q28" s="145"/>
      <c r="R28" s="213"/>
      <c r="S28" s="140"/>
      <c r="T28" s="141"/>
      <c r="U28" s="142"/>
      <c r="V28" s="143"/>
      <c r="W28" s="144"/>
      <c r="X28" s="145"/>
      <c r="Y28" s="210" t="s">
        <v>264</v>
      </c>
      <c r="Z28" s="140" t="s">
        <v>118</v>
      </c>
      <c r="AA28" s="141"/>
      <c r="AB28" s="142"/>
      <c r="AC28" s="143"/>
      <c r="AD28" s="144"/>
      <c r="AE28" s="145"/>
      <c r="AF28" s="207" t="s">
        <v>175</v>
      </c>
      <c r="AG28" s="140" t="s">
        <v>382</v>
      </c>
      <c r="AH28" s="141"/>
      <c r="AI28" s="142"/>
      <c r="AJ28" s="143"/>
      <c r="AK28" s="144"/>
      <c r="AL28" s="145"/>
      <c r="AM28" s="210" t="s">
        <v>175</v>
      </c>
      <c r="AN28" s="140" t="s">
        <v>382</v>
      </c>
      <c r="AO28" s="141"/>
      <c r="AP28" s="142"/>
      <c r="AQ28" s="143"/>
      <c r="AR28" s="144"/>
      <c r="AS28" s="45"/>
    </row>
    <row r="29" spans="2:45" ht="15.95" customHeight="1" x14ac:dyDescent="0.25">
      <c r="B29" s="146" t="s">
        <v>194</v>
      </c>
      <c r="C29" s="46">
        <v>8217</v>
      </c>
      <c r="D29" s="212" t="s">
        <v>1</v>
      </c>
      <c r="E29" s="140"/>
      <c r="F29" s="141"/>
      <c r="G29" s="142"/>
      <c r="H29" s="143"/>
      <c r="I29" s="144"/>
      <c r="J29" s="145"/>
      <c r="K29" s="210" t="s">
        <v>381</v>
      </c>
      <c r="L29" s="140" t="s">
        <v>382</v>
      </c>
      <c r="M29" s="141"/>
      <c r="N29" s="142"/>
      <c r="O29" s="143"/>
      <c r="P29" s="144"/>
      <c r="Q29" s="145"/>
      <c r="R29" s="214"/>
      <c r="S29" s="140"/>
      <c r="T29" s="141"/>
      <c r="U29" s="142"/>
      <c r="V29" s="143"/>
      <c r="W29" s="144"/>
      <c r="X29" s="145"/>
      <c r="Y29" s="207" t="s">
        <v>381</v>
      </c>
      <c r="Z29" s="140" t="s">
        <v>382</v>
      </c>
      <c r="AA29" s="141"/>
      <c r="AB29" s="142"/>
      <c r="AC29" s="143"/>
      <c r="AD29" s="144"/>
      <c r="AE29" s="145"/>
      <c r="AF29" s="214"/>
      <c r="AG29" s="140"/>
      <c r="AH29" s="141"/>
      <c r="AI29" s="142"/>
      <c r="AJ29" s="143"/>
      <c r="AK29" s="144"/>
      <c r="AL29" s="145"/>
      <c r="AM29" s="214"/>
      <c r="AN29" s="140"/>
      <c r="AO29" s="141"/>
      <c r="AP29" s="142"/>
      <c r="AQ29" s="143"/>
      <c r="AR29" s="144"/>
      <c r="AS29" s="45"/>
    </row>
    <row r="30" spans="2:45" ht="15.95" customHeight="1" x14ac:dyDescent="0.25">
      <c r="B30" s="146" t="s">
        <v>179</v>
      </c>
      <c r="C30" s="46">
        <v>8124</v>
      </c>
      <c r="D30" s="210" t="s">
        <v>130</v>
      </c>
      <c r="E30" s="140"/>
      <c r="F30" s="141"/>
      <c r="G30" s="142"/>
      <c r="H30" s="143"/>
      <c r="I30" s="144"/>
      <c r="J30" s="145"/>
      <c r="K30" s="210" t="s">
        <v>381</v>
      </c>
      <c r="L30" s="140" t="s">
        <v>382</v>
      </c>
      <c r="M30" s="141"/>
      <c r="N30" s="142"/>
      <c r="O30" s="143"/>
      <c r="P30" s="144"/>
      <c r="Q30" s="145"/>
      <c r="R30" s="210" t="s">
        <v>269</v>
      </c>
      <c r="S30" s="140" t="s">
        <v>382</v>
      </c>
      <c r="T30" s="141"/>
      <c r="U30" s="142"/>
      <c r="V30" s="143"/>
      <c r="W30" s="144"/>
      <c r="X30" s="145"/>
      <c r="Y30" s="213"/>
      <c r="Z30" s="140"/>
      <c r="AA30" s="141"/>
      <c r="AB30" s="142"/>
      <c r="AC30" s="143"/>
      <c r="AD30" s="144"/>
      <c r="AE30" s="145"/>
      <c r="AF30" s="213"/>
      <c r="AG30" s="140"/>
      <c r="AH30" s="141"/>
      <c r="AI30" s="142"/>
      <c r="AJ30" s="143"/>
      <c r="AK30" s="144"/>
      <c r="AL30" s="145"/>
      <c r="AM30" s="213"/>
      <c r="AN30" s="140"/>
      <c r="AO30" s="141"/>
      <c r="AP30" s="142"/>
      <c r="AQ30" s="143"/>
      <c r="AR30" s="144"/>
      <c r="AS30" s="45"/>
    </row>
    <row r="31" spans="2:45" ht="15.95" customHeight="1" x14ac:dyDescent="0.25">
      <c r="B31" s="146" t="s">
        <v>185</v>
      </c>
      <c r="C31" s="46">
        <v>7607</v>
      </c>
      <c r="D31" s="218" t="s">
        <v>383</v>
      </c>
      <c r="E31" s="140"/>
      <c r="F31" s="141"/>
      <c r="G31" s="142"/>
      <c r="H31" s="143"/>
      <c r="I31" s="144"/>
      <c r="J31" s="145"/>
      <c r="K31" s="218" t="s">
        <v>383</v>
      </c>
      <c r="L31" s="140"/>
      <c r="M31" s="141"/>
      <c r="N31" s="142"/>
      <c r="O31" s="143"/>
      <c r="P31" s="144"/>
      <c r="Q31" s="145"/>
      <c r="R31" s="219" t="s">
        <v>383</v>
      </c>
      <c r="S31" s="140"/>
      <c r="T31" s="141"/>
      <c r="U31" s="142" t="s">
        <v>398</v>
      </c>
      <c r="V31" s="143"/>
      <c r="W31" s="144"/>
      <c r="X31" s="145"/>
      <c r="Y31" s="219" t="s">
        <v>383</v>
      </c>
      <c r="Z31" s="140"/>
      <c r="AA31" s="141"/>
      <c r="AB31" s="142"/>
      <c r="AC31" s="143"/>
      <c r="AD31" s="144"/>
      <c r="AE31" s="145"/>
      <c r="AF31" s="219" t="s">
        <v>383</v>
      </c>
      <c r="AG31" s="140"/>
      <c r="AH31" s="141"/>
      <c r="AI31" s="142"/>
      <c r="AJ31" s="143"/>
      <c r="AK31" s="144"/>
      <c r="AL31" s="145"/>
      <c r="AM31" s="213"/>
      <c r="AN31" s="140"/>
      <c r="AO31" s="141"/>
      <c r="AP31" s="142"/>
      <c r="AQ31" s="143"/>
      <c r="AR31" s="144"/>
      <c r="AS31" s="45"/>
    </row>
    <row r="32" spans="2:45" ht="15.95" customHeight="1" x14ac:dyDescent="0.25">
      <c r="B32" s="146" t="s">
        <v>187</v>
      </c>
      <c r="C32" s="46">
        <v>8218</v>
      </c>
      <c r="D32" s="285"/>
      <c r="E32" s="140"/>
      <c r="F32" s="141"/>
      <c r="G32" s="142"/>
      <c r="H32" s="143"/>
      <c r="I32" s="144"/>
      <c r="J32" s="145"/>
      <c r="K32" s="214"/>
      <c r="L32" s="140"/>
      <c r="M32" s="141"/>
      <c r="N32" s="142"/>
      <c r="O32" s="143"/>
      <c r="P32" s="144"/>
      <c r="Q32" s="145"/>
      <c r="R32" s="210" t="s">
        <v>381</v>
      </c>
      <c r="S32" s="140" t="s">
        <v>382</v>
      </c>
      <c r="T32" s="141"/>
      <c r="U32" s="142"/>
      <c r="V32" s="143"/>
      <c r="W32" s="144"/>
      <c r="X32" s="145"/>
      <c r="Y32" s="212" t="s">
        <v>2</v>
      </c>
      <c r="Z32" s="140"/>
      <c r="AA32" s="141"/>
      <c r="AB32" s="142"/>
      <c r="AC32" s="143"/>
      <c r="AD32" s="144"/>
      <c r="AE32" s="145"/>
      <c r="AF32" s="212" t="s">
        <v>2</v>
      </c>
      <c r="AG32" s="140"/>
      <c r="AH32" s="141"/>
      <c r="AI32" s="142"/>
      <c r="AJ32" s="143"/>
      <c r="AK32" s="144"/>
      <c r="AL32" s="145"/>
      <c r="AM32" s="209"/>
      <c r="AN32" s="140"/>
      <c r="AO32" s="141"/>
      <c r="AP32" s="142"/>
      <c r="AQ32" s="143"/>
      <c r="AR32" s="144"/>
      <c r="AS32" s="45"/>
    </row>
    <row r="33" spans="2:45" ht="15.95" customHeight="1" x14ac:dyDescent="0.25">
      <c r="B33" s="146" t="s">
        <v>180</v>
      </c>
      <c r="C33" s="46">
        <v>7592</v>
      </c>
      <c r="D33" s="211" t="s">
        <v>1</v>
      </c>
      <c r="E33" s="140"/>
      <c r="F33" s="141"/>
      <c r="G33" s="142"/>
      <c r="H33" s="143"/>
      <c r="I33" s="144"/>
      <c r="J33" s="145"/>
      <c r="K33" s="211" t="s">
        <v>1</v>
      </c>
      <c r="L33" s="140"/>
      <c r="M33" s="141"/>
      <c r="N33" s="142"/>
      <c r="O33" s="143"/>
      <c r="P33" s="144"/>
      <c r="Q33" s="145"/>
      <c r="R33" s="217" t="s">
        <v>316</v>
      </c>
      <c r="S33" s="140"/>
      <c r="T33" s="141"/>
      <c r="U33" s="142"/>
      <c r="V33" s="143"/>
      <c r="W33" s="144"/>
      <c r="X33" s="145"/>
      <c r="Y33" s="212" t="s">
        <v>1</v>
      </c>
      <c r="Z33" s="140"/>
      <c r="AA33" s="141"/>
      <c r="AB33" s="142"/>
      <c r="AC33" s="143"/>
      <c r="AD33" s="144"/>
      <c r="AE33" s="145"/>
      <c r="AF33" s="213"/>
      <c r="AG33" s="140"/>
      <c r="AH33" s="141"/>
      <c r="AI33" s="142"/>
      <c r="AJ33" s="143"/>
      <c r="AK33" s="144"/>
      <c r="AL33" s="145"/>
      <c r="AM33" s="209"/>
      <c r="AN33" s="140"/>
      <c r="AO33" s="141"/>
      <c r="AP33" s="142"/>
      <c r="AQ33" s="143"/>
      <c r="AR33" s="144"/>
      <c r="AS33" s="45"/>
    </row>
    <row r="34" spans="2:45" ht="15.95" customHeight="1" x14ac:dyDescent="0.25">
      <c r="B34" s="146" t="s">
        <v>182</v>
      </c>
      <c r="C34" s="46">
        <v>8106</v>
      </c>
      <c r="D34" s="210" t="s">
        <v>264</v>
      </c>
      <c r="E34" s="140" t="s">
        <v>118</v>
      </c>
      <c r="F34" s="141"/>
      <c r="G34" s="142"/>
      <c r="H34" s="143"/>
      <c r="I34" s="144"/>
      <c r="J34" s="145"/>
      <c r="K34" s="210" t="s">
        <v>267</v>
      </c>
      <c r="L34" s="140" t="s">
        <v>382</v>
      </c>
      <c r="M34" s="141"/>
      <c r="N34" s="142"/>
      <c r="O34" s="143"/>
      <c r="P34" s="144"/>
      <c r="Q34" s="145"/>
      <c r="R34" s="213"/>
      <c r="S34" s="140"/>
      <c r="T34" s="141"/>
      <c r="U34" s="142" t="s">
        <v>398</v>
      </c>
      <c r="V34" s="143"/>
      <c r="W34" s="144"/>
      <c r="X34" s="145"/>
      <c r="Y34" s="210" t="s">
        <v>267</v>
      </c>
      <c r="Z34" s="140" t="s">
        <v>382</v>
      </c>
      <c r="AA34" s="141"/>
      <c r="AB34" s="142"/>
      <c r="AC34" s="143"/>
      <c r="AD34" s="144"/>
      <c r="AE34" s="145"/>
      <c r="AF34" s="207" t="s">
        <v>175</v>
      </c>
      <c r="AG34" s="140" t="s">
        <v>382</v>
      </c>
      <c r="AH34" s="141"/>
      <c r="AI34" s="142"/>
      <c r="AJ34" s="143"/>
      <c r="AK34" s="144"/>
      <c r="AL34" s="145"/>
      <c r="AM34" s="210" t="s">
        <v>175</v>
      </c>
      <c r="AN34" s="140" t="s">
        <v>382</v>
      </c>
      <c r="AO34" s="141"/>
      <c r="AP34" s="142"/>
      <c r="AQ34" s="143"/>
      <c r="AR34" s="144"/>
      <c r="AS34" s="45"/>
    </row>
  </sheetData>
  <mergeCells count="16">
    <mergeCell ref="R4:W4"/>
    <mergeCell ref="A1:AT1"/>
    <mergeCell ref="AM7:AR7"/>
    <mergeCell ref="D6:I6"/>
    <mergeCell ref="K6:P6"/>
    <mergeCell ref="R6:W6"/>
    <mergeCell ref="Y6:AD6"/>
    <mergeCell ref="AF6:AK6"/>
    <mergeCell ref="AM6:AR6"/>
    <mergeCell ref="D7:I7"/>
    <mergeCell ref="K7:P7"/>
    <mergeCell ref="R7:W7"/>
    <mergeCell ref="Y7:AD7"/>
    <mergeCell ref="AF7:AK7"/>
    <mergeCell ref="R3:W3"/>
    <mergeCell ref="B6:B7"/>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NCADREMENT_VUE"/>
  <dimension ref="A1:AU14"/>
  <sheetViews>
    <sheetView showGridLines="0" showRowColHeaders="0" zoomScaleNormal="100" workbookViewId="0">
      <selection activeCell="AJ10" sqref="AJ10"/>
    </sheetView>
  </sheetViews>
  <sheetFormatPr baseColWidth="10" defaultColWidth="11.42578125" defaultRowHeight="15" x14ac:dyDescent="0.25"/>
  <cols>
    <col min="1" max="1" width="3.5703125" style="1" customWidth="1"/>
    <col min="2" max="2" width="23.42578125" style="2" customWidth="1"/>
    <col min="3" max="3" width="1.7109375" style="17" customWidth="1"/>
    <col min="4" max="4" width="9.85546875" style="19" customWidth="1"/>
    <col min="5" max="5" width="9.85546875" style="16" customWidth="1"/>
    <col min="6" max="6" width="2.140625" style="16" customWidth="1"/>
    <col min="7" max="8" width="2.28515625" style="16" customWidth="1"/>
    <col min="9" max="9" width="9.85546875" style="18" customWidth="1"/>
    <col min="10" max="10" width="9.85546875" style="17" customWidth="1"/>
    <col min="11" max="11" width="2.28515625" style="19" customWidth="1"/>
    <col min="12" max="13" width="2.28515625" style="16" customWidth="1"/>
    <col min="14" max="15" width="9.85546875" style="16" customWidth="1"/>
    <col min="16" max="16" width="2.28515625" style="18" customWidth="1"/>
    <col min="17" max="17" width="2.28515625" style="17" customWidth="1"/>
    <col min="18" max="18" width="2.28515625" style="19" customWidth="1"/>
    <col min="19" max="20" width="9.85546875" style="16" customWidth="1"/>
    <col min="21" max="22" width="2.28515625" style="16" customWidth="1"/>
    <col min="23" max="23" width="2.28515625" style="18" customWidth="1"/>
    <col min="24" max="24" width="9.85546875" style="17" customWidth="1"/>
    <col min="25" max="25" width="9.85546875" style="19" customWidth="1"/>
    <col min="26" max="28" width="2.28515625" style="16" customWidth="1"/>
    <col min="29" max="29" width="9.85546875" style="16" customWidth="1"/>
    <col min="30" max="30" width="9.85546875" style="18" customWidth="1"/>
    <col min="31" max="31" width="2.28515625" style="17" customWidth="1"/>
    <col min="32" max="32" width="5" style="19" customWidth="1"/>
    <col min="33" max="36" width="5" style="16" customWidth="1"/>
    <col min="37" max="37" width="5" style="18" customWidth="1"/>
    <col min="38" max="38" width="5" style="17" customWidth="1"/>
    <col min="39" max="39" width="5" style="19" customWidth="1"/>
    <col min="40" max="44" width="5" style="16" customWidth="1"/>
    <col min="45" max="16384" width="11.42578125" style="16"/>
  </cols>
  <sheetData>
    <row r="1" spans="1:47" ht="35.25" customHeight="1" x14ac:dyDescent="0.25">
      <c r="A1" s="269" t="s">
        <v>206</v>
      </c>
      <c r="B1" s="269"/>
      <c r="C1" s="269"/>
      <c r="D1" s="269"/>
      <c r="E1" s="269"/>
      <c r="F1" s="269"/>
      <c r="G1" s="269"/>
      <c r="H1" s="269"/>
      <c r="I1" s="269"/>
      <c r="J1" s="269"/>
      <c r="K1" s="269"/>
      <c r="L1" s="269"/>
      <c r="M1" s="269"/>
      <c r="N1" s="269"/>
      <c r="O1" s="269"/>
      <c r="P1" s="269"/>
      <c r="Q1" s="269"/>
      <c r="R1" s="269"/>
      <c r="S1" s="269"/>
      <c r="T1" s="269"/>
      <c r="U1" s="269"/>
      <c r="V1" s="269"/>
      <c r="W1" s="269"/>
      <c r="X1" s="269"/>
      <c r="Y1" s="269"/>
      <c r="Z1" s="269"/>
      <c r="AA1" s="269"/>
      <c r="AB1" s="269"/>
      <c r="AC1" s="269"/>
      <c r="AD1" s="269"/>
      <c r="AE1" s="269"/>
      <c r="AF1" s="269"/>
      <c r="AG1" s="269"/>
      <c r="AH1" s="269"/>
      <c r="AI1" s="269"/>
      <c r="AJ1" s="269"/>
      <c r="AK1" s="269"/>
      <c r="AL1" s="269"/>
      <c r="AM1" s="269"/>
      <c r="AN1" s="269"/>
      <c r="AO1" s="269"/>
      <c r="AP1" s="269"/>
      <c r="AQ1" s="269"/>
      <c r="AR1" s="269"/>
      <c r="AS1" s="269"/>
      <c r="AT1" s="163"/>
      <c r="AU1" s="163"/>
    </row>
    <row r="2" spans="1:47" ht="5.25" customHeight="1" x14ac:dyDescent="0.25">
      <c r="A2" s="23"/>
      <c r="B2" s="32"/>
      <c r="C2" s="32"/>
      <c r="D2" s="32"/>
      <c r="E2" s="32"/>
      <c r="F2" s="32"/>
      <c r="G2" s="32"/>
      <c r="H2" s="31"/>
      <c r="I2" s="32"/>
      <c r="J2" s="32"/>
      <c r="K2" s="32"/>
      <c r="L2" s="32"/>
      <c r="M2" s="32"/>
      <c r="N2" s="17"/>
      <c r="O2" s="19"/>
      <c r="P2" s="16"/>
      <c r="Q2" s="16"/>
      <c r="R2" s="16"/>
      <c r="T2" s="18"/>
      <c r="U2" s="17"/>
      <c r="V2" s="19"/>
      <c r="W2" s="16"/>
      <c r="X2" s="16"/>
      <c r="Y2" s="16"/>
      <c r="AA2" s="18"/>
      <c r="AD2" s="16"/>
      <c r="AE2" s="16"/>
      <c r="AF2" s="16"/>
      <c r="AK2" s="16"/>
      <c r="AL2" s="16"/>
      <c r="AM2" s="16"/>
    </row>
    <row r="3" spans="1:47" s="10" customFormat="1" ht="17.25" customHeight="1" x14ac:dyDescent="0.25">
      <c r="A3" s="35"/>
      <c r="B3" s="36"/>
      <c r="C3" s="37"/>
      <c r="D3" s="37"/>
      <c r="E3" s="37"/>
      <c r="F3" s="37"/>
      <c r="G3" s="37"/>
      <c r="H3" s="37"/>
      <c r="I3" s="37"/>
      <c r="J3" s="37"/>
      <c r="K3" s="37"/>
      <c r="L3" s="37"/>
      <c r="M3" s="37"/>
      <c r="O3" s="262" t="s">
        <v>202</v>
      </c>
      <c r="P3" s="262"/>
      <c r="Q3" s="262"/>
      <c r="R3" s="262"/>
      <c r="S3" s="262"/>
    </row>
    <row r="4" spans="1:47" s="7" customFormat="1" ht="25.5" customHeight="1" x14ac:dyDescent="0.25">
      <c r="A4" s="38"/>
      <c r="B4" s="39" t="s">
        <v>211</v>
      </c>
      <c r="C4" s="40"/>
      <c r="D4" s="40"/>
      <c r="E4" s="40"/>
      <c r="F4" s="40"/>
      <c r="G4" s="40"/>
      <c r="H4" s="40"/>
      <c r="I4" s="40"/>
      <c r="J4" s="40"/>
      <c r="K4" s="40"/>
      <c r="L4" s="40"/>
      <c r="M4" s="40"/>
      <c r="O4" s="270">
        <v>45297</v>
      </c>
      <c r="P4" s="270"/>
      <c r="Q4" s="270"/>
      <c r="R4" s="270"/>
      <c r="S4" s="270"/>
    </row>
    <row r="5" spans="1:47" ht="4.5" customHeight="1" x14ac:dyDescent="0.25">
      <c r="A5" s="23"/>
      <c r="C5" s="32"/>
      <c r="D5" s="31"/>
      <c r="E5" s="32"/>
      <c r="F5" s="32"/>
      <c r="G5" s="32"/>
      <c r="H5" s="32"/>
      <c r="I5" s="32"/>
      <c r="J5" s="32"/>
      <c r="K5" s="31"/>
      <c r="L5" s="32"/>
      <c r="M5" s="32"/>
    </row>
    <row r="6" spans="1:47" ht="21" customHeight="1" x14ac:dyDescent="0.25">
      <c r="C6" s="257" t="s">
        <v>61</v>
      </c>
      <c r="D6" s="258"/>
      <c r="E6" s="258"/>
      <c r="F6" s="259"/>
      <c r="H6" s="257" t="s">
        <v>62</v>
      </c>
      <c r="I6" s="258"/>
      <c r="J6" s="258"/>
      <c r="K6" s="259"/>
      <c r="M6" s="257" t="s">
        <v>63</v>
      </c>
      <c r="N6" s="258"/>
      <c r="O6" s="258"/>
      <c r="P6" s="259"/>
      <c r="R6" s="257" t="s">
        <v>64</v>
      </c>
      <c r="S6" s="258"/>
      <c r="T6" s="258"/>
      <c r="U6" s="259"/>
      <c r="W6" s="257" t="s">
        <v>65</v>
      </c>
      <c r="X6" s="258"/>
      <c r="Y6" s="258"/>
      <c r="Z6" s="259"/>
      <c r="AB6" s="257" t="s">
        <v>66</v>
      </c>
      <c r="AC6" s="258"/>
      <c r="AD6" s="258"/>
      <c r="AE6" s="259"/>
      <c r="AF6" s="16"/>
      <c r="AK6" s="16"/>
      <c r="AL6" s="16"/>
      <c r="AM6" s="16"/>
    </row>
    <row r="7" spans="1:47" s="20" customFormat="1" ht="21.75" customHeight="1" x14ac:dyDescent="0.25">
      <c r="A7" s="11"/>
      <c r="B7" s="12"/>
      <c r="C7" s="282">
        <v>45292</v>
      </c>
      <c r="D7" s="267"/>
      <c r="E7" s="267"/>
      <c r="F7" s="268"/>
      <c r="H7" s="282">
        <v>45293</v>
      </c>
      <c r="I7" s="267"/>
      <c r="J7" s="267"/>
      <c r="K7" s="268"/>
      <c r="M7" s="282">
        <v>45294</v>
      </c>
      <c r="N7" s="267"/>
      <c r="O7" s="267"/>
      <c r="P7" s="268"/>
      <c r="R7" s="282">
        <v>45295</v>
      </c>
      <c r="S7" s="267"/>
      <c r="T7" s="267"/>
      <c r="U7" s="268"/>
      <c r="W7" s="282">
        <v>45296</v>
      </c>
      <c r="X7" s="267"/>
      <c r="Y7" s="267"/>
      <c r="Z7" s="268"/>
      <c r="AB7" s="284">
        <v>45297</v>
      </c>
      <c r="AC7" s="265"/>
      <c r="AD7" s="265"/>
      <c r="AE7" s="266"/>
    </row>
    <row r="8" spans="1:47" s="21" customFormat="1" ht="24" customHeight="1" x14ac:dyDescent="0.25">
      <c r="A8" s="4"/>
      <c r="B8" s="64" t="s">
        <v>124</v>
      </c>
      <c r="C8" s="128"/>
      <c r="D8" s="136"/>
      <c r="E8" s="136"/>
      <c r="F8" s="129"/>
      <c r="H8" s="128"/>
      <c r="I8" s="174"/>
      <c r="J8" s="182">
        <v>0.79166666666666663</v>
      </c>
      <c r="K8" s="129"/>
      <c r="L8" s="44"/>
      <c r="M8" s="128"/>
      <c r="N8" s="174" t="s">
        <v>317</v>
      </c>
      <c r="O8" s="174" t="s">
        <v>317</v>
      </c>
      <c r="P8" s="129"/>
      <c r="R8" s="128"/>
      <c r="S8" s="174"/>
      <c r="T8" s="174"/>
      <c r="U8" s="129"/>
      <c r="W8" s="128"/>
      <c r="X8" s="174"/>
      <c r="Y8" s="174"/>
      <c r="Z8" s="129"/>
      <c r="AB8" s="128"/>
      <c r="AC8" s="136"/>
      <c r="AD8" s="136"/>
      <c r="AE8" s="129"/>
      <c r="AF8" s="13"/>
      <c r="AG8" s="13"/>
      <c r="AH8" s="13"/>
      <c r="AI8" s="13"/>
      <c r="AJ8" s="13"/>
      <c r="AK8" s="13"/>
      <c r="AL8" s="13"/>
      <c r="AM8" s="13"/>
      <c r="AN8" s="13"/>
      <c r="AO8" s="13"/>
      <c r="AP8" s="13"/>
      <c r="AQ8" s="13"/>
      <c r="AR8" s="13"/>
      <c r="AS8" s="13"/>
    </row>
    <row r="9" spans="1:47" s="21" customFormat="1" ht="24" customHeight="1" x14ac:dyDescent="0.25">
      <c r="A9" s="4"/>
      <c r="B9" s="64" t="s">
        <v>125</v>
      </c>
      <c r="C9" s="128"/>
      <c r="D9" s="136"/>
      <c r="E9" s="136"/>
      <c r="F9" s="129"/>
      <c r="H9" s="128"/>
      <c r="I9" s="221" t="s">
        <v>1</v>
      </c>
      <c r="J9" s="221" t="s">
        <v>1</v>
      </c>
      <c r="K9" s="129"/>
      <c r="L9" s="44"/>
      <c r="M9" s="128"/>
      <c r="N9" s="221" t="s">
        <v>1</v>
      </c>
      <c r="O9" s="221" t="s">
        <v>1</v>
      </c>
      <c r="P9" s="129"/>
      <c r="R9" s="128"/>
      <c r="S9" s="221" t="s">
        <v>1</v>
      </c>
      <c r="T9" s="221" t="s">
        <v>1</v>
      </c>
      <c r="U9" s="129"/>
      <c r="W9" s="128"/>
      <c r="X9" s="221" t="s">
        <v>1</v>
      </c>
      <c r="Y9" s="221" t="s">
        <v>1</v>
      </c>
      <c r="Z9" s="129"/>
      <c r="AB9" s="128"/>
      <c r="AC9" s="136"/>
      <c r="AD9" s="136"/>
      <c r="AE9" s="129"/>
      <c r="AF9" s="13"/>
      <c r="AG9" s="13"/>
      <c r="AH9" s="13"/>
      <c r="AI9" s="13"/>
      <c r="AJ9" s="13"/>
      <c r="AK9" s="13"/>
      <c r="AL9" s="13"/>
      <c r="AM9" s="13"/>
      <c r="AN9" s="13"/>
      <c r="AO9" s="13"/>
      <c r="AP9" s="13"/>
      <c r="AQ9" s="13"/>
      <c r="AR9" s="13"/>
      <c r="AS9" s="13"/>
    </row>
    <row r="10" spans="1:47" s="21" customFormat="1" ht="24" customHeight="1" x14ac:dyDescent="0.25">
      <c r="A10" s="4"/>
      <c r="B10" s="64" t="s">
        <v>122</v>
      </c>
      <c r="C10" s="128"/>
      <c r="D10" s="136"/>
      <c r="E10" s="136"/>
      <c r="F10" s="129"/>
      <c r="H10" s="128"/>
      <c r="I10" s="174"/>
      <c r="J10" s="174"/>
      <c r="K10" s="129"/>
      <c r="L10" s="44"/>
      <c r="M10" s="128"/>
      <c r="N10" s="174"/>
      <c r="O10" s="174"/>
      <c r="P10" s="129"/>
      <c r="R10" s="128"/>
      <c r="S10" s="174"/>
      <c r="T10" s="174"/>
      <c r="U10" s="129"/>
      <c r="W10" s="128"/>
      <c r="X10" s="174"/>
      <c r="Y10" s="174"/>
      <c r="Z10" s="129"/>
      <c r="AB10" s="128"/>
      <c r="AC10" s="136"/>
      <c r="AD10" s="136"/>
      <c r="AE10" s="129"/>
      <c r="AF10" s="13"/>
      <c r="AG10" s="13"/>
      <c r="AH10" s="13"/>
      <c r="AI10" s="13"/>
      <c r="AJ10" s="13"/>
      <c r="AK10" s="13"/>
      <c r="AL10" s="13"/>
      <c r="AM10" s="13"/>
      <c r="AN10" s="13"/>
      <c r="AO10" s="13"/>
      <c r="AP10" s="13"/>
      <c r="AQ10" s="13"/>
      <c r="AR10" s="13"/>
      <c r="AS10" s="13"/>
    </row>
    <row r="11" spans="1:47" s="21" customFormat="1" ht="24" customHeight="1" x14ac:dyDescent="0.25">
      <c r="A11" s="4"/>
      <c r="B11" s="64" t="s">
        <v>120</v>
      </c>
      <c r="C11" s="128"/>
      <c r="D11" s="136"/>
      <c r="E11" s="136"/>
      <c r="F11" s="129"/>
      <c r="H11" s="128"/>
      <c r="I11" s="130">
        <v>0.35416666666666669</v>
      </c>
      <c r="J11" s="131">
        <v>0.66666666666666663</v>
      </c>
      <c r="K11" s="129"/>
      <c r="L11" s="44"/>
      <c r="M11" s="128"/>
      <c r="N11" s="130">
        <v>0.36458333333333331</v>
      </c>
      <c r="O11" s="130">
        <v>0.80208333333333337</v>
      </c>
      <c r="P11" s="129"/>
      <c r="R11" s="128"/>
      <c r="S11" s="130">
        <v>0.35416666666666669</v>
      </c>
      <c r="T11" s="131">
        <v>0.66666666666666663</v>
      </c>
      <c r="U11" s="129"/>
      <c r="W11" s="128"/>
      <c r="X11" s="130">
        <v>0.36458333333333331</v>
      </c>
      <c r="Y11" s="130">
        <v>0.80208333333333337</v>
      </c>
      <c r="Z11" s="129"/>
      <c r="AB11" s="128"/>
      <c r="AC11" s="283" t="s">
        <v>167</v>
      </c>
      <c r="AD11" s="136"/>
      <c r="AE11" s="129"/>
      <c r="AF11" s="13"/>
      <c r="AG11" s="13"/>
      <c r="AH11" s="13"/>
      <c r="AI11" s="13"/>
      <c r="AJ11" s="13"/>
      <c r="AK11" s="13"/>
      <c r="AL11" s="13"/>
      <c r="AM11" s="13"/>
      <c r="AN11" s="13"/>
      <c r="AO11" s="13"/>
      <c r="AP11" s="13"/>
      <c r="AQ11" s="13"/>
      <c r="AR11" s="13"/>
      <c r="AS11" s="13"/>
    </row>
    <row r="12" spans="1:47" s="21" customFormat="1" ht="24" customHeight="1" x14ac:dyDescent="0.25">
      <c r="A12" s="4"/>
      <c r="B12" s="64" t="s">
        <v>121</v>
      </c>
      <c r="C12" s="128"/>
      <c r="D12" s="220"/>
      <c r="E12" s="220"/>
      <c r="F12" s="129"/>
      <c r="H12" s="128"/>
      <c r="I12" s="220"/>
      <c r="J12" s="220"/>
      <c r="K12" s="129"/>
      <c r="L12" s="44"/>
      <c r="M12" s="128"/>
      <c r="N12" s="220"/>
      <c r="O12" s="220"/>
      <c r="P12" s="129"/>
      <c r="R12" s="128"/>
      <c r="S12" s="220"/>
      <c r="T12" s="220"/>
      <c r="U12" s="129"/>
      <c r="W12" s="128"/>
      <c r="X12" s="220"/>
      <c r="Y12" s="220"/>
      <c r="Z12" s="129"/>
      <c r="AB12" s="128"/>
      <c r="AC12" s="220"/>
      <c r="AD12" s="220"/>
      <c r="AE12" s="129"/>
      <c r="AF12" s="13"/>
      <c r="AG12" s="13"/>
      <c r="AH12" s="13"/>
      <c r="AI12" s="13"/>
      <c r="AJ12" s="13"/>
      <c r="AK12" s="13"/>
      <c r="AL12" s="13"/>
      <c r="AM12" s="13"/>
      <c r="AN12" s="13"/>
      <c r="AO12" s="13"/>
      <c r="AP12" s="13"/>
      <c r="AQ12" s="13"/>
      <c r="AR12" s="13"/>
      <c r="AS12" s="13"/>
    </row>
    <row r="13" spans="1:47" s="21" customFormat="1" ht="24" customHeight="1" x14ac:dyDescent="0.25">
      <c r="A13" s="4"/>
      <c r="B13" s="64" t="s">
        <v>119</v>
      </c>
      <c r="C13" s="128"/>
      <c r="D13" s="136"/>
      <c r="E13" s="136"/>
      <c r="F13" s="129"/>
      <c r="H13" s="128"/>
      <c r="I13" s="161" t="s">
        <v>2</v>
      </c>
      <c r="J13" s="161" t="s">
        <v>2</v>
      </c>
      <c r="K13" s="129"/>
      <c r="L13" s="44"/>
      <c r="M13" s="128"/>
      <c r="N13" s="161" t="s">
        <v>2</v>
      </c>
      <c r="O13" s="161" t="s">
        <v>2</v>
      </c>
      <c r="P13" s="129"/>
      <c r="R13" s="128"/>
      <c r="S13" s="161" t="s">
        <v>2</v>
      </c>
      <c r="T13" s="161" t="s">
        <v>2</v>
      </c>
      <c r="U13" s="129"/>
      <c r="W13" s="128"/>
      <c r="X13" s="161" t="s">
        <v>2</v>
      </c>
      <c r="Y13" s="161" t="s">
        <v>2</v>
      </c>
      <c r="Z13" s="129"/>
      <c r="AB13" s="128"/>
      <c r="AC13" s="136"/>
      <c r="AD13" s="136"/>
      <c r="AE13" s="129"/>
      <c r="AF13" s="13"/>
      <c r="AG13" s="13"/>
      <c r="AH13" s="13"/>
      <c r="AI13" s="13"/>
      <c r="AJ13" s="13"/>
      <c r="AK13" s="13"/>
      <c r="AL13" s="13"/>
      <c r="AM13" s="13"/>
      <c r="AN13" s="13"/>
      <c r="AO13" s="13"/>
      <c r="AP13" s="13"/>
      <c r="AQ13" s="13"/>
      <c r="AR13" s="13"/>
      <c r="AS13" s="13"/>
    </row>
    <row r="14" spans="1:47" s="21" customFormat="1" ht="24" customHeight="1" x14ac:dyDescent="0.25">
      <c r="A14" s="4"/>
      <c r="B14" s="64" t="s">
        <v>123</v>
      </c>
      <c r="C14" s="128"/>
      <c r="D14" s="136"/>
      <c r="E14" s="136"/>
      <c r="F14" s="129"/>
      <c r="H14" s="128"/>
      <c r="I14" s="221" t="s">
        <v>1</v>
      </c>
      <c r="J14" s="221" t="s">
        <v>1</v>
      </c>
      <c r="K14" s="129"/>
      <c r="L14" s="44"/>
      <c r="M14" s="128"/>
      <c r="N14" s="221" t="s">
        <v>1</v>
      </c>
      <c r="O14" s="221" t="s">
        <v>1</v>
      </c>
      <c r="P14" s="129"/>
      <c r="R14" s="128"/>
      <c r="S14" s="221" t="s">
        <v>1</v>
      </c>
      <c r="T14" s="221" t="s">
        <v>1</v>
      </c>
      <c r="U14" s="129"/>
      <c r="W14" s="128"/>
      <c r="X14" s="221" t="s">
        <v>1</v>
      </c>
      <c r="Y14" s="221" t="s">
        <v>1</v>
      </c>
      <c r="Z14" s="129"/>
      <c r="AB14" s="128"/>
      <c r="AC14" s="136"/>
      <c r="AD14" s="136"/>
      <c r="AE14" s="129"/>
      <c r="AF14" s="13"/>
      <c r="AG14" s="13"/>
      <c r="AH14" s="13"/>
      <c r="AI14" s="13"/>
      <c r="AJ14" s="13"/>
      <c r="AK14" s="13"/>
      <c r="AL14" s="13"/>
      <c r="AM14" s="13"/>
      <c r="AN14" s="13"/>
      <c r="AO14" s="13"/>
      <c r="AP14" s="13"/>
      <c r="AQ14" s="13"/>
      <c r="AR14" s="13"/>
      <c r="AS14" s="13"/>
    </row>
  </sheetData>
  <protectedRanges>
    <protectedRange sqref="NK8:NL14 MU8:MV14 MM8:MN14 NC8:ND14 LG8:LH14 ME8:MF14 LW8:LX14 LO8:LP14 KY8:KZ14 KQ8:KR14 KI8:KJ14 KA8:KB14 JS8:JT14 JK8:JL14 JC8:JD14 IU8:IV14 WQ8:WR14 WI8:WJ14 WA8:WB14 VK8:VL14 VS8:VT14 VC8:VD14 UU8:UV14 UM8:UN14 UE8:UF14 TW8:TX14 TO8:TP14 TG8:TH14 SY8:SZ14 SQ8:SR14 SI8:SJ14 SA8:SB14 RS8:RT14 RK8:RL14 RC8:RD14 QU8:QV14 QM8:QN14 QE8:QF14 PW8:PX14 PO8:PP14 PG8:PH14 OY8:OZ14 OQ8:OR14 OI8:OJ14 OA8:OB14 NS8:NT14" name="Plage1"/>
    <protectedRange sqref="AB8:AB14 C8:C14 H8:H14 M8:M14 R8:R14 W8:W14" name="Plage1_1"/>
    <protectedRange sqref="AC8:AD14 D8:E14 I8:J14 N8:O14 S8:T14 X8:Y14" name="Plage1_2"/>
  </protectedRanges>
  <customSheetViews>
    <customSheetView guid="{5863F5CF-7431-4D0A-A4E3-E0B6BDE019D1}" showAutoFilter="1" hiddenColumns="1">
      <selection activeCell="F5" sqref="F5:AT5"/>
      <pageMargins left="0.7" right="0.7" top="0.75" bottom="0.75" header="0.3" footer="0.3"/>
      <pageSetup paperSize="9" orientation="portrait" verticalDpi="0" r:id="rId1"/>
      <autoFilter ref="A7:U33"/>
    </customSheetView>
    <customSheetView guid="{315A58E5-6659-4E22-8975-B4F24C88D2B9}" showAutoFilter="1" hiddenColumns="1">
      <selection activeCell="C6" sqref="C6"/>
      <pageMargins left="0.7" right="0.7" top="0.75" bottom="0.75" header="0.3" footer="0.3"/>
      <pageSetup paperSize="9" orientation="portrait" verticalDpi="0" r:id="rId2"/>
      <autoFilter ref="A7:U33"/>
    </customSheetView>
  </customSheetViews>
  <mergeCells count="15">
    <mergeCell ref="W6:Z6"/>
    <mergeCell ref="AB6:AE6"/>
    <mergeCell ref="A1:AS1"/>
    <mergeCell ref="O4:S4"/>
    <mergeCell ref="O3:S3"/>
    <mergeCell ref="C6:F6"/>
    <mergeCell ref="H6:K6"/>
    <mergeCell ref="M6:P6"/>
    <mergeCell ref="R6:U6"/>
    <mergeCell ref="AB7:AE7"/>
    <mergeCell ref="C7:F7"/>
    <mergeCell ref="H7:K7"/>
    <mergeCell ref="M7:P7"/>
    <mergeCell ref="R7:U7"/>
    <mergeCell ref="W7:Z7"/>
  </mergeCells>
  <conditionalFormatting sqref="F8 K8 P8 U8 Z8 AE8">
    <cfRule type="cellIs" dxfId="206" priority="26553" operator="equal">
      <formula>0.802083333333333</formula>
    </cfRule>
    <cfRule type="cellIs" dxfId="205" priority="26554" operator="equal">
      <formula>0.720833333333333</formula>
    </cfRule>
    <cfRule type="cellIs" dxfId="204" priority="26555" operator="equal">
      <formula>0.354166666666667</formula>
    </cfRule>
    <cfRule type="cellIs" dxfId="203" priority="26556" operator="equal">
      <formula>0.79375</formula>
    </cfRule>
    <cfRule type="cellIs" dxfId="202" priority="26557" operator="equal">
      <formula>0.447916666666667</formula>
    </cfRule>
    <cfRule type="cellIs" dxfId="201" priority="26558" operator="equal">
      <formula>"c"</formula>
    </cfRule>
  </conditionalFormatting>
  <conditionalFormatting sqref="F8 K8 P8 U8 Z8 AE8">
    <cfRule type="cellIs" dxfId="200" priority="26528" operator="equal">
      <formula>"abs"</formula>
    </cfRule>
  </conditionalFormatting>
  <conditionalFormatting sqref="F9 K9 P9 U9 Z9 AE9">
    <cfRule type="cellIs" dxfId="199" priority="37" operator="equal">
      <formula>0.802083333333333</formula>
    </cfRule>
    <cfRule type="cellIs" dxfId="198" priority="38" operator="equal">
      <formula>0.720833333333333</formula>
    </cfRule>
    <cfRule type="cellIs" dxfId="197" priority="39" operator="equal">
      <formula>0.354166666666667</formula>
    </cfRule>
    <cfRule type="cellIs" dxfId="196" priority="40" operator="equal">
      <formula>0.79375</formula>
    </cfRule>
    <cfRule type="cellIs" dxfId="195" priority="41" operator="equal">
      <formula>0.447916666666667</formula>
    </cfRule>
    <cfRule type="cellIs" dxfId="194" priority="42" operator="equal">
      <formula>"c"</formula>
    </cfRule>
  </conditionalFormatting>
  <conditionalFormatting sqref="F9 K9 P9 U9 Z9 AE9">
    <cfRule type="cellIs" dxfId="193" priority="36" operator="equal">
      <formula>"abs"</formula>
    </cfRule>
  </conditionalFormatting>
  <conditionalFormatting sqref="F10 K10 P10 U10 Z10 AE10">
    <cfRule type="cellIs" dxfId="192" priority="30" operator="equal">
      <formula>0.802083333333333</formula>
    </cfRule>
    <cfRule type="cellIs" dxfId="191" priority="31" operator="equal">
      <formula>0.720833333333333</formula>
    </cfRule>
    <cfRule type="cellIs" dxfId="190" priority="32" operator="equal">
      <formula>0.354166666666667</formula>
    </cfRule>
    <cfRule type="cellIs" dxfId="189" priority="33" operator="equal">
      <formula>0.79375</formula>
    </cfRule>
    <cfRule type="cellIs" dxfId="188" priority="34" operator="equal">
      <formula>0.447916666666667</formula>
    </cfRule>
    <cfRule type="cellIs" dxfId="187" priority="35" operator="equal">
      <formula>"c"</formula>
    </cfRule>
  </conditionalFormatting>
  <conditionalFormatting sqref="F10 K10 P10 U10 Z10 AE10">
    <cfRule type="cellIs" dxfId="186" priority="29" operator="equal">
      <formula>"abs"</formula>
    </cfRule>
  </conditionalFormatting>
  <conditionalFormatting sqref="F11 K11 P11 U11 Z11 AE11">
    <cfRule type="cellIs" dxfId="185" priority="23" operator="equal">
      <formula>0.802083333333333</formula>
    </cfRule>
    <cfRule type="cellIs" dxfId="184" priority="24" operator="equal">
      <formula>0.720833333333333</formula>
    </cfRule>
    <cfRule type="cellIs" dxfId="183" priority="25" operator="equal">
      <formula>0.354166666666667</formula>
    </cfRule>
    <cfRule type="cellIs" dxfId="182" priority="26" operator="equal">
      <formula>0.79375</formula>
    </cfRule>
    <cfRule type="cellIs" dxfId="181" priority="27" operator="equal">
      <formula>0.447916666666667</formula>
    </cfRule>
    <cfRule type="cellIs" dxfId="180" priority="28" operator="equal">
      <formula>"c"</formula>
    </cfRule>
  </conditionalFormatting>
  <conditionalFormatting sqref="F11 K11 P11 U11 Z11 AE11">
    <cfRule type="cellIs" dxfId="179" priority="22" operator="equal">
      <formula>"abs"</formula>
    </cfRule>
  </conditionalFormatting>
  <conditionalFormatting sqref="F12 K12 P12 U12 Z12 AE12">
    <cfRule type="cellIs" dxfId="178" priority="16" operator="equal">
      <formula>0.802083333333333</formula>
    </cfRule>
    <cfRule type="cellIs" dxfId="177" priority="17" operator="equal">
      <formula>0.720833333333333</formula>
    </cfRule>
    <cfRule type="cellIs" dxfId="176" priority="18" operator="equal">
      <formula>0.354166666666667</formula>
    </cfRule>
    <cfRule type="cellIs" dxfId="175" priority="19" operator="equal">
      <formula>0.79375</formula>
    </cfRule>
    <cfRule type="cellIs" dxfId="174" priority="20" operator="equal">
      <formula>0.447916666666667</formula>
    </cfRule>
    <cfRule type="cellIs" dxfId="173" priority="21" operator="equal">
      <formula>"c"</formula>
    </cfRule>
  </conditionalFormatting>
  <conditionalFormatting sqref="F12 K12 P12 U12 Z12 AE12">
    <cfRule type="cellIs" dxfId="172" priority="15" operator="equal">
      <formula>"abs"</formula>
    </cfRule>
  </conditionalFormatting>
  <conditionalFormatting sqref="F13 K13 P13 U13 Z13 AE13">
    <cfRule type="cellIs" dxfId="171" priority="9" operator="equal">
      <formula>0.802083333333333</formula>
    </cfRule>
    <cfRule type="cellIs" dxfId="170" priority="10" operator="equal">
      <formula>0.720833333333333</formula>
    </cfRule>
    <cfRule type="cellIs" dxfId="169" priority="11" operator="equal">
      <formula>0.354166666666667</formula>
    </cfRule>
    <cfRule type="cellIs" dxfId="168" priority="12" operator="equal">
      <formula>0.79375</formula>
    </cfRule>
    <cfRule type="cellIs" dxfId="167" priority="13" operator="equal">
      <formula>0.447916666666667</formula>
    </cfRule>
    <cfRule type="cellIs" dxfId="166" priority="14" operator="equal">
      <formula>"c"</formula>
    </cfRule>
  </conditionalFormatting>
  <conditionalFormatting sqref="F13 K13 P13 U13 Z13 AE13">
    <cfRule type="cellIs" dxfId="165" priority="8" operator="equal">
      <formula>"abs"</formula>
    </cfRule>
  </conditionalFormatting>
  <conditionalFormatting sqref="F14 K14 P14 U14 Z14 AE14">
    <cfRule type="cellIs" dxfId="164" priority="2" operator="equal">
      <formula>0.802083333333333</formula>
    </cfRule>
    <cfRule type="cellIs" dxfId="163" priority="3" operator="equal">
      <formula>0.720833333333333</formula>
    </cfRule>
    <cfRule type="cellIs" dxfId="162" priority="4" operator="equal">
      <formula>0.354166666666667</formula>
    </cfRule>
    <cfRule type="cellIs" dxfId="161" priority="5" operator="equal">
      <formula>0.79375</formula>
    </cfRule>
    <cfRule type="cellIs" dxfId="160" priority="6" operator="equal">
      <formula>0.447916666666667</formula>
    </cfRule>
    <cfRule type="cellIs" dxfId="159" priority="7" operator="equal">
      <formula>"c"</formula>
    </cfRule>
  </conditionalFormatting>
  <conditionalFormatting sqref="F14 K14 P14 U14 Z14 AE14">
    <cfRule type="cellIs" dxfId="158" priority="1" operator="equal">
      <formula>"abs"</formula>
    </cfRule>
  </conditionalFormatting>
  <pageMargins left="0.7" right="0.7" top="0.75" bottom="0.75" header="0.3" footer="0.3"/>
  <pageSetup paperSize="9" orientation="portrait" r:id="rId3"/>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ALENDAR_SHEET"/>
  <dimension ref="A1:S33"/>
  <sheetViews>
    <sheetView showGridLines="0" showRowColHeaders="0" workbookViewId="0">
      <selection sqref="A1:Q1"/>
    </sheetView>
  </sheetViews>
  <sheetFormatPr baseColWidth="10" defaultRowHeight="15" x14ac:dyDescent="0.25"/>
  <cols>
    <col min="1" max="1" width="11.42578125" style="3"/>
    <col min="2" max="2" width="7.5703125" style="3" customWidth="1"/>
    <col min="3" max="3" width="34.85546875" style="3" customWidth="1"/>
    <col min="4" max="4" width="1.42578125" style="3" customWidth="1"/>
    <col min="5" max="5" width="34.85546875" style="3" customWidth="1"/>
    <col min="6" max="6" width="1.42578125" style="3" customWidth="1"/>
    <col min="7" max="7" width="34.85546875" style="3" customWidth="1"/>
    <col min="8" max="8" width="1.42578125" style="3" customWidth="1"/>
    <col min="9" max="9" width="34.85546875" style="3" customWidth="1"/>
    <col min="10" max="10" width="1.42578125" style="3" customWidth="1"/>
    <col min="11" max="11" width="34.85546875" style="3" customWidth="1"/>
    <col min="12" max="12" width="1.42578125" style="3" customWidth="1"/>
    <col min="13" max="13" width="34.85546875" style="3" customWidth="1"/>
    <col min="14" max="14" width="1.42578125" style="3" customWidth="1"/>
    <col min="15" max="15" width="25.42578125" style="3" hidden="1" customWidth="1"/>
    <col min="16" max="16384" width="11.42578125" style="3"/>
  </cols>
  <sheetData>
    <row r="1" spans="1:19" ht="33" customHeight="1" x14ac:dyDescent="0.25">
      <c r="A1" s="269" t="s">
        <v>397</v>
      </c>
      <c r="B1" s="269"/>
      <c r="C1" s="269"/>
      <c r="D1" s="269"/>
      <c r="E1" s="269"/>
      <c r="F1" s="269"/>
      <c r="G1" s="269"/>
      <c r="H1" s="269"/>
      <c r="I1" s="269"/>
      <c r="J1" s="269"/>
      <c r="K1" s="269"/>
      <c r="L1" s="269"/>
      <c r="M1" s="269"/>
      <c r="N1" s="269"/>
      <c r="O1" s="269"/>
      <c r="P1" s="269"/>
      <c r="Q1" s="269"/>
      <c r="R1" s="164"/>
      <c r="S1" s="164"/>
    </row>
    <row r="2" spans="1:19" ht="9.75" customHeight="1" x14ac:dyDescent="0.25"/>
    <row r="3" spans="1:19" x14ac:dyDescent="0.25">
      <c r="G3" s="271" t="s">
        <v>202</v>
      </c>
      <c r="H3" s="272"/>
      <c r="I3" s="273"/>
    </row>
    <row r="4" spans="1:19" ht="25.5" customHeight="1" x14ac:dyDescent="0.25">
      <c r="G4" s="274">
        <v>45299</v>
      </c>
      <c r="H4" s="275"/>
      <c r="I4" s="276"/>
    </row>
    <row r="5" spans="1:19" ht="10.5" customHeight="1" x14ac:dyDescent="0.25"/>
    <row r="6" spans="1:19" ht="18.75" x14ac:dyDescent="0.25">
      <c r="C6" s="97">
        <v>45299</v>
      </c>
      <c r="D6" s="87"/>
      <c r="E6" s="97">
        <f>CALENDAR_1+1</f>
        <v>45300</v>
      </c>
      <c r="F6" s="87"/>
      <c r="G6" s="97">
        <f>CALENDAR_1+2</f>
        <v>45301</v>
      </c>
      <c r="H6" s="87"/>
      <c r="I6" s="97">
        <f>CALENDAR_1+3</f>
        <v>45302</v>
      </c>
      <c r="J6" s="87"/>
      <c r="K6" s="97">
        <f>CALENDAR_1+4</f>
        <v>45303</v>
      </c>
      <c r="L6" s="87"/>
      <c r="M6" s="97">
        <f>CALENDAR_1+5</f>
        <v>45304</v>
      </c>
      <c r="N6" s="87"/>
      <c r="O6" s="88" t="e">
        <f>EVENT_1+6</f>
        <v>#NAME?</v>
      </c>
    </row>
    <row r="7" spans="1:19" ht="29.25" customHeight="1" x14ac:dyDescent="0.25">
      <c r="B7" s="89">
        <v>0.29166666666666669</v>
      </c>
      <c r="C7" s="90"/>
      <c r="D7" s="14"/>
      <c r="E7" s="90"/>
      <c r="F7" s="14"/>
      <c r="G7" s="90"/>
      <c r="H7" s="14"/>
      <c r="I7" s="90"/>
      <c r="J7" s="14"/>
      <c r="K7" s="90"/>
      <c r="L7" s="14"/>
      <c r="M7" s="90"/>
      <c r="N7" s="14"/>
      <c r="O7" s="91"/>
    </row>
    <row r="8" spans="1:19" ht="29.25" customHeight="1" x14ac:dyDescent="0.25">
      <c r="B8" s="92">
        <v>0.33333333333333331</v>
      </c>
      <c r="C8" s="93"/>
      <c r="D8" s="14"/>
      <c r="E8" s="93"/>
      <c r="F8" s="14"/>
      <c r="G8" s="93"/>
      <c r="H8" s="14"/>
      <c r="I8" s="93"/>
      <c r="J8" s="14"/>
      <c r="K8" s="93"/>
      <c r="L8" s="14"/>
      <c r="M8" s="93"/>
      <c r="N8" s="14"/>
      <c r="O8" s="93"/>
    </row>
    <row r="9" spans="1:19" ht="29.25" customHeight="1" x14ac:dyDescent="0.25">
      <c r="B9" s="94">
        <v>0.375</v>
      </c>
      <c r="C9" s="90"/>
      <c r="D9" s="14"/>
      <c r="E9" s="90"/>
      <c r="F9" s="14"/>
      <c r="G9" s="90"/>
      <c r="H9" s="14"/>
      <c r="I9" s="90"/>
      <c r="J9" s="14"/>
      <c r="K9" s="90"/>
      <c r="L9" s="14"/>
      <c r="M9" s="90"/>
      <c r="N9" s="14"/>
      <c r="O9" s="91"/>
    </row>
    <row r="10" spans="1:19" ht="29.25" customHeight="1" x14ac:dyDescent="0.25">
      <c r="B10" s="92">
        <v>0.41666666666666702</v>
      </c>
      <c r="C10" s="93"/>
      <c r="D10" s="14"/>
      <c r="E10" s="93"/>
      <c r="F10" s="14"/>
      <c r="G10" s="93"/>
      <c r="H10" s="14"/>
      <c r="I10" s="93"/>
      <c r="J10" s="14"/>
      <c r="K10" s="93"/>
      <c r="L10" s="14"/>
      <c r="M10" s="93"/>
      <c r="N10" s="14"/>
      <c r="O10" s="93"/>
    </row>
    <row r="11" spans="1:19" ht="29.25" customHeight="1" x14ac:dyDescent="0.25">
      <c r="B11" s="94">
        <v>0.45833333333333398</v>
      </c>
      <c r="C11" s="90"/>
      <c r="D11" s="14"/>
      <c r="E11" s="90"/>
      <c r="F11" s="14"/>
      <c r="G11" s="90"/>
      <c r="H11" s="14"/>
      <c r="I11" s="90"/>
      <c r="J11" s="14"/>
      <c r="K11" s="90"/>
      <c r="L11" s="14"/>
      <c r="M11" s="90"/>
      <c r="N11" s="14"/>
      <c r="O11" s="91"/>
    </row>
    <row r="12" spans="1:19" ht="29.25" customHeight="1" x14ac:dyDescent="0.25">
      <c r="B12" s="92">
        <v>0.5</v>
      </c>
      <c r="C12" s="93"/>
      <c r="D12" s="14"/>
      <c r="E12" s="93"/>
      <c r="F12" s="14"/>
      <c r="G12" s="93"/>
      <c r="H12" s="14"/>
      <c r="I12" s="93"/>
      <c r="J12" s="14"/>
      <c r="K12" s="93"/>
      <c r="L12" s="14"/>
      <c r="M12" s="93"/>
      <c r="N12" s="14"/>
      <c r="O12" s="93"/>
    </row>
    <row r="13" spans="1:19" ht="29.25" customHeight="1" x14ac:dyDescent="0.25">
      <c r="B13" s="94">
        <v>0.54166666666666696</v>
      </c>
      <c r="C13" s="90"/>
      <c r="D13" s="14"/>
      <c r="E13" s="90"/>
      <c r="F13" s="14"/>
      <c r="G13" s="90"/>
      <c r="H13" s="14"/>
      <c r="I13" s="90"/>
      <c r="J13" s="14"/>
      <c r="K13" s="90"/>
      <c r="L13" s="14"/>
      <c r="M13" s="90"/>
      <c r="N13" s="14"/>
      <c r="O13" s="91"/>
    </row>
    <row r="14" spans="1:19" ht="29.25" customHeight="1" x14ac:dyDescent="0.25">
      <c r="B14" s="92">
        <v>0.58333333333333304</v>
      </c>
      <c r="C14" s="93"/>
      <c r="D14" s="14"/>
      <c r="E14" s="93"/>
      <c r="F14" s="14"/>
      <c r="G14" s="93"/>
      <c r="H14" s="14"/>
      <c r="I14" s="93"/>
      <c r="J14" s="14"/>
      <c r="K14" s="93"/>
      <c r="L14" s="14"/>
      <c r="M14" s="93"/>
      <c r="N14" s="14"/>
      <c r="O14" s="93"/>
    </row>
    <row r="15" spans="1:19" ht="29.25" customHeight="1" x14ac:dyDescent="0.25">
      <c r="B15" s="94">
        <v>0.625</v>
      </c>
      <c r="C15" s="90"/>
      <c r="D15" s="14"/>
      <c r="E15" s="90"/>
      <c r="F15" s="14"/>
      <c r="G15" s="90"/>
      <c r="H15" s="14"/>
      <c r="I15" s="90"/>
      <c r="J15" s="14"/>
      <c r="K15" s="90"/>
      <c r="L15" s="14"/>
      <c r="M15" s="90"/>
      <c r="N15" s="14"/>
      <c r="O15" s="91"/>
    </row>
    <row r="16" spans="1:19" ht="29.25" customHeight="1" x14ac:dyDescent="0.25">
      <c r="B16" s="92">
        <v>0.66666666666666696</v>
      </c>
      <c r="C16" s="93"/>
      <c r="D16" s="14"/>
      <c r="E16" s="93"/>
      <c r="F16" s="14"/>
      <c r="G16" s="93"/>
      <c r="H16" s="14"/>
      <c r="I16" s="93"/>
      <c r="J16" s="14"/>
      <c r="K16" s="93"/>
      <c r="L16" s="14"/>
      <c r="M16" s="93"/>
      <c r="N16" s="14"/>
      <c r="O16" s="93"/>
    </row>
    <row r="17" spans="2:15" ht="29.25" customHeight="1" x14ac:dyDescent="0.25">
      <c r="B17" s="94">
        <v>0.70833333333333304</v>
      </c>
      <c r="C17" s="90"/>
      <c r="D17" s="14"/>
      <c r="E17" s="90"/>
      <c r="F17" s="14"/>
      <c r="G17" s="90"/>
      <c r="H17" s="14"/>
      <c r="I17" s="90"/>
      <c r="J17" s="14"/>
      <c r="K17" s="90"/>
      <c r="L17" s="14"/>
      <c r="M17" s="90"/>
      <c r="N17" s="14"/>
      <c r="O17" s="91"/>
    </row>
    <row r="18" spans="2:15" ht="29.25" customHeight="1" x14ac:dyDescent="0.25">
      <c r="B18" s="92">
        <v>0.75</v>
      </c>
      <c r="C18" s="93"/>
      <c r="D18" s="14"/>
      <c r="E18" s="93"/>
      <c r="F18" s="14"/>
      <c r="G18" s="93"/>
      <c r="H18" s="14"/>
      <c r="I18" s="93"/>
      <c r="J18" s="14"/>
      <c r="K18" s="93"/>
      <c r="L18" s="14"/>
      <c r="M18" s="93"/>
      <c r="N18" s="14"/>
      <c r="O18" s="93"/>
    </row>
    <row r="19" spans="2:15" ht="29.25" customHeight="1" x14ac:dyDescent="0.25">
      <c r="B19" s="94">
        <v>0.79166666666666696</v>
      </c>
      <c r="C19" s="90"/>
      <c r="D19" s="14"/>
      <c r="E19" s="90"/>
      <c r="F19" s="14"/>
      <c r="G19" s="90"/>
      <c r="H19" s="14"/>
      <c r="I19" s="90"/>
      <c r="J19" s="14"/>
      <c r="K19" s="90"/>
      <c r="L19" s="14"/>
      <c r="M19" s="90"/>
      <c r="N19" s="14"/>
      <c r="O19" s="91"/>
    </row>
    <row r="20" spans="2:15" ht="29.25" customHeight="1" x14ac:dyDescent="0.25">
      <c r="B20" s="95">
        <v>0.83333333333333304</v>
      </c>
      <c r="C20" s="96"/>
      <c r="D20" s="14"/>
      <c r="E20" s="96"/>
      <c r="F20" s="14"/>
      <c r="G20" s="96"/>
      <c r="H20" s="14"/>
      <c r="I20" s="96"/>
      <c r="J20" s="14"/>
      <c r="K20" s="96"/>
      <c r="L20" s="14"/>
      <c r="M20" s="96"/>
      <c r="N20" s="14"/>
      <c r="O20" s="96"/>
    </row>
    <row r="21" spans="2:15" ht="20.100000000000001" customHeight="1" x14ac:dyDescent="0.25"/>
    <row r="22" spans="2:15" ht="20.100000000000001" customHeight="1" x14ac:dyDescent="0.25"/>
    <row r="23" spans="2:15" ht="20.100000000000001" customHeight="1" x14ac:dyDescent="0.25"/>
    <row r="24" spans="2:15" ht="20.100000000000001" customHeight="1" x14ac:dyDescent="0.25"/>
    <row r="25" spans="2:15" ht="20.100000000000001" customHeight="1" x14ac:dyDescent="0.25"/>
    <row r="26" spans="2:15" ht="20.100000000000001" customHeight="1" x14ac:dyDescent="0.25"/>
    <row r="27" spans="2:15" ht="20.100000000000001" customHeight="1" x14ac:dyDescent="0.25"/>
    <row r="28" spans="2:15" ht="20.100000000000001" customHeight="1" x14ac:dyDescent="0.25"/>
    <row r="29" spans="2:15" ht="20.100000000000001" customHeight="1" x14ac:dyDescent="0.25"/>
    <row r="30" spans="2:15" ht="20.100000000000001" customHeight="1" x14ac:dyDescent="0.25"/>
    <row r="31" spans="2:15" ht="20.100000000000001" customHeight="1" x14ac:dyDescent="0.25"/>
    <row r="32" spans="2:15" ht="20.100000000000001" customHeight="1" x14ac:dyDescent="0.25"/>
    <row r="33" ht="20.100000000000001" customHeight="1" x14ac:dyDescent="0.25"/>
  </sheetData>
  <mergeCells count="3">
    <mergeCell ref="A1:Q1"/>
    <mergeCell ref="G3:I3"/>
    <mergeCell ref="G4:I4"/>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CTIVITE_VIEW"/>
  <dimension ref="A1:T34"/>
  <sheetViews>
    <sheetView showGridLines="0" showRowColHeaders="0" workbookViewId="0">
      <selection sqref="A1:Q1"/>
    </sheetView>
  </sheetViews>
  <sheetFormatPr baseColWidth="10" defaultRowHeight="15" x14ac:dyDescent="0.25"/>
  <cols>
    <col min="1" max="1" width="3" customWidth="1"/>
    <col min="2" max="2" width="30.140625" customWidth="1"/>
    <col min="3" max="15" width="16.28515625" customWidth="1"/>
  </cols>
  <sheetData>
    <row r="1" spans="1:20" ht="33" customHeight="1" x14ac:dyDescent="0.25">
      <c r="A1" s="269" t="s">
        <v>364</v>
      </c>
      <c r="B1" s="269"/>
      <c r="C1" s="269"/>
      <c r="D1" s="269"/>
      <c r="E1" s="269"/>
      <c r="F1" s="269"/>
      <c r="G1" s="269"/>
      <c r="H1" s="269"/>
      <c r="I1" s="269"/>
      <c r="J1" s="269"/>
      <c r="K1" s="269"/>
      <c r="L1" s="269"/>
      <c r="M1" s="269"/>
      <c r="N1" s="269"/>
      <c r="O1" s="269"/>
      <c r="P1" s="269"/>
      <c r="Q1" s="269"/>
      <c r="R1" s="269"/>
      <c r="S1" s="269"/>
      <c r="T1" s="269"/>
    </row>
    <row r="2" spans="1:20" ht="4.5" customHeight="1" x14ac:dyDescent="0.25"/>
    <row r="3" spans="1:20" ht="16.5" customHeight="1" x14ac:dyDescent="0.25">
      <c r="M3" s="232" t="s">
        <v>366</v>
      </c>
      <c r="N3" s="232" t="s">
        <v>367</v>
      </c>
      <c r="O3" s="232" t="s">
        <v>387</v>
      </c>
    </row>
    <row r="4" spans="1:20" ht="19.5" customHeight="1" x14ac:dyDescent="0.25">
      <c r="G4" s="277">
        <v>45301</v>
      </c>
      <c r="H4" s="278"/>
      <c r="I4" s="278"/>
      <c r="J4" s="279"/>
      <c r="L4" s="229" t="s">
        <v>365</v>
      </c>
      <c r="M4" s="230">
        <v>11</v>
      </c>
      <c r="N4" s="230">
        <v>14</v>
      </c>
      <c r="O4" s="231">
        <v>3.125E-2</v>
      </c>
    </row>
    <row r="5" spans="1:20" ht="6.75" customHeight="1" x14ac:dyDescent="0.25"/>
    <row r="6" spans="1:20" ht="19.5" customHeight="1" x14ac:dyDescent="0.25">
      <c r="B6" s="178" t="s">
        <v>356</v>
      </c>
      <c r="C6" s="179">
        <v>0.33333333333333331</v>
      </c>
      <c r="D6" s="179">
        <v>0.375</v>
      </c>
      <c r="E6" s="179">
        <v>0.41666666666666669</v>
      </c>
      <c r="F6" s="179">
        <v>0.45833333333333331</v>
      </c>
      <c r="G6" s="179">
        <v>0.5</v>
      </c>
      <c r="H6" s="179">
        <v>0.54166666666666663</v>
      </c>
      <c r="I6" s="179">
        <v>0.58333333333333337</v>
      </c>
      <c r="J6" s="179">
        <v>0.625</v>
      </c>
      <c r="K6" s="179">
        <v>0.66666666666666663</v>
      </c>
      <c r="L6" s="179">
        <v>0.70833333333333337</v>
      </c>
      <c r="M6" s="179">
        <v>0.75</v>
      </c>
      <c r="N6" s="179">
        <v>0.79166666666666663</v>
      </c>
      <c r="O6" s="179">
        <v>0.83333333333333337</v>
      </c>
    </row>
    <row r="7" spans="1:20" ht="14.85" customHeight="1" x14ac:dyDescent="0.25">
      <c r="B7" s="176" t="s">
        <v>184</v>
      </c>
      <c r="C7" s="177"/>
      <c r="D7" s="177"/>
      <c r="E7" s="177"/>
      <c r="F7" s="177"/>
      <c r="G7" s="177"/>
      <c r="H7" s="177"/>
      <c r="I7" s="177"/>
      <c r="J7" s="177"/>
      <c r="K7" s="177"/>
      <c r="L7" s="177"/>
      <c r="M7" s="177"/>
      <c r="N7" s="177"/>
      <c r="O7" s="177"/>
    </row>
    <row r="8" spans="1:20" ht="14.85" customHeight="1" x14ac:dyDescent="0.25">
      <c r="B8" s="180" t="s">
        <v>190</v>
      </c>
      <c r="C8" s="181"/>
      <c r="D8" s="181"/>
      <c r="E8" s="181"/>
      <c r="F8" s="181"/>
      <c r="G8" s="181"/>
      <c r="H8" s="181"/>
      <c r="I8" s="181"/>
      <c r="J8" s="181"/>
      <c r="K8" s="181"/>
      <c r="L8" s="181"/>
      <c r="M8" s="181"/>
      <c r="N8" s="181"/>
      <c r="O8" s="181"/>
    </row>
    <row r="9" spans="1:20" ht="14.85" customHeight="1" x14ac:dyDescent="0.25">
      <c r="B9" s="176" t="s">
        <v>188</v>
      </c>
      <c r="C9" s="177"/>
      <c r="D9" s="177"/>
      <c r="E9" s="177"/>
      <c r="F9" s="177"/>
      <c r="G9" s="177"/>
      <c r="H9" s="177"/>
      <c r="I9" s="177"/>
      <c r="J9" s="177"/>
      <c r="K9" s="177"/>
      <c r="L9" s="177"/>
      <c r="M9" s="177"/>
      <c r="N9" s="177"/>
      <c r="O9" s="177"/>
    </row>
    <row r="10" spans="1:20" ht="14.85" customHeight="1" x14ac:dyDescent="0.25">
      <c r="B10" s="180" t="s">
        <v>200</v>
      </c>
      <c r="C10" s="181"/>
      <c r="D10" s="181"/>
      <c r="E10" s="181"/>
      <c r="F10" s="181"/>
      <c r="G10" s="181"/>
      <c r="H10" s="181"/>
      <c r="I10" s="181"/>
      <c r="J10" s="181"/>
      <c r="K10" s="181"/>
      <c r="L10" s="181"/>
      <c r="M10" s="181"/>
      <c r="N10" s="181"/>
      <c r="O10" s="181"/>
    </row>
    <row r="11" spans="1:20" ht="14.85" customHeight="1" x14ac:dyDescent="0.25">
      <c r="B11" s="176" t="s">
        <v>196</v>
      </c>
      <c r="C11" s="177"/>
      <c r="D11" s="177"/>
      <c r="E11" s="177"/>
      <c r="F11" s="177"/>
      <c r="G11" s="177"/>
      <c r="H11" s="177"/>
      <c r="I11" s="177"/>
      <c r="J11" s="177"/>
      <c r="K11" s="177"/>
      <c r="L11" s="177"/>
      <c r="M11" s="177"/>
      <c r="N11" s="177"/>
      <c r="O11" s="177"/>
    </row>
    <row r="12" spans="1:20" ht="14.85" customHeight="1" x14ac:dyDescent="0.25">
      <c r="B12" s="180" t="s">
        <v>198</v>
      </c>
      <c r="C12" s="181"/>
      <c r="D12" s="181"/>
      <c r="E12" s="181"/>
      <c r="F12" s="181"/>
      <c r="G12" s="181"/>
      <c r="H12" s="181"/>
      <c r="I12" s="181"/>
      <c r="J12" s="181"/>
      <c r="K12" s="181"/>
      <c r="L12" s="181"/>
      <c r="M12" s="181"/>
      <c r="N12" s="181"/>
      <c r="O12" s="181"/>
    </row>
    <row r="13" spans="1:20" ht="14.85" customHeight="1" x14ac:dyDescent="0.25">
      <c r="B13" s="176" t="s">
        <v>195</v>
      </c>
      <c r="C13" s="177"/>
      <c r="D13" s="177"/>
      <c r="E13" s="177"/>
      <c r="F13" s="177"/>
      <c r="G13" s="177"/>
      <c r="H13" s="177"/>
      <c r="I13" s="177"/>
      <c r="J13" s="177"/>
      <c r="K13" s="177"/>
      <c r="L13" s="177"/>
      <c r="M13" s="177"/>
      <c r="N13" s="177"/>
      <c r="O13" s="177"/>
    </row>
    <row r="14" spans="1:20" ht="14.85" customHeight="1" x14ac:dyDescent="0.25">
      <c r="B14" s="180" t="s">
        <v>189</v>
      </c>
      <c r="C14" s="181"/>
      <c r="D14" s="181"/>
      <c r="E14" s="181"/>
      <c r="F14" s="181"/>
      <c r="G14" s="181"/>
      <c r="H14" s="181"/>
      <c r="I14" s="181"/>
      <c r="J14" s="181"/>
      <c r="K14" s="181"/>
      <c r="L14" s="181"/>
      <c r="M14" s="181"/>
      <c r="N14" s="181"/>
      <c r="O14" s="181"/>
    </row>
    <row r="15" spans="1:20" ht="14.85" customHeight="1" x14ac:dyDescent="0.25">
      <c r="B15" s="176" t="s">
        <v>201</v>
      </c>
      <c r="C15" s="177"/>
      <c r="D15" s="177"/>
      <c r="E15" s="177"/>
      <c r="F15" s="177"/>
      <c r="G15" s="177"/>
      <c r="H15" s="177"/>
      <c r="I15" s="177"/>
      <c r="J15" s="177"/>
      <c r="K15" s="177"/>
      <c r="L15" s="177"/>
      <c r="M15" s="177"/>
      <c r="N15" s="177"/>
      <c r="O15" s="177"/>
    </row>
    <row r="16" spans="1:20" ht="14.85" customHeight="1" x14ac:dyDescent="0.25">
      <c r="B16" s="180" t="s">
        <v>191</v>
      </c>
      <c r="C16" s="181"/>
      <c r="D16" s="181"/>
      <c r="E16" s="181"/>
      <c r="F16" s="181"/>
      <c r="G16" s="181"/>
      <c r="H16" s="181"/>
      <c r="I16" s="181"/>
      <c r="J16" s="181"/>
      <c r="K16" s="181"/>
      <c r="L16" s="181"/>
      <c r="M16" s="181"/>
      <c r="N16" s="181"/>
      <c r="O16" s="181"/>
    </row>
    <row r="17" spans="2:15" ht="14.85" customHeight="1" x14ac:dyDescent="0.25">
      <c r="B17" s="176" t="s">
        <v>186</v>
      </c>
      <c r="C17" s="177"/>
      <c r="D17" s="177"/>
      <c r="E17" s="177"/>
      <c r="F17" s="177"/>
      <c r="G17" s="177"/>
      <c r="H17" s="177"/>
      <c r="I17" s="177"/>
      <c r="J17" s="177"/>
      <c r="K17" s="177"/>
      <c r="L17" s="177"/>
      <c r="M17" s="177"/>
      <c r="N17" s="177"/>
      <c r="O17" s="177"/>
    </row>
    <row r="18" spans="2:15" ht="14.85" customHeight="1" x14ac:dyDescent="0.25">
      <c r="B18" s="180" t="s">
        <v>197</v>
      </c>
      <c r="C18" s="181"/>
      <c r="D18" s="181"/>
      <c r="E18" s="181"/>
      <c r="F18" s="181"/>
      <c r="G18" s="181"/>
      <c r="H18" s="181"/>
      <c r="I18" s="181"/>
      <c r="J18" s="181"/>
      <c r="K18" s="181"/>
      <c r="L18" s="181"/>
      <c r="M18" s="181"/>
      <c r="N18" s="181"/>
      <c r="O18" s="181"/>
    </row>
    <row r="19" spans="2:15" ht="14.85" customHeight="1" x14ac:dyDescent="0.25">
      <c r="B19" s="176" t="s">
        <v>199</v>
      </c>
      <c r="C19" s="177"/>
      <c r="D19" s="177"/>
      <c r="E19" s="177"/>
      <c r="F19" s="177"/>
      <c r="G19" s="177"/>
      <c r="H19" s="177"/>
      <c r="I19" s="177"/>
      <c r="J19" s="177"/>
      <c r="K19" s="177"/>
      <c r="L19" s="177"/>
      <c r="M19" s="177"/>
      <c r="N19" s="177"/>
      <c r="O19" s="177"/>
    </row>
    <row r="20" spans="2:15" ht="14.85" customHeight="1" x14ac:dyDescent="0.25">
      <c r="B20" s="180" t="s">
        <v>177</v>
      </c>
      <c r="C20" s="181"/>
      <c r="D20" s="181"/>
      <c r="E20" s="181"/>
      <c r="F20" s="181"/>
      <c r="G20" s="181"/>
      <c r="H20" s="181"/>
      <c r="I20" s="181"/>
      <c r="J20" s="181"/>
      <c r="K20" s="181"/>
      <c r="L20" s="181"/>
      <c r="M20" s="181"/>
      <c r="N20" s="181"/>
      <c r="O20" s="181"/>
    </row>
    <row r="21" spans="2:15" ht="14.85" customHeight="1" x14ac:dyDescent="0.25">
      <c r="B21" s="176" t="s">
        <v>192</v>
      </c>
      <c r="C21" s="177"/>
      <c r="D21" s="177"/>
      <c r="E21" s="177"/>
      <c r="F21" s="177"/>
      <c r="G21" s="177"/>
      <c r="H21" s="177"/>
      <c r="I21" s="177"/>
      <c r="J21" s="177"/>
      <c r="K21" s="177"/>
      <c r="L21" s="177"/>
      <c r="M21" s="177"/>
      <c r="N21" s="177"/>
      <c r="O21" s="177"/>
    </row>
    <row r="22" spans="2:15" ht="14.85" customHeight="1" x14ac:dyDescent="0.25">
      <c r="B22" s="180" t="s">
        <v>176</v>
      </c>
      <c r="C22" s="181"/>
      <c r="D22" s="181"/>
      <c r="E22" s="181"/>
      <c r="F22" s="181"/>
      <c r="G22" s="181"/>
      <c r="H22" s="181"/>
      <c r="I22" s="181"/>
      <c r="J22" s="181"/>
      <c r="K22" s="181"/>
      <c r="L22" s="181"/>
      <c r="M22" s="181"/>
      <c r="N22" s="181"/>
      <c r="O22" s="181"/>
    </row>
    <row r="23" spans="2:15" ht="14.85" customHeight="1" x14ac:dyDescent="0.25">
      <c r="B23" s="176" t="s">
        <v>193</v>
      </c>
      <c r="C23" s="177"/>
      <c r="D23" s="177"/>
      <c r="E23" s="177"/>
      <c r="F23" s="177"/>
      <c r="G23" s="177"/>
      <c r="H23" s="177"/>
      <c r="I23" s="177"/>
      <c r="J23" s="177"/>
      <c r="K23" s="177"/>
      <c r="L23" s="177"/>
      <c r="M23" s="177"/>
      <c r="N23" s="177"/>
      <c r="O23" s="177"/>
    </row>
    <row r="24" spans="2:15" ht="14.85" customHeight="1" x14ac:dyDescent="0.25">
      <c r="B24" s="180" t="s">
        <v>178</v>
      </c>
      <c r="C24" s="181"/>
      <c r="D24" s="181"/>
      <c r="E24" s="181"/>
      <c r="F24" s="181"/>
      <c r="G24" s="181"/>
      <c r="H24" s="181"/>
      <c r="I24" s="181"/>
      <c r="J24" s="181"/>
      <c r="K24" s="181"/>
      <c r="L24" s="181"/>
      <c r="M24" s="181"/>
      <c r="N24" s="181"/>
      <c r="O24" s="181"/>
    </row>
    <row r="25" spans="2:15" ht="14.85" customHeight="1" x14ac:dyDescent="0.25">
      <c r="B25" s="176" t="s">
        <v>4</v>
      </c>
      <c r="C25" s="177"/>
      <c r="D25" s="177"/>
      <c r="E25" s="177"/>
      <c r="F25" s="177"/>
      <c r="G25" s="177"/>
      <c r="H25" s="177"/>
      <c r="I25" s="177"/>
      <c r="J25" s="177"/>
      <c r="K25" s="177"/>
      <c r="L25" s="177"/>
      <c r="M25" s="177"/>
      <c r="N25" s="177"/>
      <c r="O25" s="177"/>
    </row>
    <row r="26" spans="2:15" ht="14.85" customHeight="1" x14ac:dyDescent="0.25">
      <c r="B26" s="180" t="s">
        <v>183</v>
      </c>
      <c r="C26" s="181"/>
      <c r="D26" s="181"/>
      <c r="E26" s="181"/>
      <c r="F26" s="181"/>
      <c r="G26" s="181"/>
      <c r="H26" s="181"/>
      <c r="I26" s="181"/>
      <c r="J26" s="181"/>
      <c r="K26" s="181"/>
      <c r="L26" s="181"/>
      <c r="M26" s="181"/>
      <c r="N26" s="181"/>
      <c r="O26" s="181"/>
    </row>
    <row r="27" spans="2:15" ht="14.85" customHeight="1" x14ac:dyDescent="0.25">
      <c r="B27" s="176" t="s">
        <v>194</v>
      </c>
      <c r="C27" s="177"/>
      <c r="D27" s="177"/>
      <c r="E27" s="177"/>
      <c r="F27" s="177"/>
      <c r="G27" s="177"/>
      <c r="H27" s="177"/>
      <c r="I27" s="177"/>
      <c r="J27" s="177"/>
      <c r="K27" s="177"/>
      <c r="L27" s="177"/>
      <c r="M27" s="177"/>
      <c r="N27" s="177"/>
      <c r="O27" s="177"/>
    </row>
    <row r="28" spans="2:15" ht="14.85" customHeight="1" x14ac:dyDescent="0.25">
      <c r="B28" s="180" t="s">
        <v>179</v>
      </c>
      <c r="C28" s="181"/>
      <c r="D28" s="181"/>
      <c r="E28" s="181"/>
      <c r="F28" s="181"/>
      <c r="G28" s="181"/>
      <c r="H28" s="181"/>
      <c r="I28" s="181"/>
      <c r="J28" s="181"/>
      <c r="K28" s="181"/>
      <c r="L28" s="181"/>
      <c r="M28" s="181"/>
      <c r="N28" s="181"/>
      <c r="O28" s="181"/>
    </row>
    <row r="29" spans="2:15" ht="14.85" customHeight="1" x14ac:dyDescent="0.25">
      <c r="B29" s="176" t="s">
        <v>185</v>
      </c>
      <c r="C29" s="177"/>
      <c r="D29" s="177"/>
      <c r="E29" s="177"/>
      <c r="F29" s="177"/>
      <c r="G29" s="177"/>
      <c r="H29" s="177"/>
      <c r="I29" s="177"/>
      <c r="J29" s="177"/>
      <c r="K29" s="177"/>
      <c r="L29" s="177"/>
      <c r="M29" s="177"/>
      <c r="N29" s="177"/>
      <c r="O29" s="177"/>
    </row>
    <row r="30" spans="2:15" ht="14.85" customHeight="1" x14ac:dyDescent="0.25">
      <c r="B30" s="180" t="s">
        <v>187</v>
      </c>
      <c r="C30" s="181"/>
      <c r="D30" s="181"/>
      <c r="E30" s="181"/>
      <c r="F30" s="181"/>
      <c r="G30" s="181"/>
      <c r="H30" s="181"/>
      <c r="I30" s="181"/>
      <c r="J30" s="181"/>
      <c r="K30" s="181"/>
      <c r="L30" s="181"/>
      <c r="M30" s="181"/>
      <c r="N30" s="181"/>
      <c r="O30" s="181"/>
    </row>
    <row r="31" spans="2:15" ht="14.85" customHeight="1" x14ac:dyDescent="0.25">
      <c r="B31" s="176" t="s">
        <v>180</v>
      </c>
      <c r="C31" s="177"/>
      <c r="D31" s="177"/>
      <c r="E31" s="177"/>
      <c r="F31" s="177"/>
      <c r="G31" s="177"/>
      <c r="H31" s="177"/>
      <c r="I31" s="177"/>
      <c r="J31" s="177"/>
      <c r="K31" s="177"/>
      <c r="L31" s="177"/>
      <c r="M31" s="177"/>
      <c r="N31" s="177"/>
      <c r="O31" s="177"/>
    </row>
    <row r="32" spans="2:15" ht="14.85" customHeight="1" x14ac:dyDescent="0.25">
      <c r="B32" s="193" t="s">
        <v>182</v>
      </c>
      <c r="C32" s="194"/>
      <c r="D32" s="194"/>
      <c r="E32" s="194"/>
      <c r="F32" s="194"/>
      <c r="G32" s="194"/>
      <c r="H32" s="194"/>
      <c r="I32" s="194"/>
      <c r="J32" s="194"/>
      <c r="K32" s="194"/>
      <c r="L32" s="194"/>
      <c r="M32" s="194"/>
      <c r="N32" s="194"/>
      <c r="O32" s="194"/>
    </row>
    <row r="33" spans="2:2" x14ac:dyDescent="0.25">
      <c r="B33" s="281" t="s">
        <v>391</v>
      </c>
    </row>
    <row r="34" spans="2:2" x14ac:dyDescent="0.25">
      <c r="B34" s="281" t="s">
        <v>392</v>
      </c>
    </row>
  </sheetData>
  <mergeCells count="3">
    <mergeCell ref="A1:Q1"/>
    <mergeCell ref="R1:T1"/>
    <mergeCell ref="G4:J4"/>
  </mergeCell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ATA_STATE_VIEW"/>
  <dimension ref="A1:AS16"/>
  <sheetViews>
    <sheetView showGridLines="0" showRowColHeaders="0" workbookViewId="0">
      <selection activeCell="C8" sqref="C8"/>
    </sheetView>
  </sheetViews>
  <sheetFormatPr baseColWidth="10" defaultRowHeight="15" x14ac:dyDescent="0.25"/>
  <cols>
    <col min="2" max="2" width="27.5703125" customWidth="1"/>
    <col min="3" max="4" width="19.140625" customWidth="1"/>
  </cols>
  <sheetData>
    <row r="1" spans="1:45" ht="29.25" customHeight="1" x14ac:dyDescent="0.25">
      <c r="A1" s="269" t="s">
        <v>352</v>
      </c>
      <c r="B1" s="269"/>
      <c r="C1" s="269"/>
      <c r="D1" s="269"/>
      <c r="E1" s="269"/>
      <c r="F1" s="269"/>
      <c r="G1" s="269"/>
      <c r="H1" s="269"/>
      <c r="I1" s="269"/>
      <c r="J1" s="269"/>
      <c r="K1" s="269"/>
      <c r="L1" s="269"/>
      <c r="M1" s="269"/>
      <c r="N1" s="269"/>
      <c r="O1" s="269"/>
      <c r="P1" s="269"/>
      <c r="Q1" s="269"/>
      <c r="R1" s="269"/>
      <c r="S1" s="269"/>
      <c r="T1" s="269"/>
      <c r="U1" s="185"/>
      <c r="V1" s="185"/>
      <c r="W1" s="185"/>
      <c r="X1" s="185"/>
      <c r="Y1" s="185"/>
      <c r="Z1" s="185"/>
      <c r="AA1" s="185"/>
      <c r="AB1" s="185"/>
      <c r="AC1" s="185"/>
      <c r="AD1" s="185"/>
      <c r="AE1" s="185"/>
      <c r="AF1" s="185"/>
      <c r="AG1" s="185"/>
      <c r="AH1" s="185"/>
      <c r="AI1" s="185"/>
      <c r="AJ1" s="185"/>
      <c r="AK1" s="185"/>
      <c r="AL1" s="185"/>
      <c r="AM1" s="185"/>
      <c r="AN1" s="185"/>
      <c r="AO1" s="185"/>
      <c r="AP1" s="185"/>
      <c r="AQ1" s="185"/>
      <c r="AR1" s="185"/>
      <c r="AS1" s="185"/>
    </row>
    <row r="2" spans="1:45" s="3" customFormat="1" ht="15.75" customHeight="1" x14ac:dyDescent="0.25"/>
    <row r="4" spans="1:45" x14ac:dyDescent="0.25">
      <c r="B4" s="195" t="s">
        <v>370</v>
      </c>
    </row>
    <row r="5" spans="1:45" x14ac:dyDescent="0.25">
      <c r="C5" s="183" t="s">
        <v>348</v>
      </c>
      <c r="D5" s="183" t="s">
        <v>349</v>
      </c>
    </row>
    <row r="6" spans="1:45" x14ac:dyDescent="0.25">
      <c r="B6" s="184" t="s">
        <v>346</v>
      </c>
      <c r="C6" s="186">
        <v>45261</v>
      </c>
      <c r="D6" s="186">
        <v>45272</v>
      </c>
    </row>
    <row r="7" spans="1:45" x14ac:dyDescent="0.25">
      <c r="B7" s="98" t="s">
        <v>347</v>
      </c>
      <c r="C7" s="187">
        <v>45271</v>
      </c>
      <c r="D7" s="187">
        <v>45273</v>
      </c>
    </row>
    <row r="8" spans="1:45" x14ac:dyDescent="0.25">
      <c r="B8" s="184" t="s">
        <v>353</v>
      </c>
      <c r="C8" s="186">
        <v>45047</v>
      </c>
      <c r="D8" s="186">
        <v>45620</v>
      </c>
    </row>
    <row r="10" spans="1:45" x14ac:dyDescent="0.25">
      <c r="B10" s="223" t="s">
        <v>384</v>
      </c>
    </row>
    <row r="11" spans="1:45" x14ac:dyDescent="0.25">
      <c r="B11" s="225" t="s">
        <v>350</v>
      </c>
      <c r="C11" s="225" t="s">
        <v>351</v>
      </c>
    </row>
    <row r="12" spans="1:45" x14ac:dyDescent="0.25">
      <c r="B12" s="184" t="s">
        <v>385</v>
      </c>
      <c r="C12" s="227">
        <v>45286.472268518519</v>
      </c>
    </row>
    <row r="13" spans="1:45" x14ac:dyDescent="0.25">
      <c r="B13" s="224" t="s">
        <v>347</v>
      </c>
      <c r="C13" s="228">
        <v>45274.337962962964</v>
      </c>
    </row>
    <row r="15" spans="1:45" x14ac:dyDescent="0.25">
      <c r="B15" s="195" t="s">
        <v>354</v>
      </c>
    </row>
    <row r="16" spans="1:45" x14ac:dyDescent="0.25">
      <c r="B16" s="98" t="s">
        <v>350</v>
      </c>
      <c r="C16" s="226" t="s">
        <v>386</v>
      </c>
    </row>
  </sheetData>
  <mergeCells count="1">
    <mergeCell ref="A1:T1"/>
  </mergeCell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dimension ref="A1:O16"/>
  <sheetViews>
    <sheetView showGridLines="0" showRowColHeaders="0" workbookViewId="0">
      <selection activeCell="C12" sqref="C12"/>
    </sheetView>
  </sheetViews>
  <sheetFormatPr baseColWidth="10" defaultRowHeight="15" x14ac:dyDescent="0.25"/>
  <cols>
    <col min="1" max="1" width="4.28515625" customWidth="1"/>
    <col min="2" max="2" width="57.5703125" customWidth="1"/>
    <col min="3" max="3" width="76" customWidth="1"/>
    <col min="4" max="4" width="12.7109375" customWidth="1"/>
    <col min="5" max="5" width="18.7109375" customWidth="1"/>
    <col min="6" max="6" width="12.7109375" customWidth="1"/>
    <col min="7" max="7" width="3.85546875" customWidth="1"/>
    <col min="8" max="8" width="22.85546875" customWidth="1"/>
  </cols>
  <sheetData>
    <row r="1" spans="1:15" ht="33" customHeight="1" x14ac:dyDescent="0.25">
      <c r="A1" s="269" t="s">
        <v>259</v>
      </c>
      <c r="B1" s="269"/>
      <c r="C1" s="269"/>
      <c r="D1" s="269"/>
      <c r="E1" s="269"/>
      <c r="F1" s="269"/>
      <c r="G1" s="269"/>
      <c r="H1" s="269"/>
      <c r="I1" s="269"/>
      <c r="J1" s="269"/>
      <c r="K1" s="269"/>
      <c r="L1" s="269"/>
      <c r="M1" s="269"/>
      <c r="N1" s="269"/>
      <c r="O1" s="164"/>
    </row>
    <row r="4" spans="1:15" x14ac:dyDescent="0.25">
      <c r="B4" s="175" t="s">
        <v>299</v>
      </c>
      <c r="C4" s="99" t="s">
        <v>373</v>
      </c>
      <c r="E4" t="s">
        <v>254</v>
      </c>
      <c r="F4" t="s">
        <v>255</v>
      </c>
      <c r="H4" s="66" t="s">
        <v>252</v>
      </c>
    </row>
    <row r="5" spans="1:15" x14ac:dyDescent="0.25">
      <c r="E5" t="s">
        <v>256</v>
      </c>
      <c r="F5" t="s">
        <v>258</v>
      </c>
      <c r="H5" s="3" t="s">
        <v>244</v>
      </c>
    </row>
    <row r="6" spans="1:15" x14ac:dyDescent="0.25">
      <c r="B6" s="175" t="s">
        <v>253</v>
      </c>
      <c r="C6" s="99" t="s">
        <v>372</v>
      </c>
      <c r="E6" t="s">
        <v>257</v>
      </c>
      <c r="F6" t="s">
        <v>258</v>
      </c>
      <c r="H6" s="3" t="s">
        <v>245</v>
      </c>
    </row>
    <row r="7" spans="1:15" x14ac:dyDescent="0.25">
      <c r="H7" s="3" t="s">
        <v>217</v>
      </c>
    </row>
    <row r="8" spans="1:15" x14ac:dyDescent="0.25">
      <c r="B8" s="175" t="s">
        <v>345</v>
      </c>
      <c r="C8" s="99" t="s">
        <v>371</v>
      </c>
    </row>
    <row r="10" spans="1:15" x14ac:dyDescent="0.25">
      <c r="B10" s="175" t="s">
        <v>337</v>
      </c>
      <c r="C10" s="99" t="s">
        <v>338</v>
      </c>
    </row>
    <row r="12" spans="1:15" x14ac:dyDescent="0.25">
      <c r="B12" s="175" t="s">
        <v>344</v>
      </c>
      <c r="C12" s="138" t="s">
        <v>288</v>
      </c>
    </row>
    <row r="14" spans="1:15" x14ac:dyDescent="0.25">
      <c r="B14" s="175" t="s">
        <v>289</v>
      </c>
      <c r="C14" s="99" t="s">
        <v>335</v>
      </c>
    </row>
    <row r="16" spans="1:15" x14ac:dyDescent="0.25">
      <c r="B16" s="175" t="s">
        <v>369</v>
      </c>
      <c r="C16" s="99"/>
    </row>
  </sheetData>
  <mergeCells count="1">
    <mergeCell ref="A1:N1"/>
  </mergeCells>
  <pageMargins left="0.7" right="0.7" top="0.75" bottom="0.75" header="0.3" footer="0.3"/>
  <drawing r:id="rId1"/>
  <legacyDrawing r:id="rId2"/>
  <tableParts count="2">
    <tablePart r:id="rId3"/>
    <tablePart r:id="rId4"/>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FFECTIF"/>
  <dimension ref="A1:U38"/>
  <sheetViews>
    <sheetView showGridLines="0" showRowColHeaders="0" workbookViewId="0">
      <selection activeCell="B6" sqref="B6:P38"/>
    </sheetView>
  </sheetViews>
  <sheetFormatPr baseColWidth="10" defaultRowHeight="15" x14ac:dyDescent="0.25"/>
  <cols>
    <col min="1" max="1" width="3" style="14" customWidth="1"/>
    <col min="2" max="2" width="10.140625" style="14" customWidth="1"/>
    <col min="3" max="3" width="8.28515625" style="14" customWidth="1"/>
    <col min="4" max="4" width="23.42578125" style="14" customWidth="1"/>
    <col min="5" max="5" width="16.28515625" style="14" bestFit="1" customWidth="1"/>
    <col min="6" max="6" width="17.7109375" style="14" bestFit="1" customWidth="1"/>
    <col min="7" max="7" width="12.42578125" style="14" customWidth="1"/>
    <col min="8" max="8" width="7.42578125" style="14" customWidth="1"/>
    <col min="9" max="9" width="18.140625" style="14" customWidth="1"/>
    <col min="10" max="10" width="27" style="14" customWidth="1"/>
    <col min="11" max="11" width="11.28515625" style="14" customWidth="1"/>
    <col min="12" max="12" width="10.7109375" style="14" customWidth="1"/>
    <col min="13" max="13" width="10.140625" style="14" customWidth="1"/>
    <col min="14" max="14" width="9.7109375" style="14" customWidth="1"/>
    <col min="15" max="15" width="16.140625" style="14" customWidth="1"/>
    <col min="16" max="16" width="14.140625" style="14" customWidth="1"/>
    <col min="17" max="17" width="2.140625" style="14" customWidth="1"/>
    <col min="18" max="18" width="8.42578125" style="14" customWidth="1"/>
    <col min="19" max="19" width="19.7109375" style="14" customWidth="1"/>
    <col min="20" max="20" width="7" style="14" customWidth="1"/>
    <col min="21" max="16384" width="11.42578125" style="14"/>
  </cols>
  <sheetData>
    <row r="1" spans="1:21" ht="32.25" customHeight="1" x14ac:dyDescent="0.25">
      <c r="A1" s="280" t="s">
        <v>181</v>
      </c>
      <c r="B1" s="280"/>
      <c r="C1" s="280"/>
      <c r="D1" s="280"/>
      <c r="E1" s="280"/>
      <c r="F1" s="280"/>
      <c r="G1" s="280"/>
      <c r="H1" s="280"/>
      <c r="I1" s="280"/>
      <c r="J1" s="280"/>
      <c r="K1" s="280"/>
      <c r="L1" s="280"/>
      <c r="M1" s="280"/>
      <c r="N1" s="280"/>
      <c r="O1" s="280"/>
      <c r="P1" s="280"/>
      <c r="Q1" s="280"/>
      <c r="R1" s="280"/>
      <c r="S1" s="280"/>
      <c r="T1" s="280"/>
      <c r="U1" s="280"/>
    </row>
    <row r="2" spans="1:21" ht="7.5" customHeight="1" x14ac:dyDescent="0.25">
      <c r="A2" s="34"/>
      <c r="B2" s="34"/>
      <c r="C2" s="34"/>
      <c r="D2" s="34"/>
      <c r="E2" s="34"/>
      <c r="F2" s="34"/>
      <c r="G2" s="34"/>
      <c r="H2" s="34"/>
      <c r="I2" s="34"/>
      <c r="J2" s="34"/>
      <c r="K2" s="34"/>
      <c r="L2" s="34"/>
      <c r="M2" s="34"/>
      <c r="N2" s="34"/>
      <c r="O2" s="34"/>
      <c r="P2" s="34"/>
      <c r="Q2" s="34"/>
      <c r="R2" s="34"/>
      <c r="S2" s="34"/>
    </row>
    <row r="3" spans="1:21" ht="21" customHeight="1" x14ac:dyDescent="0.25">
      <c r="A3" s="34"/>
      <c r="B3" s="233" t="s">
        <v>363</v>
      </c>
      <c r="C3" s="234"/>
      <c r="D3" s="234"/>
      <c r="E3" s="234"/>
      <c r="F3" s="234"/>
      <c r="G3" s="234"/>
      <c r="H3" s="34"/>
      <c r="I3" s="34"/>
      <c r="J3" s="34"/>
      <c r="K3" s="34"/>
      <c r="L3" s="34"/>
      <c r="M3" s="34"/>
      <c r="N3" s="34"/>
      <c r="O3" s="34"/>
      <c r="P3" s="34"/>
      <c r="Q3" s="34"/>
      <c r="R3" s="41" t="s">
        <v>213</v>
      </c>
      <c r="S3" s="34"/>
    </row>
    <row r="4" spans="1:21" ht="2.25" customHeight="1" x14ac:dyDescent="0.25">
      <c r="A4" s="22"/>
      <c r="B4" s="22"/>
    </row>
    <row r="5" spans="1:21" ht="44.25" customHeight="1" x14ac:dyDescent="0.25">
      <c r="B5" s="25" t="s">
        <v>70</v>
      </c>
      <c r="C5" s="33" t="s">
        <v>207</v>
      </c>
      <c r="D5" s="26" t="s">
        <v>214</v>
      </c>
      <c r="E5" s="25" t="s">
        <v>205</v>
      </c>
      <c r="F5" s="26" t="s">
        <v>69</v>
      </c>
      <c r="G5" s="25" t="s">
        <v>116</v>
      </c>
      <c r="H5" s="25" t="s">
        <v>117</v>
      </c>
      <c r="I5" s="25" t="s">
        <v>297</v>
      </c>
      <c r="J5" s="27" t="s">
        <v>73</v>
      </c>
      <c r="K5" s="28" t="s">
        <v>203</v>
      </c>
      <c r="L5" s="29" t="s">
        <v>204</v>
      </c>
      <c r="M5" s="30" t="s">
        <v>208</v>
      </c>
      <c r="N5" s="24" t="s">
        <v>220</v>
      </c>
      <c r="O5" s="24" t="s">
        <v>246</v>
      </c>
      <c r="P5" s="33" t="s">
        <v>210</v>
      </c>
      <c r="R5" s="42" t="s">
        <v>207</v>
      </c>
      <c r="S5" s="43" t="s">
        <v>214</v>
      </c>
      <c r="T5" s="42" t="s">
        <v>212</v>
      </c>
    </row>
    <row r="6" spans="1:21" x14ac:dyDescent="0.25">
      <c r="B6" s="67" t="s">
        <v>25</v>
      </c>
      <c r="C6" s="68">
        <f>LEFT(Tableau3[[#This Row],[n°agent]],4)*1</f>
        <v>7884</v>
      </c>
      <c r="D6" s="69" t="s">
        <v>184</v>
      </c>
      <c r="E6" s="67" t="s">
        <v>24</v>
      </c>
      <c r="F6" s="70" t="s">
        <v>8</v>
      </c>
      <c r="G6" s="71">
        <v>41435</v>
      </c>
      <c r="H6" s="67">
        <v>1</v>
      </c>
      <c r="I6" s="72" t="s">
        <v>84</v>
      </c>
      <c r="J6" s="73" t="s">
        <v>85</v>
      </c>
      <c r="K6" s="74">
        <v>73415</v>
      </c>
      <c r="L6" s="70" t="s">
        <v>141</v>
      </c>
      <c r="M6" s="75" t="s">
        <v>127</v>
      </c>
      <c r="N6" s="76"/>
      <c r="O6" s="77"/>
      <c r="P6" s="77">
        <f>LEFT(Tableau3[[#This Row],[Resp Equipe]],4)*1</f>
        <v>7846</v>
      </c>
      <c r="R6" s="14">
        <v>8228</v>
      </c>
      <c r="S6" s="14" t="str">
        <f>VLOOKUP(Tableau4[[#This Row],[numagt]],Tableau3[[numagt]:[Nom]],2,FALSE)</f>
        <v>PEAUD Mickael</v>
      </c>
      <c r="T6" s="14">
        <v>1</v>
      </c>
    </row>
    <row r="7" spans="1:21" x14ac:dyDescent="0.25">
      <c r="B7" s="67" t="s">
        <v>40</v>
      </c>
      <c r="C7" s="68">
        <f>LEFT(Tableau3[[#This Row],[n°agent]],4)*1</f>
        <v>7595</v>
      </c>
      <c r="D7" s="69" t="s">
        <v>190</v>
      </c>
      <c r="E7" s="67" t="s">
        <v>18</v>
      </c>
      <c r="F7" s="70" t="s">
        <v>13</v>
      </c>
      <c r="G7" s="71">
        <v>39755</v>
      </c>
      <c r="H7" s="67">
        <v>1</v>
      </c>
      <c r="I7" s="78">
        <v>652857813</v>
      </c>
      <c r="J7" s="79" t="s">
        <v>98</v>
      </c>
      <c r="K7" s="74">
        <v>73415</v>
      </c>
      <c r="L7" s="70" t="s">
        <v>141</v>
      </c>
      <c r="M7" s="75" t="s">
        <v>127</v>
      </c>
      <c r="N7" s="76"/>
      <c r="O7" s="77"/>
      <c r="P7" s="77">
        <f>LEFT(Tableau3[[#This Row],[Resp Equipe]],4)*1</f>
        <v>7846</v>
      </c>
      <c r="R7" s="14">
        <v>8887</v>
      </c>
      <c r="S7" s="14" t="str">
        <f>VLOOKUP(Tableau4[[#This Row],[numagt]],Tableau3[[numagt]:[Nom]],2,FALSE)</f>
        <v>PAILLERY Ludovic</v>
      </c>
      <c r="T7" s="14">
        <v>2</v>
      </c>
    </row>
    <row r="8" spans="1:21" x14ac:dyDescent="0.25">
      <c r="B8" s="67" t="s">
        <v>35</v>
      </c>
      <c r="C8" s="68">
        <f>LEFT(Tableau3[[#This Row],[n°agent]],4)*1</f>
        <v>7840</v>
      </c>
      <c r="D8" s="80" t="s">
        <v>188</v>
      </c>
      <c r="E8" s="67" t="s">
        <v>34</v>
      </c>
      <c r="F8" s="70" t="s">
        <v>27</v>
      </c>
      <c r="G8" s="71">
        <v>41183</v>
      </c>
      <c r="H8" s="67">
        <v>1</v>
      </c>
      <c r="I8" s="78">
        <v>674905967</v>
      </c>
      <c r="J8" s="73" t="s">
        <v>93</v>
      </c>
      <c r="K8" s="74">
        <v>73415</v>
      </c>
      <c r="L8" s="70" t="s">
        <v>126</v>
      </c>
      <c r="M8" s="75" t="s">
        <v>129</v>
      </c>
      <c r="N8" s="76" t="s">
        <v>3</v>
      </c>
      <c r="O8" s="77"/>
      <c r="P8" s="77">
        <f>LEFT(Tableau3[[#This Row],[Resp Equipe]],4)*1</f>
        <v>7888</v>
      </c>
      <c r="R8" s="14">
        <v>9857</v>
      </c>
      <c r="S8" s="14" t="str">
        <f>VLOOKUP(Tableau4[[#This Row],[numagt]],Tableau3[[numagt]:[Nom]],2,FALSE)</f>
        <v>RONDEY Sophie</v>
      </c>
      <c r="T8" s="14">
        <v>3</v>
      </c>
    </row>
    <row r="9" spans="1:21" x14ac:dyDescent="0.25">
      <c r="B9" s="70" t="s">
        <v>142</v>
      </c>
      <c r="C9" s="68">
        <f>LEFT(Tableau3[[#This Row],[n°agent]],4)*1</f>
        <v>9232</v>
      </c>
      <c r="D9" s="69" t="s">
        <v>121</v>
      </c>
      <c r="E9" s="81" t="s">
        <v>151</v>
      </c>
      <c r="F9" s="70" t="s">
        <v>8</v>
      </c>
      <c r="G9" s="82">
        <v>44872</v>
      </c>
      <c r="H9" s="70">
        <v>1</v>
      </c>
      <c r="I9" s="83">
        <v>601233328</v>
      </c>
      <c r="J9" s="73" t="s">
        <v>135</v>
      </c>
      <c r="K9" s="74">
        <v>73415</v>
      </c>
      <c r="L9" s="70" t="s">
        <v>146</v>
      </c>
      <c r="M9" s="75" t="s">
        <v>209</v>
      </c>
      <c r="N9" s="76"/>
      <c r="O9" s="77"/>
      <c r="P9" s="77">
        <f>LEFT(Tableau3[[#This Row],[Resp Equipe]],4)*1</f>
        <v>8228</v>
      </c>
      <c r="R9" s="14">
        <v>7888</v>
      </c>
      <c r="S9" s="14" t="str">
        <f>VLOOKUP(Tableau4[[#This Row],[numagt]],Tableau3[[numagt]:[Nom]],2,FALSE)</f>
        <v>LEONARD Virginie</v>
      </c>
      <c r="T9" s="14">
        <v>4</v>
      </c>
    </row>
    <row r="10" spans="1:21" x14ac:dyDescent="0.25">
      <c r="B10" s="67" t="s">
        <v>21</v>
      </c>
      <c r="C10" s="68">
        <f>LEFT(Tableau3[[#This Row],[n°agent]],4)*1</f>
        <v>8308</v>
      </c>
      <c r="D10" s="69" t="s">
        <v>200</v>
      </c>
      <c r="E10" s="67" t="s">
        <v>20</v>
      </c>
      <c r="F10" s="70" t="s">
        <v>13</v>
      </c>
      <c r="G10" s="71">
        <v>44872</v>
      </c>
      <c r="H10" s="67">
        <v>1</v>
      </c>
      <c r="I10" s="78">
        <v>668304781</v>
      </c>
      <c r="J10" s="79" t="s">
        <v>82</v>
      </c>
      <c r="K10" s="74">
        <v>73415</v>
      </c>
      <c r="L10" s="70" t="s">
        <v>141</v>
      </c>
      <c r="M10" s="75" t="s">
        <v>127</v>
      </c>
      <c r="N10" s="76" t="s">
        <v>72</v>
      </c>
      <c r="O10" s="77"/>
      <c r="P10" s="77">
        <f>LEFT(Tableau3[[#This Row],[Resp Equipe]],4)*1</f>
        <v>7846</v>
      </c>
      <c r="R10" s="14">
        <v>9232</v>
      </c>
      <c r="S10" s="14" t="str">
        <f>VLOOKUP(Tableau4[[#This Row],[numagt]],Tableau3[[numagt]:[Nom]],2,FALSE)</f>
        <v>DJAFFAL Noura</v>
      </c>
      <c r="T10" s="14">
        <v>5</v>
      </c>
    </row>
    <row r="11" spans="1:21" x14ac:dyDescent="0.25">
      <c r="B11" s="67" t="s">
        <v>57</v>
      </c>
      <c r="C11" s="68">
        <f>LEFT(Tableau3[[#This Row],[n°agent]],4)*1</f>
        <v>7739</v>
      </c>
      <c r="D11" s="69" t="s">
        <v>196</v>
      </c>
      <c r="E11" s="67" t="s">
        <v>56</v>
      </c>
      <c r="F11" s="70" t="s">
        <v>27</v>
      </c>
      <c r="G11" s="74">
        <v>40308</v>
      </c>
      <c r="H11" s="67">
        <v>1</v>
      </c>
      <c r="I11" s="72" t="s">
        <v>109</v>
      </c>
      <c r="J11" s="73" t="s">
        <v>110</v>
      </c>
      <c r="K11" s="74">
        <v>73415</v>
      </c>
      <c r="L11" s="70" t="s">
        <v>126</v>
      </c>
      <c r="M11" s="75" t="s">
        <v>129</v>
      </c>
      <c r="N11" s="76"/>
      <c r="O11" s="77"/>
      <c r="P11" s="77">
        <f>LEFT(Tableau3[[#This Row],[Resp Equipe]],4)*1</f>
        <v>7888</v>
      </c>
      <c r="R11" s="14">
        <v>7846</v>
      </c>
      <c r="S11" s="14" t="str">
        <f>VLOOKUP(Tableau4[[#This Row],[numagt]],Tableau3[[numagt]:[Nom]],2,FALSE)</f>
        <v>TIOZZO Sandrine</v>
      </c>
      <c r="T11" s="14">
        <v>6</v>
      </c>
    </row>
    <row r="12" spans="1:21" x14ac:dyDescent="0.25">
      <c r="B12" s="67" t="s">
        <v>7</v>
      </c>
      <c r="C12" s="68">
        <f>LEFT(Tableau3[[#This Row],[n°agent]],4)*1</f>
        <v>7589</v>
      </c>
      <c r="D12" s="69" t="s">
        <v>198</v>
      </c>
      <c r="E12" s="67" t="s">
        <v>6</v>
      </c>
      <c r="F12" s="70" t="s">
        <v>5</v>
      </c>
      <c r="G12" s="71">
        <v>39734</v>
      </c>
      <c r="H12" s="67">
        <v>0.56999999999999995</v>
      </c>
      <c r="I12" s="78" t="s">
        <v>74</v>
      </c>
      <c r="J12" s="84" t="s">
        <v>75</v>
      </c>
      <c r="K12" s="74">
        <v>73415</v>
      </c>
      <c r="L12" s="70" t="s">
        <v>141</v>
      </c>
      <c r="M12" s="75" t="s">
        <v>127</v>
      </c>
      <c r="N12" s="76"/>
      <c r="O12" s="77"/>
      <c r="P12" s="77">
        <f>LEFT(Tableau3[[#This Row],[Resp Equipe]],4)*1</f>
        <v>7846</v>
      </c>
      <c r="R12" s="14">
        <v>7603</v>
      </c>
      <c r="S12" s="14" t="str">
        <f>VLOOKUP(Tableau4[[#This Row],[numagt]],Tableau3[[numagt]:[Nom]],2,FALSE)</f>
        <v>MOREL Rosalie</v>
      </c>
      <c r="T12" s="14">
        <v>7</v>
      </c>
    </row>
    <row r="13" spans="1:21" x14ac:dyDescent="0.25">
      <c r="B13" s="67" t="s">
        <v>55</v>
      </c>
      <c r="C13" s="68">
        <f>LEFT(Tableau3[[#This Row],[n°agent]],4)*1</f>
        <v>7938</v>
      </c>
      <c r="D13" s="80" t="s">
        <v>195</v>
      </c>
      <c r="E13" s="67" t="s">
        <v>54</v>
      </c>
      <c r="F13" s="70" t="s">
        <v>27</v>
      </c>
      <c r="G13" s="74">
        <v>41883</v>
      </c>
      <c r="H13" s="67">
        <v>1</v>
      </c>
      <c r="I13" s="72" t="s">
        <v>107</v>
      </c>
      <c r="J13" s="73" t="s">
        <v>108</v>
      </c>
      <c r="K13" s="74">
        <v>73415</v>
      </c>
      <c r="L13" s="70" t="s">
        <v>141</v>
      </c>
      <c r="M13" s="75" t="s">
        <v>127</v>
      </c>
      <c r="N13" s="76"/>
      <c r="O13" s="77"/>
      <c r="P13" s="77">
        <f>LEFT(Tableau3[[#This Row],[Resp Equipe]],4)*1</f>
        <v>7846</v>
      </c>
    </row>
    <row r="14" spans="1:21" x14ac:dyDescent="0.25">
      <c r="B14" s="67" t="s">
        <v>37</v>
      </c>
      <c r="C14" s="68">
        <f>LEFT(Tableau3[[#This Row],[n°agent]],4)*1</f>
        <v>8302</v>
      </c>
      <c r="D14" s="69" t="s">
        <v>189</v>
      </c>
      <c r="E14" s="67" t="s">
        <v>36</v>
      </c>
      <c r="F14" s="70" t="s">
        <v>13</v>
      </c>
      <c r="G14" s="71">
        <v>42898</v>
      </c>
      <c r="H14" s="67">
        <v>1</v>
      </c>
      <c r="I14" s="78" t="s">
        <v>94</v>
      </c>
      <c r="J14" s="73" t="s">
        <v>95</v>
      </c>
      <c r="K14" s="74">
        <v>73415</v>
      </c>
      <c r="L14" s="70" t="s">
        <v>126</v>
      </c>
      <c r="M14" s="75" t="s">
        <v>129</v>
      </c>
      <c r="N14" s="76"/>
      <c r="O14" s="77"/>
      <c r="P14" s="77">
        <f>LEFT(Tableau3[[#This Row],[Resp Equipe]],4)*1</f>
        <v>7888</v>
      </c>
    </row>
    <row r="15" spans="1:21" x14ac:dyDescent="0.25">
      <c r="B15" s="67" t="s">
        <v>42</v>
      </c>
      <c r="C15" s="68">
        <f>LEFT(Tableau3[[#This Row],[n°agent]],4)*1</f>
        <v>8122</v>
      </c>
      <c r="D15" s="69" t="s">
        <v>201</v>
      </c>
      <c r="E15" s="67" t="s">
        <v>41</v>
      </c>
      <c r="F15" s="70" t="s">
        <v>13</v>
      </c>
      <c r="G15" s="71">
        <v>42373</v>
      </c>
      <c r="H15" s="67">
        <v>1</v>
      </c>
      <c r="I15" s="78">
        <v>615874178</v>
      </c>
      <c r="J15" s="73" t="s">
        <v>99</v>
      </c>
      <c r="K15" s="74">
        <v>73415</v>
      </c>
      <c r="L15" s="70" t="s">
        <v>141</v>
      </c>
      <c r="M15" s="75" t="s">
        <v>127</v>
      </c>
      <c r="N15" s="76"/>
      <c r="O15" s="77"/>
      <c r="P15" s="77">
        <f>LEFT(Tableau3[[#This Row],[Resp Equipe]],4)*1</f>
        <v>7846</v>
      </c>
    </row>
    <row r="16" spans="1:21" x14ac:dyDescent="0.25">
      <c r="B16" s="67" t="s">
        <v>44</v>
      </c>
      <c r="C16" s="68">
        <f>LEFT(Tableau3[[#This Row],[n°agent]],4)*1</f>
        <v>7973</v>
      </c>
      <c r="D16" s="80" t="s">
        <v>191</v>
      </c>
      <c r="E16" s="67" t="s">
        <v>43</v>
      </c>
      <c r="F16" s="70" t="s">
        <v>27</v>
      </c>
      <c r="G16" s="71">
        <v>42072</v>
      </c>
      <c r="H16" s="67">
        <v>1</v>
      </c>
      <c r="I16" s="78">
        <v>610987685</v>
      </c>
      <c r="J16" s="79" t="s">
        <v>100</v>
      </c>
      <c r="K16" s="74">
        <v>73415</v>
      </c>
      <c r="L16" s="70" t="s">
        <v>141</v>
      </c>
      <c r="M16" s="75" t="s">
        <v>127</v>
      </c>
      <c r="N16" s="76"/>
      <c r="O16" s="77"/>
      <c r="P16" s="77">
        <f>LEFT(Tableau3[[#This Row],[Resp Equipe]],4)*1</f>
        <v>7846</v>
      </c>
    </row>
    <row r="17" spans="2:16" x14ac:dyDescent="0.25">
      <c r="B17" s="67" t="s">
        <v>29</v>
      </c>
      <c r="C17" s="68">
        <f>LEFT(Tableau3[[#This Row],[n°agent]],4)*1</f>
        <v>8123</v>
      </c>
      <c r="D17" s="69" t="s">
        <v>186</v>
      </c>
      <c r="E17" s="67" t="s">
        <v>28</v>
      </c>
      <c r="F17" s="70" t="s">
        <v>27</v>
      </c>
      <c r="G17" s="71">
        <v>42373</v>
      </c>
      <c r="H17" s="67">
        <v>1</v>
      </c>
      <c r="I17" s="78">
        <v>662571600</v>
      </c>
      <c r="J17" s="79" t="s">
        <v>88</v>
      </c>
      <c r="K17" s="74">
        <v>73415</v>
      </c>
      <c r="L17" s="70" t="s">
        <v>141</v>
      </c>
      <c r="M17" s="75" t="s">
        <v>127</v>
      </c>
      <c r="N17" s="76"/>
      <c r="O17" s="77"/>
      <c r="P17" s="77">
        <f>LEFT(Tableau3[[#This Row],[Resp Equipe]],4)*1</f>
        <v>7846</v>
      </c>
    </row>
    <row r="18" spans="2:16" x14ac:dyDescent="0.25">
      <c r="B18" s="67" t="s">
        <v>60</v>
      </c>
      <c r="C18" s="68">
        <f>LEFT(Tableau3[[#This Row],[n°agent]],4)*1</f>
        <v>7590</v>
      </c>
      <c r="D18" s="69" t="s">
        <v>197</v>
      </c>
      <c r="E18" s="67" t="s">
        <v>59</v>
      </c>
      <c r="F18" s="70" t="s">
        <v>58</v>
      </c>
      <c r="G18" s="74">
        <v>39734</v>
      </c>
      <c r="H18" s="67">
        <v>0.34</v>
      </c>
      <c r="I18" s="72" t="s">
        <v>111</v>
      </c>
      <c r="J18" s="73" t="s">
        <v>112</v>
      </c>
      <c r="K18" s="74">
        <v>73415</v>
      </c>
      <c r="L18" s="70" t="s">
        <v>126</v>
      </c>
      <c r="M18" s="75" t="s">
        <v>129</v>
      </c>
      <c r="N18" s="76"/>
      <c r="O18" s="77"/>
      <c r="P18" s="77">
        <f>LEFT(Tableau3[[#This Row],[Resp Equipe]],4)*1</f>
        <v>7888</v>
      </c>
    </row>
    <row r="19" spans="2:16" x14ac:dyDescent="0.25">
      <c r="B19" s="70" t="s">
        <v>126</v>
      </c>
      <c r="C19" s="68">
        <f>LEFT(Tableau3[[#This Row],[n°agent]],4)*1</f>
        <v>7888</v>
      </c>
      <c r="D19" s="69" t="s">
        <v>120</v>
      </c>
      <c r="E19" s="81" t="s">
        <v>150</v>
      </c>
      <c r="F19" s="70" t="s">
        <v>8</v>
      </c>
      <c r="G19" s="82">
        <v>41435</v>
      </c>
      <c r="H19" s="70">
        <v>1</v>
      </c>
      <c r="I19" s="83">
        <v>611227235</v>
      </c>
      <c r="J19" s="79" t="s">
        <v>137</v>
      </c>
      <c r="K19" s="74">
        <v>73415</v>
      </c>
      <c r="L19" s="70" t="s">
        <v>146</v>
      </c>
      <c r="M19" s="75" t="s">
        <v>209</v>
      </c>
      <c r="N19" s="76"/>
      <c r="O19" s="77"/>
      <c r="P19" s="77">
        <f>LEFT(Tableau3[[#This Row],[Resp Equipe]],4)*1</f>
        <v>8228</v>
      </c>
    </row>
    <row r="20" spans="2:16" x14ac:dyDescent="0.25">
      <c r="B20" s="67" t="s">
        <v>10</v>
      </c>
      <c r="C20" s="68">
        <f>LEFT(Tableau3[[#This Row],[n°agent]],4)*1</f>
        <v>7841</v>
      </c>
      <c r="D20" s="69" t="s">
        <v>199</v>
      </c>
      <c r="E20" s="67" t="s">
        <v>9</v>
      </c>
      <c r="F20" s="70" t="s">
        <v>8</v>
      </c>
      <c r="G20" s="71">
        <v>41183</v>
      </c>
      <c r="H20" s="67">
        <v>1</v>
      </c>
      <c r="I20" s="78" t="s">
        <v>76</v>
      </c>
      <c r="J20" s="85" t="s">
        <v>77</v>
      </c>
      <c r="K20" s="74">
        <v>73415</v>
      </c>
      <c r="L20" s="70" t="s">
        <v>142</v>
      </c>
      <c r="M20" s="75" t="s">
        <v>128</v>
      </c>
      <c r="N20" s="76" t="s">
        <v>72</v>
      </c>
      <c r="O20" s="77"/>
      <c r="P20" s="77">
        <f>LEFT(Tableau3[[#This Row],[Resp Equipe]],4)*1</f>
        <v>9232</v>
      </c>
    </row>
    <row r="21" spans="2:16" x14ac:dyDescent="0.25">
      <c r="B21" s="67" t="s">
        <v>15</v>
      </c>
      <c r="C21" s="68">
        <f>LEFT(Tableau3[[#This Row],[n°agent]],4)*1</f>
        <v>7935</v>
      </c>
      <c r="D21" s="69" t="s">
        <v>177</v>
      </c>
      <c r="E21" s="67" t="s">
        <v>14</v>
      </c>
      <c r="F21" s="70" t="s">
        <v>13</v>
      </c>
      <c r="G21" s="71">
        <v>41883</v>
      </c>
      <c r="H21" s="67">
        <v>1</v>
      </c>
      <c r="I21" s="78">
        <v>649693209</v>
      </c>
      <c r="J21" s="73" t="s">
        <v>79</v>
      </c>
      <c r="K21" s="74">
        <v>73415</v>
      </c>
      <c r="L21" s="70" t="s">
        <v>126</v>
      </c>
      <c r="M21" s="75" t="s">
        <v>129</v>
      </c>
      <c r="N21" s="76"/>
      <c r="O21" s="77"/>
      <c r="P21" s="77">
        <f>LEFT(Tableau3[[#This Row],[Resp Equipe]],4)*1</f>
        <v>7888</v>
      </c>
    </row>
    <row r="22" spans="2:16" x14ac:dyDescent="0.25">
      <c r="B22" s="67" t="s">
        <v>46</v>
      </c>
      <c r="C22" s="68">
        <f>LEFT(Tableau3[[#This Row],[n°agent]],4)*1</f>
        <v>9245</v>
      </c>
      <c r="D22" s="69" t="s">
        <v>192</v>
      </c>
      <c r="E22" s="67" t="s">
        <v>45</v>
      </c>
      <c r="F22" s="70" t="s">
        <v>13</v>
      </c>
      <c r="G22" s="74">
        <v>44901</v>
      </c>
      <c r="H22" s="67">
        <v>1</v>
      </c>
      <c r="I22" s="78" t="s">
        <v>101</v>
      </c>
      <c r="J22" s="73" t="s">
        <v>102</v>
      </c>
      <c r="K22" s="74">
        <v>73415</v>
      </c>
      <c r="L22" s="70" t="s">
        <v>126</v>
      </c>
      <c r="M22" s="75" t="s">
        <v>129</v>
      </c>
      <c r="N22" s="76"/>
      <c r="O22" s="77"/>
      <c r="P22" s="77">
        <f>LEFT(Tableau3[[#This Row],[Resp Equipe]],4)*1</f>
        <v>7888</v>
      </c>
    </row>
    <row r="23" spans="2:16" x14ac:dyDescent="0.25">
      <c r="B23" s="70" t="s">
        <v>145</v>
      </c>
      <c r="C23" s="68">
        <f>LEFT(Tableau3[[#This Row],[n°agent]],4)*1</f>
        <v>7603</v>
      </c>
      <c r="D23" s="69" t="s">
        <v>123</v>
      </c>
      <c r="E23" s="81" t="s">
        <v>152</v>
      </c>
      <c r="F23" s="70" t="s">
        <v>27</v>
      </c>
      <c r="G23" s="82">
        <v>39755</v>
      </c>
      <c r="H23" s="70">
        <v>1</v>
      </c>
      <c r="I23" s="83">
        <v>667915060</v>
      </c>
      <c r="J23" s="73" t="s">
        <v>140</v>
      </c>
      <c r="K23" s="74">
        <v>73415</v>
      </c>
      <c r="L23" s="70" t="s">
        <v>146</v>
      </c>
      <c r="M23" s="75" t="s">
        <v>209</v>
      </c>
      <c r="N23" s="76"/>
      <c r="O23" s="77"/>
      <c r="P23" s="77">
        <f>LEFT(Tableau3[[#This Row],[Resp Equipe]],4)*1</f>
        <v>8228</v>
      </c>
    </row>
    <row r="24" spans="2:16" x14ac:dyDescent="0.25">
      <c r="B24" s="67" t="s">
        <v>12</v>
      </c>
      <c r="C24" s="68">
        <f>LEFT(Tableau3[[#This Row],[n°agent]],4)*1</f>
        <v>7890</v>
      </c>
      <c r="D24" s="69" t="s">
        <v>176</v>
      </c>
      <c r="E24" s="67" t="s">
        <v>11</v>
      </c>
      <c r="F24" s="70" t="s">
        <v>8</v>
      </c>
      <c r="G24" s="71">
        <v>41435</v>
      </c>
      <c r="H24" s="67">
        <v>1</v>
      </c>
      <c r="I24" s="78">
        <v>640597716</v>
      </c>
      <c r="J24" s="73" t="s">
        <v>78</v>
      </c>
      <c r="K24" s="74">
        <v>73415</v>
      </c>
      <c r="L24" s="70" t="s">
        <v>142</v>
      </c>
      <c r="M24" s="75" t="s">
        <v>128</v>
      </c>
      <c r="N24" s="76"/>
      <c r="O24" s="77"/>
      <c r="P24" s="77">
        <f>LEFT(Tableau3[[#This Row],[Resp Equipe]],4)*1</f>
        <v>9232</v>
      </c>
    </row>
    <row r="25" spans="2:16" x14ac:dyDescent="0.25">
      <c r="B25" s="70" t="s">
        <v>144</v>
      </c>
      <c r="C25" s="68">
        <f>LEFT(Tableau3[[#This Row],[n°agent]],4)*1</f>
        <v>8887</v>
      </c>
      <c r="D25" s="69" t="s">
        <v>125</v>
      </c>
      <c r="E25" s="81" t="s">
        <v>153</v>
      </c>
      <c r="F25" s="70" t="s">
        <v>27</v>
      </c>
      <c r="G25" s="86">
        <v>44958</v>
      </c>
      <c r="H25" s="70">
        <v>1</v>
      </c>
      <c r="I25" s="83">
        <v>630470176</v>
      </c>
      <c r="J25" s="70"/>
      <c r="K25" s="74">
        <v>73415</v>
      </c>
      <c r="L25" s="70" t="s">
        <v>146</v>
      </c>
      <c r="M25" s="75" t="s">
        <v>209</v>
      </c>
      <c r="N25" s="76"/>
      <c r="O25" s="77"/>
      <c r="P25" s="77">
        <f>LEFT(Tableau3[[#This Row],[Resp Equipe]],4)*1</f>
        <v>8228</v>
      </c>
    </row>
    <row r="26" spans="2:16" x14ac:dyDescent="0.25">
      <c r="B26" s="67" t="s">
        <v>48</v>
      </c>
      <c r="C26" s="68">
        <f>LEFT(Tableau3[[#This Row],[n°agent]],4)*1</f>
        <v>7826</v>
      </c>
      <c r="D26" s="69" t="s">
        <v>193</v>
      </c>
      <c r="E26" s="67" t="s">
        <v>47</v>
      </c>
      <c r="F26" s="70" t="s">
        <v>13</v>
      </c>
      <c r="G26" s="74">
        <v>41071</v>
      </c>
      <c r="H26" s="67">
        <v>1</v>
      </c>
      <c r="I26" s="78">
        <v>626408567</v>
      </c>
      <c r="J26" s="73" t="s">
        <v>103</v>
      </c>
      <c r="K26" s="74">
        <v>73415</v>
      </c>
      <c r="L26" s="70" t="s">
        <v>126</v>
      </c>
      <c r="M26" s="75" t="s">
        <v>129</v>
      </c>
      <c r="N26" s="76"/>
      <c r="O26" s="77"/>
      <c r="P26" s="77">
        <f>LEFT(Tableau3[[#This Row],[Resp Equipe]],4)*1</f>
        <v>7888</v>
      </c>
    </row>
    <row r="27" spans="2:16" x14ac:dyDescent="0.25">
      <c r="B27" s="67" t="s">
        <v>19</v>
      </c>
      <c r="C27" s="68">
        <f>LEFT(Tableau3[[#This Row],[n°agent]],4)*1</f>
        <v>8306</v>
      </c>
      <c r="D27" s="69" t="s">
        <v>178</v>
      </c>
      <c r="E27" s="67" t="s">
        <v>114</v>
      </c>
      <c r="F27" s="70" t="s">
        <v>13</v>
      </c>
      <c r="G27" s="71">
        <v>42898</v>
      </c>
      <c r="H27" s="67">
        <v>1</v>
      </c>
      <c r="I27" s="78">
        <v>682077728</v>
      </c>
      <c r="J27" s="73" t="s">
        <v>81</v>
      </c>
      <c r="K27" s="74">
        <v>73415</v>
      </c>
      <c r="L27" s="70" t="s">
        <v>126</v>
      </c>
      <c r="M27" s="75" t="s">
        <v>129</v>
      </c>
      <c r="N27" s="76"/>
      <c r="O27" s="77"/>
      <c r="P27" s="77">
        <f>LEFT(Tableau3[[#This Row],[Resp Equipe]],4)*1</f>
        <v>7888</v>
      </c>
    </row>
    <row r="28" spans="2:16" x14ac:dyDescent="0.25">
      <c r="B28" s="67" t="s">
        <v>39</v>
      </c>
      <c r="C28" s="68">
        <f>LEFT(Tableau3[[#This Row],[n°agent]],4)*1</f>
        <v>7605</v>
      </c>
      <c r="D28" s="69" t="s">
        <v>4</v>
      </c>
      <c r="E28" s="67" t="s">
        <v>38</v>
      </c>
      <c r="F28" s="70" t="s">
        <v>8</v>
      </c>
      <c r="G28" s="71">
        <v>39755</v>
      </c>
      <c r="H28" s="67">
        <v>1</v>
      </c>
      <c r="I28" s="78" t="s">
        <v>96</v>
      </c>
      <c r="J28" s="73" t="s">
        <v>97</v>
      </c>
      <c r="K28" s="74">
        <v>73415</v>
      </c>
      <c r="L28" s="70" t="s">
        <v>141</v>
      </c>
      <c r="M28" s="75" t="s">
        <v>127</v>
      </c>
      <c r="N28" s="76"/>
      <c r="O28" s="77"/>
      <c r="P28" s="77">
        <f>LEFT(Tableau3[[#This Row],[Resp Equipe]],4)*1</f>
        <v>7846</v>
      </c>
    </row>
    <row r="29" spans="2:16" x14ac:dyDescent="0.25">
      <c r="B29" s="70" t="s">
        <v>146</v>
      </c>
      <c r="C29" s="68">
        <f>LEFT(Tableau3[[#This Row],[n°agent]],4)*1</f>
        <v>8228</v>
      </c>
      <c r="D29" s="69" t="s">
        <v>124</v>
      </c>
      <c r="E29" s="70" t="s">
        <v>148</v>
      </c>
      <c r="F29" s="70" t="s">
        <v>27</v>
      </c>
      <c r="G29" s="86">
        <v>42737</v>
      </c>
      <c r="H29" s="70">
        <v>1</v>
      </c>
      <c r="I29" s="83">
        <v>620985254</v>
      </c>
      <c r="J29" s="73" t="s">
        <v>139</v>
      </c>
      <c r="K29" s="74">
        <v>73415</v>
      </c>
      <c r="L29" s="70" t="s">
        <v>146</v>
      </c>
      <c r="M29" s="75" t="s">
        <v>209</v>
      </c>
      <c r="N29" s="76"/>
      <c r="O29" s="77"/>
      <c r="P29" s="77">
        <f>LEFT(Tableau3[[#This Row],[Resp Equipe]],4)*1</f>
        <v>8228</v>
      </c>
    </row>
    <row r="30" spans="2:16" x14ac:dyDescent="0.25">
      <c r="B30" s="67" t="s">
        <v>23</v>
      </c>
      <c r="C30" s="68">
        <f>LEFT(Tableau3[[#This Row],[n°agent]],4)*1</f>
        <v>7820</v>
      </c>
      <c r="D30" s="69" t="s">
        <v>183</v>
      </c>
      <c r="E30" s="67" t="s">
        <v>22</v>
      </c>
      <c r="F30" s="70" t="s">
        <v>13</v>
      </c>
      <c r="G30" s="71">
        <v>42898</v>
      </c>
      <c r="H30" s="67">
        <v>1</v>
      </c>
      <c r="I30" s="78">
        <v>673700251</v>
      </c>
      <c r="J30" s="73" t="s">
        <v>83</v>
      </c>
      <c r="K30" s="74">
        <v>73415</v>
      </c>
      <c r="L30" s="70" t="s">
        <v>142</v>
      </c>
      <c r="M30" s="75" t="s">
        <v>128</v>
      </c>
      <c r="N30" s="76" t="s">
        <v>71</v>
      </c>
      <c r="O30" s="77"/>
      <c r="P30" s="77">
        <f>LEFT(Tableau3[[#This Row],[Resp Equipe]],4)*1</f>
        <v>9232</v>
      </c>
    </row>
    <row r="31" spans="2:16" x14ac:dyDescent="0.25">
      <c r="B31" s="67" t="s">
        <v>53</v>
      </c>
      <c r="C31" s="68">
        <f>LEFT(Tableau3[[#This Row],[n°agent]],4)*1</f>
        <v>8217</v>
      </c>
      <c r="D31" s="69" t="s">
        <v>194</v>
      </c>
      <c r="E31" s="67" t="s">
        <v>52</v>
      </c>
      <c r="F31" s="70" t="s">
        <v>5</v>
      </c>
      <c r="G31" s="74">
        <v>42681</v>
      </c>
      <c r="H31" s="67">
        <v>0.6</v>
      </c>
      <c r="I31" s="78" t="s">
        <v>105</v>
      </c>
      <c r="J31" s="79" t="s">
        <v>106</v>
      </c>
      <c r="K31" s="74">
        <v>73415</v>
      </c>
      <c r="L31" s="70" t="s">
        <v>126</v>
      </c>
      <c r="M31" s="75" t="s">
        <v>129</v>
      </c>
      <c r="N31" s="76"/>
      <c r="O31" s="77"/>
      <c r="P31" s="77">
        <f>LEFT(Tableau3[[#This Row],[Resp Equipe]],4)*1</f>
        <v>7888</v>
      </c>
    </row>
    <row r="32" spans="2:16" x14ac:dyDescent="0.25">
      <c r="B32" s="67" t="s">
        <v>32</v>
      </c>
      <c r="C32" s="68">
        <f>LEFT(Tableau3[[#This Row],[n°agent]],4)*1</f>
        <v>8124</v>
      </c>
      <c r="D32" s="69" t="s">
        <v>179</v>
      </c>
      <c r="E32" s="67" t="s">
        <v>31</v>
      </c>
      <c r="F32" s="70" t="s">
        <v>30</v>
      </c>
      <c r="G32" s="71">
        <v>42373</v>
      </c>
      <c r="H32" s="67">
        <v>0.69</v>
      </c>
      <c r="I32" s="78" t="s">
        <v>89</v>
      </c>
      <c r="J32" s="79" t="s">
        <v>90</v>
      </c>
      <c r="K32" s="74">
        <v>73415</v>
      </c>
      <c r="L32" s="70" t="s">
        <v>126</v>
      </c>
      <c r="M32" s="75" t="s">
        <v>129</v>
      </c>
      <c r="N32" s="76" t="s">
        <v>222</v>
      </c>
      <c r="O32" s="77"/>
      <c r="P32" s="77">
        <f>LEFT(Tableau3[[#This Row],[Resp Equipe]],4)*1</f>
        <v>7888</v>
      </c>
    </row>
    <row r="33" spans="2:16" x14ac:dyDescent="0.25">
      <c r="B33" s="70" t="s">
        <v>143</v>
      </c>
      <c r="C33" s="68">
        <f>LEFT(Tableau3[[#This Row],[n°agent]],4)*1</f>
        <v>9857</v>
      </c>
      <c r="D33" s="69" t="s">
        <v>122</v>
      </c>
      <c r="E33" s="70" t="s">
        <v>147</v>
      </c>
      <c r="F33" s="70" t="s">
        <v>27</v>
      </c>
      <c r="G33" s="82">
        <v>36903</v>
      </c>
      <c r="H33" s="70">
        <v>1</v>
      </c>
      <c r="I33" s="83">
        <v>622124326</v>
      </c>
      <c r="J33" s="73" t="s">
        <v>138</v>
      </c>
      <c r="K33" s="74">
        <v>73415</v>
      </c>
      <c r="L33" s="70" t="s">
        <v>146</v>
      </c>
      <c r="M33" s="75" t="s">
        <v>209</v>
      </c>
      <c r="N33" s="76"/>
      <c r="O33" s="77"/>
      <c r="P33" s="77">
        <f>LEFT(Tableau3[[#This Row],[Resp Equipe]],4)*1</f>
        <v>8228</v>
      </c>
    </row>
    <row r="34" spans="2:16" x14ac:dyDescent="0.25">
      <c r="B34" s="67" t="s">
        <v>26</v>
      </c>
      <c r="C34" s="68">
        <f>LEFT(Tableau3[[#This Row],[n°agent]],4)*1</f>
        <v>7607</v>
      </c>
      <c r="D34" s="69" t="s">
        <v>185</v>
      </c>
      <c r="E34" s="67" t="s">
        <v>113</v>
      </c>
      <c r="F34" s="70" t="s">
        <v>13</v>
      </c>
      <c r="G34" s="71">
        <v>39755</v>
      </c>
      <c r="H34" s="67">
        <v>1</v>
      </c>
      <c r="I34" s="78" t="s">
        <v>86</v>
      </c>
      <c r="J34" s="79" t="s">
        <v>87</v>
      </c>
      <c r="K34" s="74">
        <v>73415</v>
      </c>
      <c r="L34" s="70" t="s">
        <v>142</v>
      </c>
      <c r="M34" s="75" t="s">
        <v>128</v>
      </c>
      <c r="N34" s="76"/>
      <c r="O34" s="77"/>
      <c r="P34" s="77">
        <f>LEFT(Tableau3[[#This Row],[Resp Equipe]],4)*1</f>
        <v>9232</v>
      </c>
    </row>
    <row r="35" spans="2:16" x14ac:dyDescent="0.25">
      <c r="B35" s="67" t="s">
        <v>33</v>
      </c>
      <c r="C35" s="68">
        <f>LEFT(Tableau3[[#This Row],[n°agent]],4)*1</f>
        <v>8218</v>
      </c>
      <c r="D35" s="69" t="s">
        <v>187</v>
      </c>
      <c r="E35" s="67" t="s">
        <v>115</v>
      </c>
      <c r="F35" s="70" t="s">
        <v>5</v>
      </c>
      <c r="G35" s="71">
        <v>42681</v>
      </c>
      <c r="H35" s="67">
        <v>0.6</v>
      </c>
      <c r="I35" s="78" t="s">
        <v>91</v>
      </c>
      <c r="J35" s="79" t="s">
        <v>92</v>
      </c>
      <c r="K35" s="74">
        <v>73415</v>
      </c>
      <c r="L35" s="70" t="s">
        <v>142</v>
      </c>
      <c r="M35" s="75" t="s">
        <v>128</v>
      </c>
      <c r="N35" s="76"/>
      <c r="O35" s="77"/>
      <c r="P35" s="77">
        <f>LEFT(Tableau3[[#This Row],[Resp Equipe]],4)*1</f>
        <v>9232</v>
      </c>
    </row>
    <row r="36" spans="2:16" x14ac:dyDescent="0.25">
      <c r="B36" s="67" t="s">
        <v>51</v>
      </c>
      <c r="C36" s="68">
        <f>LEFT(Tableau3[[#This Row],[n°agent]],4)*1</f>
        <v>7592</v>
      </c>
      <c r="D36" s="69" t="s">
        <v>180</v>
      </c>
      <c r="E36" s="67" t="s">
        <v>50</v>
      </c>
      <c r="F36" s="70" t="s">
        <v>49</v>
      </c>
      <c r="G36" s="74">
        <v>39734</v>
      </c>
      <c r="H36" s="67">
        <v>0.56999999999999995</v>
      </c>
      <c r="I36" s="78">
        <v>662612237</v>
      </c>
      <c r="J36" s="79" t="s">
        <v>104</v>
      </c>
      <c r="K36" s="74">
        <v>73415</v>
      </c>
      <c r="L36" s="70" t="s">
        <v>141</v>
      </c>
      <c r="M36" s="75" t="s">
        <v>127</v>
      </c>
      <c r="N36" s="76"/>
      <c r="O36" s="77"/>
      <c r="P36" s="77">
        <f>LEFT(Tableau3[[#This Row],[Resp Equipe]],4)*1</f>
        <v>7846</v>
      </c>
    </row>
    <row r="37" spans="2:16" x14ac:dyDescent="0.25">
      <c r="B37" s="70" t="s">
        <v>141</v>
      </c>
      <c r="C37" s="68">
        <f>LEFT(Tableau3[[#This Row],[n°agent]],4)*1</f>
        <v>7846</v>
      </c>
      <c r="D37" s="69" t="s">
        <v>119</v>
      </c>
      <c r="E37" s="81" t="s">
        <v>149</v>
      </c>
      <c r="F37" s="70" t="s">
        <v>27</v>
      </c>
      <c r="G37" s="82">
        <v>41183</v>
      </c>
      <c r="H37" s="70">
        <v>1</v>
      </c>
      <c r="I37" s="83">
        <v>620121567</v>
      </c>
      <c r="J37" s="79" t="s">
        <v>136</v>
      </c>
      <c r="K37" s="74">
        <v>73415</v>
      </c>
      <c r="L37" s="70" t="s">
        <v>146</v>
      </c>
      <c r="M37" s="75" t="s">
        <v>209</v>
      </c>
      <c r="N37" s="76"/>
      <c r="O37" s="77"/>
      <c r="P37" s="77">
        <f>LEFT(Tableau3[[#This Row],[Resp Equipe]],4)*1</f>
        <v>8228</v>
      </c>
    </row>
    <row r="38" spans="2:16" x14ac:dyDescent="0.25">
      <c r="B38" s="67" t="s">
        <v>17</v>
      </c>
      <c r="C38" s="68">
        <f>LEFT(Tableau3[[#This Row],[n°agent]],4)*1</f>
        <v>8106</v>
      </c>
      <c r="D38" s="69" t="s">
        <v>182</v>
      </c>
      <c r="E38" s="67" t="s">
        <v>16</v>
      </c>
      <c r="F38" s="70" t="s">
        <v>13</v>
      </c>
      <c r="G38" s="71">
        <v>42191</v>
      </c>
      <c r="H38" s="67">
        <v>1</v>
      </c>
      <c r="I38" s="78">
        <v>630858788</v>
      </c>
      <c r="J38" s="73" t="s">
        <v>80</v>
      </c>
      <c r="K38" s="74">
        <v>73415</v>
      </c>
      <c r="L38" s="70" t="s">
        <v>141</v>
      </c>
      <c r="M38" s="75" t="s">
        <v>127</v>
      </c>
      <c r="N38" s="76" t="s">
        <v>72</v>
      </c>
      <c r="O38" s="77"/>
      <c r="P38" s="77">
        <f>LEFT(Tableau3[[#This Row],[Resp Equipe]],4)*1</f>
        <v>7846</v>
      </c>
    </row>
  </sheetData>
  <mergeCells count="1">
    <mergeCell ref="A1:U1"/>
  </mergeCells>
  <conditionalFormatting sqref="D5:F31 M5:M8 M30 M26:M28 M24 M20:M22 M10:M12 B32:B38 D32:J38 M14:M16 M18">
    <cfRule type="cellIs" dxfId="157" priority="276" operator="equal">
      <formula>"prev"</formula>
    </cfRule>
    <cfRule type="cellIs" dxfId="156" priority="277" operator="equal">
      <formula>"tw"</formula>
    </cfRule>
    <cfRule type="cellIs" dxfId="155" priority="278" operator="equal">
      <formula>"PEG"</formula>
    </cfRule>
    <cfRule type="cellIs" dxfId="154" priority="279" operator="equal">
      <formula>"ca"</formula>
    </cfRule>
    <cfRule type="cellIs" dxfId="153" priority="280" operator="equal">
      <formula>"abs"</formula>
    </cfRule>
  </conditionalFormatting>
  <conditionalFormatting sqref="D5:F31 M5:M8 M30 M26:M28 M24 M20:M22 M10:M12 B32:B38 D32:J38 M14:M16 M18">
    <cfRule type="cellIs" dxfId="152" priority="275" operator="equal">
      <formula>"fo"</formula>
    </cfRule>
  </conditionalFormatting>
  <conditionalFormatting sqref="B5:B31">
    <cfRule type="cellIs" dxfId="151" priority="213" operator="equal">
      <formula>"fo"</formula>
    </cfRule>
  </conditionalFormatting>
  <conditionalFormatting sqref="B5:B31">
    <cfRule type="cellIs" dxfId="150" priority="214" operator="equal">
      <formula>"prev"</formula>
    </cfRule>
    <cfRule type="cellIs" dxfId="149" priority="215" operator="equal">
      <formula>"tw"</formula>
    </cfRule>
    <cfRule type="cellIs" dxfId="148" priority="216" operator="equal">
      <formula>"PEG"</formula>
    </cfRule>
    <cfRule type="cellIs" dxfId="147" priority="217" operator="equal">
      <formula>"ca"</formula>
    </cfRule>
    <cfRule type="cellIs" dxfId="146" priority="218" operator="equal">
      <formula>"abs"</formula>
    </cfRule>
  </conditionalFormatting>
  <conditionalFormatting sqref="G5 G25:G31">
    <cfRule type="cellIs" dxfId="145" priority="208" operator="equal">
      <formula>"prev"</formula>
    </cfRule>
    <cfRule type="cellIs" dxfId="144" priority="209" operator="equal">
      <formula>"tw"</formula>
    </cfRule>
    <cfRule type="cellIs" dxfId="143" priority="210" operator="equal">
      <formula>"PEG"</formula>
    </cfRule>
    <cfRule type="cellIs" dxfId="142" priority="211" operator="equal">
      <formula>"ca"</formula>
    </cfRule>
    <cfRule type="cellIs" dxfId="141" priority="212" operator="equal">
      <formula>"abs"</formula>
    </cfRule>
  </conditionalFormatting>
  <conditionalFormatting sqref="G5 G25:G31">
    <cfRule type="cellIs" dxfId="140" priority="207" operator="equal">
      <formula>"fo"</formula>
    </cfRule>
  </conditionalFormatting>
  <conditionalFormatting sqref="G6:G12">
    <cfRule type="cellIs" dxfId="139" priority="203" operator="equal">
      <formula>"ANNUL"</formula>
    </cfRule>
    <cfRule type="cellIs" dxfId="138" priority="204" operator="equal">
      <formula>"IND RE"</formula>
    </cfRule>
    <cfRule type="cellIs" dxfId="137" priority="205" operator="equal">
      <formula>"MALADIE"</formula>
    </cfRule>
    <cfRule type="cellIs" dxfId="136" priority="206" operator="equal">
      <formula>"ABS"</formula>
    </cfRule>
  </conditionalFormatting>
  <conditionalFormatting sqref="G13">
    <cfRule type="cellIs" dxfId="135" priority="199" operator="equal">
      <formula>"ANNUL"</formula>
    </cfRule>
    <cfRule type="cellIs" dxfId="134" priority="200" operator="equal">
      <formula>"IND RE"</formula>
    </cfRule>
    <cfRule type="cellIs" dxfId="133" priority="201" operator="equal">
      <formula>"MALADIE"</formula>
    </cfRule>
    <cfRule type="cellIs" dxfId="132" priority="202" operator="equal">
      <formula>"ABS"</formula>
    </cfRule>
  </conditionalFormatting>
  <conditionalFormatting sqref="G18:G20">
    <cfRule type="cellIs" dxfId="131" priority="195" operator="equal">
      <formula>"ANNUL"</formula>
    </cfRule>
    <cfRule type="cellIs" dxfId="130" priority="196" operator="equal">
      <formula>"IND RE"</formula>
    </cfRule>
    <cfRule type="cellIs" dxfId="129" priority="197" operator="equal">
      <formula>"MALADIE"</formula>
    </cfRule>
    <cfRule type="cellIs" dxfId="128" priority="198" operator="equal">
      <formula>"ABS"</formula>
    </cfRule>
  </conditionalFormatting>
  <conditionalFormatting sqref="G14:G15">
    <cfRule type="cellIs" dxfId="127" priority="191" operator="equal">
      <formula>"ANNUL"</formula>
    </cfRule>
    <cfRule type="cellIs" dxfId="126" priority="192" operator="equal">
      <formula>"IND RE"</formula>
    </cfRule>
    <cfRule type="cellIs" dxfId="125" priority="193" operator="equal">
      <formula>"MALADIE"</formula>
    </cfRule>
    <cfRule type="cellIs" dxfId="124" priority="194" operator="equal">
      <formula>"ABS"</formula>
    </cfRule>
  </conditionalFormatting>
  <conditionalFormatting sqref="G16">
    <cfRule type="cellIs" dxfId="123" priority="187" operator="equal">
      <formula>"ANNUL"</formula>
    </cfRule>
    <cfRule type="cellIs" dxfId="122" priority="188" operator="equal">
      <formula>"IND RE"</formula>
    </cfRule>
    <cfRule type="cellIs" dxfId="121" priority="189" operator="equal">
      <formula>"MALADIE"</formula>
    </cfRule>
    <cfRule type="cellIs" dxfId="120" priority="190" operator="equal">
      <formula>"ABS"</formula>
    </cfRule>
  </conditionalFormatting>
  <conditionalFormatting sqref="G17">
    <cfRule type="cellIs" dxfId="119" priority="183" operator="equal">
      <formula>"ANNUL"</formula>
    </cfRule>
    <cfRule type="cellIs" dxfId="118" priority="184" operator="equal">
      <formula>"IND RE"</formula>
    </cfRule>
    <cfRule type="cellIs" dxfId="117" priority="185" operator="equal">
      <formula>"MALADIE"</formula>
    </cfRule>
    <cfRule type="cellIs" dxfId="116" priority="186" operator="equal">
      <formula>"ABS"</formula>
    </cfRule>
  </conditionalFormatting>
  <conditionalFormatting sqref="G21">
    <cfRule type="cellIs" dxfId="115" priority="179" operator="equal">
      <formula>"ANNUL"</formula>
    </cfRule>
    <cfRule type="cellIs" dxfId="114" priority="180" operator="equal">
      <formula>"IND RE"</formula>
    </cfRule>
    <cfRule type="cellIs" dxfId="113" priority="181" operator="equal">
      <formula>"MALADIE"</formula>
    </cfRule>
    <cfRule type="cellIs" dxfId="112" priority="182" operator="equal">
      <formula>"ABS"</formula>
    </cfRule>
  </conditionalFormatting>
  <conditionalFormatting sqref="G22:G24">
    <cfRule type="cellIs" dxfId="111" priority="175" operator="equal">
      <formula>"ANNUL"</formula>
    </cfRule>
    <cfRule type="cellIs" dxfId="110" priority="176" operator="equal">
      <formula>"IND RE"</formula>
    </cfRule>
    <cfRule type="cellIs" dxfId="109" priority="177" operator="equal">
      <formula>"MALADIE"</formula>
    </cfRule>
    <cfRule type="cellIs" dxfId="108" priority="178" operator="equal">
      <formula>"ABS"</formula>
    </cfRule>
  </conditionalFormatting>
  <conditionalFormatting sqref="H5:H31">
    <cfRule type="cellIs" dxfId="107" priority="169" operator="equal">
      <formula>"fo"</formula>
    </cfRule>
  </conditionalFormatting>
  <conditionalFormatting sqref="H5:H31">
    <cfRule type="cellIs" dxfId="106" priority="170" operator="equal">
      <formula>"prev"</formula>
    </cfRule>
    <cfRule type="cellIs" dxfId="105" priority="171" operator="equal">
      <formula>"tw"</formula>
    </cfRule>
    <cfRule type="cellIs" dxfId="104" priority="172" operator="equal">
      <formula>"PEG"</formula>
    </cfRule>
    <cfRule type="cellIs" dxfId="103" priority="173" operator="equal">
      <formula>"ca"</formula>
    </cfRule>
    <cfRule type="cellIs" dxfId="102" priority="174" operator="equal">
      <formula>"abs"</formula>
    </cfRule>
  </conditionalFormatting>
  <conditionalFormatting sqref="M32:M38">
    <cfRule type="cellIs" dxfId="101" priority="110" operator="equal">
      <formula>"prev"</formula>
    </cfRule>
    <cfRule type="cellIs" dxfId="100" priority="111" operator="equal">
      <formula>"tw"</formula>
    </cfRule>
    <cfRule type="cellIs" dxfId="99" priority="112" operator="equal">
      <formula>"PEG"</formula>
    </cfRule>
    <cfRule type="cellIs" dxfId="98" priority="113" operator="equal">
      <formula>"ca"</formula>
    </cfRule>
    <cfRule type="cellIs" dxfId="97" priority="114" operator="equal">
      <formula>"abs"</formula>
    </cfRule>
  </conditionalFormatting>
  <conditionalFormatting sqref="M32:M38">
    <cfRule type="cellIs" dxfId="96" priority="109" operator="equal">
      <formula>"fo"</formula>
    </cfRule>
  </conditionalFormatting>
  <conditionalFormatting sqref="K6:K38">
    <cfRule type="cellIs" dxfId="95" priority="104" operator="equal">
      <formula>"prev"</formula>
    </cfRule>
    <cfRule type="cellIs" dxfId="94" priority="105" operator="equal">
      <formula>"tw"</formula>
    </cfRule>
    <cfRule type="cellIs" dxfId="93" priority="106" operator="equal">
      <formula>"PEG"</formula>
    </cfRule>
    <cfRule type="cellIs" dxfId="92" priority="107" operator="equal">
      <formula>"ca"</formula>
    </cfRule>
    <cfRule type="cellIs" dxfId="91" priority="108" operator="equal">
      <formula>"abs"</formula>
    </cfRule>
  </conditionalFormatting>
  <conditionalFormatting sqref="K6:K38">
    <cfRule type="cellIs" dxfId="90" priority="103" operator="equal">
      <formula>"fo"</formula>
    </cfRule>
  </conditionalFormatting>
  <conditionalFormatting sqref="L6:L12">
    <cfRule type="cellIs" dxfId="89" priority="73" operator="equal">
      <formula>"fo"</formula>
    </cfRule>
  </conditionalFormatting>
  <conditionalFormatting sqref="L6:L12">
    <cfRule type="cellIs" dxfId="88" priority="74" operator="equal">
      <formula>"prev"</formula>
    </cfRule>
    <cfRule type="cellIs" dxfId="87" priority="75" operator="equal">
      <formula>"tw"</formula>
    </cfRule>
    <cfRule type="cellIs" dxfId="86" priority="76" operator="equal">
      <formula>"PEG"</formula>
    </cfRule>
    <cfRule type="cellIs" dxfId="85" priority="77" operator="equal">
      <formula>"ca"</formula>
    </cfRule>
    <cfRule type="cellIs" dxfId="84" priority="78" operator="equal">
      <formula>"abs"</formula>
    </cfRule>
  </conditionalFormatting>
  <conditionalFormatting sqref="L14:L16 L18:L20">
    <cfRule type="cellIs" dxfId="83" priority="91" operator="equal">
      <formula>"fo"</formula>
    </cfRule>
  </conditionalFormatting>
  <conditionalFormatting sqref="L14:L16 L18:L20">
    <cfRule type="cellIs" dxfId="82" priority="92" operator="equal">
      <formula>"prev"</formula>
    </cfRule>
    <cfRule type="cellIs" dxfId="81" priority="93" operator="equal">
      <formula>"tw"</formula>
    </cfRule>
    <cfRule type="cellIs" dxfId="80" priority="94" operator="equal">
      <formula>"PEG"</formula>
    </cfRule>
    <cfRule type="cellIs" dxfId="79" priority="95" operator="equal">
      <formula>"ca"</formula>
    </cfRule>
    <cfRule type="cellIs" dxfId="78" priority="96" operator="equal">
      <formula>"abs"</formula>
    </cfRule>
  </conditionalFormatting>
  <conditionalFormatting sqref="L21:L29">
    <cfRule type="cellIs" dxfId="77" priority="85" operator="equal">
      <formula>"fo"</formula>
    </cfRule>
  </conditionalFormatting>
  <conditionalFormatting sqref="L21:L29">
    <cfRule type="cellIs" dxfId="76" priority="86" operator="equal">
      <formula>"prev"</formula>
    </cfRule>
    <cfRule type="cellIs" dxfId="75" priority="87" operator="equal">
      <formula>"tw"</formula>
    </cfRule>
    <cfRule type="cellIs" dxfId="74" priority="88" operator="equal">
      <formula>"PEG"</formula>
    </cfRule>
    <cfRule type="cellIs" dxfId="73" priority="89" operator="equal">
      <formula>"ca"</formula>
    </cfRule>
    <cfRule type="cellIs" dxfId="72" priority="90" operator="equal">
      <formula>"abs"</formula>
    </cfRule>
  </conditionalFormatting>
  <conditionalFormatting sqref="L30 L32:L38">
    <cfRule type="cellIs" dxfId="71" priority="79" operator="equal">
      <formula>"fo"</formula>
    </cfRule>
  </conditionalFormatting>
  <conditionalFormatting sqref="L30 L32:L38">
    <cfRule type="cellIs" dxfId="70" priority="80" operator="equal">
      <formula>"prev"</formula>
    </cfRule>
    <cfRule type="cellIs" dxfId="69" priority="81" operator="equal">
      <formula>"tw"</formula>
    </cfRule>
    <cfRule type="cellIs" dxfId="68" priority="82" operator="equal">
      <formula>"PEG"</formula>
    </cfRule>
    <cfRule type="cellIs" dxfId="67" priority="83" operator="equal">
      <formula>"ca"</formula>
    </cfRule>
    <cfRule type="cellIs" dxfId="66" priority="84" operator="equal">
      <formula>"abs"</formula>
    </cfRule>
  </conditionalFormatting>
  <conditionalFormatting sqref="M29">
    <cfRule type="cellIs" dxfId="65" priority="62" operator="equal">
      <formula>"prev"</formula>
    </cfRule>
    <cfRule type="cellIs" dxfId="64" priority="63" operator="equal">
      <formula>"tw"</formula>
    </cfRule>
    <cfRule type="cellIs" dxfId="63" priority="64" operator="equal">
      <formula>"PEG"</formula>
    </cfRule>
    <cfRule type="cellIs" dxfId="62" priority="65" operator="equal">
      <formula>"ca"</formula>
    </cfRule>
    <cfRule type="cellIs" dxfId="61" priority="66" operator="equal">
      <formula>"abs"</formula>
    </cfRule>
  </conditionalFormatting>
  <conditionalFormatting sqref="M29">
    <cfRule type="cellIs" dxfId="60" priority="61" operator="equal">
      <formula>"fo"</formula>
    </cfRule>
  </conditionalFormatting>
  <conditionalFormatting sqref="M25">
    <cfRule type="cellIs" dxfId="59" priority="56" operator="equal">
      <formula>"prev"</formula>
    </cfRule>
    <cfRule type="cellIs" dxfId="58" priority="57" operator="equal">
      <formula>"tw"</formula>
    </cfRule>
    <cfRule type="cellIs" dxfId="57" priority="58" operator="equal">
      <formula>"PEG"</formula>
    </cfRule>
    <cfRule type="cellIs" dxfId="56" priority="59" operator="equal">
      <formula>"ca"</formula>
    </cfRule>
    <cfRule type="cellIs" dxfId="55" priority="60" operator="equal">
      <formula>"abs"</formula>
    </cfRule>
  </conditionalFormatting>
  <conditionalFormatting sqref="M25">
    <cfRule type="cellIs" dxfId="54" priority="55" operator="equal">
      <formula>"fo"</formula>
    </cfRule>
  </conditionalFormatting>
  <conditionalFormatting sqref="M23">
    <cfRule type="cellIs" dxfId="53" priority="50" operator="equal">
      <formula>"prev"</formula>
    </cfRule>
    <cfRule type="cellIs" dxfId="52" priority="51" operator="equal">
      <formula>"tw"</formula>
    </cfRule>
    <cfRule type="cellIs" dxfId="51" priority="52" operator="equal">
      <formula>"PEG"</formula>
    </cfRule>
    <cfRule type="cellIs" dxfId="50" priority="53" operator="equal">
      <formula>"ca"</formula>
    </cfRule>
    <cfRule type="cellIs" dxfId="49" priority="54" operator="equal">
      <formula>"abs"</formula>
    </cfRule>
  </conditionalFormatting>
  <conditionalFormatting sqref="M23">
    <cfRule type="cellIs" dxfId="48" priority="49" operator="equal">
      <formula>"fo"</formula>
    </cfRule>
  </conditionalFormatting>
  <conditionalFormatting sqref="M19">
    <cfRule type="cellIs" dxfId="47" priority="44" operator="equal">
      <formula>"prev"</formula>
    </cfRule>
    <cfRule type="cellIs" dxfId="46" priority="45" operator="equal">
      <formula>"tw"</formula>
    </cfRule>
    <cfRule type="cellIs" dxfId="45" priority="46" operator="equal">
      <formula>"PEG"</formula>
    </cfRule>
    <cfRule type="cellIs" dxfId="44" priority="47" operator="equal">
      <formula>"ca"</formula>
    </cfRule>
    <cfRule type="cellIs" dxfId="43" priority="48" operator="equal">
      <formula>"abs"</formula>
    </cfRule>
  </conditionalFormatting>
  <conditionalFormatting sqref="M19">
    <cfRule type="cellIs" dxfId="42" priority="43" operator="equal">
      <formula>"fo"</formula>
    </cfRule>
  </conditionalFormatting>
  <conditionalFormatting sqref="M9">
    <cfRule type="cellIs" dxfId="41" priority="38" operator="equal">
      <formula>"prev"</formula>
    </cfRule>
    <cfRule type="cellIs" dxfId="40" priority="39" operator="equal">
      <formula>"tw"</formula>
    </cfRule>
    <cfRule type="cellIs" dxfId="39" priority="40" operator="equal">
      <formula>"PEG"</formula>
    </cfRule>
    <cfRule type="cellIs" dxfId="38" priority="41" operator="equal">
      <formula>"ca"</formula>
    </cfRule>
    <cfRule type="cellIs" dxfId="37" priority="42" operator="equal">
      <formula>"abs"</formula>
    </cfRule>
  </conditionalFormatting>
  <conditionalFormatting sqref="M9">
    <cfRule type="cellIs" dxfId="36" priority="37" operator="equal">
      <formula>"fo"</formula>
    </cfRule>
  </conditionalFormatting>
  <conditionalFormatting sqref="M13">
    <cfRule type="cellIs" dxfId="35" priority="32" operator="equal">
      <formula>"prev"</formula>
    </cfRule>
    <cfRule type="cellIs" dxfId="34" priority="33" operator="equal">
      <formula>"tw"</formula>
    </cfRule>
    <cfRule type="cellIs" dxfId="33" priority="34" operator="equal">
      <formula>"PEG"</formula>
    </cfRule>
    <cfRule type="cellIs" dxfId="32" priority="35" operator="equal">
      <formula>"ca"</formula>
    </cfRule>
    <cfRule type="cellIs" dxfId="31" priority="36" operator="equal">
      <formula>"abs"</formula>
    </cfRule>
  </conditionalFormatting>
  <conditionalFormatting sqref="M13">
    <cfRule type="cellIs" dxfId="30" priority="31" operator="equal">
      <formula>"fo"</formula>
    </cfRule>
  </conditionalFormatting>
  <conditionalFormatting sqref="L13">
    <cfRule type="cellIs" dxfId="29" priority="25" operator="equal">
      <formula>"fo"</formula>
    </cfRule>
  </conditionalFormatting>
  <conditionalFormatting sqref="L13">
    <cfRule type="cellIs" dxfId="28" priority="26" operator="equal">
      <formula>"prev"</formula>
    </cfRule>
    <cfRule type="cellIs" dxfId="27" priority="27" operator="equal">
      <formula>"tw"</formula>
    </cfRule>
    <cfRule type="cellIs" dxfId="26" priority="28" operator="equal">
      <formula>"PEG"</formula>
    </cfRule>
    <cfRule type="cellIs" dxfId="25" priority="29" operator="equal">
      <formula>"ca"</formula>
    </cfRule>
    <cfRule type="cellIs" dxfId="24" priority="30" operator="equal">
      <formula>"abs"</formula>
    </cfRule>
  </conditionalFormatting>
  <conditionalFormatting sqref="M17">
    <cfRule type="cellIs" dxfId="23" priority="20" operator="equal">
      <formula>"prev"</formula>
    </cfRule>
    <cfRule type="cellIs" dxfId="22" priority="21" operator="equal">
      <formula>"tw"</formula>
    </cfRule>
    <cfRule type="cellIs" dxfId="21" priority="22" operator="equal">
      <formula>"PEG"</formula>
    </cfRule>
    <cfRule type="cellIs" dxfId="20" priority="23" operator="equal">
      <formula>"ca"</formula>
    </cfRule>
    <cfRule type="cellIs" dxfId="19" priority="24" operator="equal">
      <formula>"abs"</formula>
    </cfRule>
  </conditionalFormatting>
  <conditionalFormatting sqref="M17">
    <cfRule type="cellIs" dxfId="18" priority="19" operator="equal">
      <formula>"fo"</formula>
    </cfRule>
  </conditionalFormatting>
  <conditionalFormatting sqref="L17">
    <cfRule type="cellIs" dxfId="17" priority="13" operator="equal">
      <formula>"fo"</formula>
    </cfRule>
  </conditionalFormatting>
  <conditionalFormatting sqref="L17">
    <cfRule type="cellIs" dxfId="16" priority="14" operator="equal">
      <formula>"prev"</formula>
    </cfRule>
    <cfRule type="cellIs" dxfId="15" priority="15" operator="equal">
      <formula>"tw"</formula>
    </cfRule>
    <cfRule type="cellIs" dxfId="14" priority="16" operator="equal">
      <formula>"PEG"</formula>
    </cfRule>
    <cfRule type="cellIs" dxfId="13" priority="17" operator="equal">
      <formula>"ca"</formula>
    </cfRule>
    <cfRule type="cellIs" dxfId="12" priority="18" operator="equal">
      <formula>"abs"</formula>
    </cfRule>
  </conditionalFormatting>
  <conditionalFormatting sqref="L31">
    <cfRule type="cellIs" dxfId="11" priority="1" operator="equal">
      <formula>"fo"</formula>
    </cfRule>
  </conditionalFormatting>
  <conditionalFormatting sqref="M31">
    <cfRule type="cellIs" dxfId="10" priority="8" operator="equal">
      <formula>"prev"</formula>
    </cfRule>
    <cfRule type="cellIs" dxfId="9" priority="9" operator="equal">
      <formula>"tw"</formula>
    </cfRule>
    <cfRule type="cellIs" dxfId="8" priority="10" operator="equal">
      <formula>"PEG"</formula>
    </cfRule>
    <cfRule type="cellIs" dxfId="7" priority="11" operator="equal">
      <formula>"ca"</formula>
    </cfRule>
    <cfRule type="cellIs" dxfId="6" priority="12" operator="equal">
      <formula>"abs"</formula>
    </cfRule>
  </conditionalFormatting>
  <conditionalFormatting sqref="M31">
    <cfRule type="cellIs" dxfId="5" priority="7" operator="equal">
      <formula>"fo"</formula>
    </cfRule>
  </conditionalFormatting>
  <conditionalFormatting sqref="L31">
    <cfRule type="cellIs" dxfId="4" priority="2" operator="equal">
      <formula>"prev"</formula>
    </cfRule>
    <cfRule type="cellIs" dxfId="3" priority="3" operator="equal">
      <formula>"tw"</formula>
    </cfRule>
    <cfRule type="cellIs" dxfId="2" priority="4" operator="equal">
      <formula>"PEG"</formula>
    </cfRule>
    <cfRule type="cellIs" dxfId="1" priority="5" operator="equal">
      <formula>"ca"</formula>
    </cfRule>
    <cfRule type="cellIs" dxfId="0" priority="6" operator="equal">
      <formula>"abs"</formula>
    </cfRule>
  </conditionalFormatting>
  <hyperlinks>
    <hyperlink ref="J24" r:id="rId1"/>
    <hyperlink ref="J35" r:id="rId2"/>
    <hyperlink ref="J34" r:id="rId3"/>
    <hyperlink ref="J32" r:id="rId4" display="mailto:robbesylvie@yahoo.fr"/>
    <hyperlink ref="J17" r:id="rId5" display="mailto:santoinho@hotmail.fr"/>
    <hyperlink ref="J20" r:id="rId6" display="mailto:leogene29@gmail.com"/>
    <hyperlink ref="J12" r:id="rId7" display="mailto:verofonice@gmail.com"/>
    <hyperlink ref="J10" r:id="rId8" display="mailto:amelie.pottier06@gmail.com"/>
    <hyperlink ref="J16" r:id="rId9"/>
    <hyperlink ref="J36" r:id="rId10" display="mailto:christine.soler06@free.fr"/>
    <hyperlink ref="J18" r:id="rId11" display="mailto:mojan.legeard@sfr.fr"/>
    <hyperlink ref="J31" r:id="rId12"/>
    <hyperlink ref="J28" r:id="rId13"/>
    <hyperlink ref="J38" r:id="rId14" display="mailto:patricia.vives@icloud.com"/>
    <hyperlink ref="J27" r:id="rId15" display="mailto:natalieparaud@gmail.com"/>
    <hyperlink ref="J30" r:id="rId16" display="mailto:lidwine.pezzoli@gmail.com"/>
    <hyperlink ref="J15" r:id="rId17" display="mailto:garnier06000@gmail.com"/>
    <hyperlink ref="J14" r:id="rId18" display="mailto:chantal.groetz@gmail.com"/>
    <hyperlink ref="J26" r:id="rId19" display="mailto:arlette.papot@hotmail.fr"/>
    <hyperlink ref="J11" r:id="rId20" display="mailto:nadine.lefevre2@9online.fr"/>
    <hyperlink ref="J8" r:id="rId21" display="mailto:annie.dennez@laposte.net"/>
    <hyperlink ref="J7" r:id="rId22"/>
    <hyperlink ref="J13" r:id="rId23"/>
    <hyperlink ref="J21" r:id="rId24"/>
    <hyperlink ref="J6" r:id="rId25"/>
    <hyperlink ref="J22" r:id="rId26"/>
    <hyperlink ref="J9" r:id="rId27"/>
    <hyperlink ref="J37" r:id="rId28"/>
    <hyperlink ref="J19" r:id="rId29" display="mailto:leocassandre@gmail.com"/>
    <hyperlink ref="J33" r:id="rId30"/>
    <hyperlink ref="J29" r:id="rId31"/>
    <hyperlink ref="J23" r:id="rId32" display="mailto:rosalie.morel@gmail.com"/>
  </hyperlinks>
  <pageMargins left="0.7" right="0.7" top="0.75" bottom="0.75" header="0.3" footer="0.3"/>
  <pageSetup paperSize="9" orientation="portrait" r:id="rId33"/>
  <drawing r:id="rId34"/>
  <legacyDrawing r:id="rId35"/>
  <tableParts count="2">
    <tablePart r:id="rId36"/>
    <tablePart r:id="rId3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NING_DATA" filterMode="1"/>
  <dimension ref="A1:I7323"/>
  <sheetViews>
    <sheetView workbookViewId="0">
      <selection activeCell="B15" sqref="B15"/>
    </sheetView>
  </sheetViews>
  <sheetFormatPr baseColWidth="10" defaultRowHeight="15" x14ac:dyDescent="0.25"/>
  <cols>
    <col min="1" max="1" width="7.7109375" bestFit="1" customWidth="1"/>
    <col min="2" max="2" width="13.5703125" customWidth="1"/>
    <col min="3" max="4" width="13.5703125" style="103" bestFit="1" customWidth="1"/>
    <col min="5" max="5" width="15.85546875" customWidth="1"/>
    <col min="6" max="6" width="5" bestFit="1" customWidth="1"/>
  </cols>
  <sheetData>
    <row r="1" spans="1:9" s="102" customFormat="1" x14ac:dyDescent="0.25">
      <c r="A1" s="100" t="s">
        <v>207</v>
      </c>
      <c r="B1" s="100" t="s">
        <v>216</v>
      </c>
      <c r="C1" s="100" t="s">
        <v>261</v>
      </c>
      <c r="D1" s="100" t="s">
        <v>260</v>
      </c>
      <c r="E1" s="100" t="s">
        <v>262</v>
      </c>
      <c r="F1" s="100" t="s">
        <v>225</v>
      </c>
      <c r="G1" s="101"/>
      <c r="H1" s="101"/>
      <c r="I1" s="101"/>
    </row>
    <row r="2" spans="1:9" x14ac:dyDescent="0.25">
      <c r="A2">
        <v>7589</v>
      </c>
      <c r="B2" s="15">
        <v>45264</v>
      </c>
      <c r="E2" s="119"/>
      <c r="F2">
        <v>3446</v>
      </c>
    </row>
    <row r="3" spans="1:9" x14ac:dyDescent="0.25">
      <c r="A3">
        <v>7589</v>
      </c>
      <c r="B3" s="15">
        <v>45265</v>
      </c>
      <c r="E3" s="120" t="s">
        <v>2</v>
      </c>
      <c r="F3">
        <v>3447</v>
      </c>
    </row>
    <row r="4" spans="1:9" x14ac:dyDescent="0.25">
      <c r="A4">
        <v>7589</v>
      </c>
      <c r="B4" s="15">
        <v>45266</v>
      </c>
      <c r="E4" s="119"/>
      <c r="F4">
        <v>3448</v>
      </c>
    </row>
    <row r="5" spans="1:9" x14ac:dyDescent="0.25">
      <c r="A5">
        <v>7589</v>
      </c>
      <c r="B5" s="15">
        <v>45267</v>
      </c>
      <c r="E5" s="120" t="s">
        <v>2</v>
      </c>
      <c r="F5">
        <v>3449</v>
      </c>
    </row>
    <row r="6" spans="1:9" x14ac:dyDescent="0.25">
      <c r="A6">
        <v>7589</v>
      </c>
      <c r="B6" s="15">
        <v>45268</v>
      </c>
      <c r="E6" s="196"/>
      <c r="F6">
        <v>3450</v>
      </c>
    </row>
    <row r="7" spans="1:9" x14ac:dyDescent="0.25">
      <c r="A7">
        <v>7589</v>
      </c>
      <c r="B7" s="15">
        <v>45269</v>
      </c>
      <c r="E7" s="119"/>
      <c r="F7">
        <v>3451</v>
      </c>
    </row>
    <row r="8" spans="1:9" x14ac:dyDescent="0.25">
      <c r="A8">
        <v>7589</v>
      </c>
      <c r="B8" s="15">
        <v>45270</v>
      </c>
      <c r="E8" s="119"/>
      <c r="F8">
        <v>3452</v>
      </c>
    </row>
    <row r="9" spans="1:9" x14ac:dyDescent="0.25">
      <c r="A9">
        <v>7589</v>
      </c>
      <c r="B9" s="15">
        <v>45271</v>
      </c>
      <c r="E9" s="119"/>
      <c r="F9">
        <v>3453</v>
      </c>
    </row>
    <row r="10" spans="1:9" x14ac:dyDescent="0.25">
      <c r="A10">
        <v>7589</v>
      </c>
      <c r="B10" s="15">
        <v>45272</v>
      </c>
      <c r="E10" s="120" t="s">
        <v>2</v>
      </c>
      <c r="F10">
        <v>3454</v>
      </c>
    </row>
    <row r="11" spans="1:9" x14ac:dyDescent="0.25">
      <c r="A11">
        <v>7589</v>
      </c>
      <c r="B11" s="15">
        <v>45273</v>
      </c>
      <c r="E11" s="119"/>
      <c r="F11">
        <v>3455</v>
      </c>
    </row>
    <row r="12" spans="1:9" x14ac:dyDescent="0.25">
      <c r="A12">
        <v>7589</v>
      </c>
      <c r="B12" s="15">
        <v>45274</v>
      </c>
      <c r="E12" s="120" t="s">
        <v>1</v>
      </c>
      <c r="F12">
        <v>3456</v>
      </c>
    </row>
    <row r="13" spans="1:9" x14ac:dyDescent="0.25">
      <c r="A13">
        <v>7589</v>
      </c>
      <c r="B13" s="15">
        <v>45275</v>
      </c>
      <c r="E13" s="120" t="s">
        <v>1</v>
      </c>
      <c r="F13">
        <v>3457</v>
      </c>
    </row>
    <row r="14" spans="1:9" x14ac:dyDescent="0.25">
      <c r="A14">
        <v>7589</v>
      </c>
      <c r="B14" s="15">
        <v>45276</v>
      </c>
      <c r="E14" s="119"/>
      <c r="F14">
        <v>3458</v>
      </c>
    </row>
    <row r="15" spans="1:9" x14ac:dyDescent="0.25">
      <c r="A15">
        <v>7589</v>
      </c>
      <c r="B15" s="15">
        <v>45277</v>
      </c>
      <c r="E15" s="119"/>
      <c r="F15">
        <v>3459</v>
      </c>
    </row>
    <row r="16" spans="1:9" x14ac:dyDescent="0.25">
      <c r="A16">
        <v>7589</v>
      </c>
      <c r="B16" s="15">
        <v>45278</v>
      </c>
      <c r="E16" s="119"/>
      <c r="F16">
        <v>3460</v>
      </c>
    </row>
    <row r="17" spans="1:6" x14ac:dyDescent="0.25">
      <c r="A17">
        <v>7589</v>
      </c>
      <c r="B17" s="15">
        <v>45279</v>
      </c>
      <c r="E17" s="160" t="s">
        <v>173</v>
      </c>
      <c r="F17">
        <v>3461</v>
      </c>
    </row>
    <row r="18" spans="1:6" x14ac:dyDescent="0.25">
      <c r="A18">
        <v>7589</v>
      </c>
      <c r="B18" s="15">
        <v>45280</v>
      </c>
      <c r="E18" s="119"/>
      <c r="F18">
        <v>3462</v>
      </c>
    </row>
    <row r="19" spans="1:6" x14ac:dyDescent="0.25">
      <c r="A19">
        <v>7589</v>
      </c>
      <c r="B19" s="15">
        <v>45281</v>
      </c>
      <c r="E19" s="160" t="s">
        <v>172</v>
      </c>
      <c r="F19">
        <v>3463</v>
      </c>
    </row>
    <row r="20" spans="1:6" x14ac:dyDescent="0.25">
      <c r="A20">
        <v>7589</v>
      </c>
      <c r="B20" s="15">
        <v>45282</v>
      </c>
      <c r="E20" s="160" t="s">
        <v>175</v>
      </c>
      <c r="F20">
        <v>3464</v>
      </c>
    </row>
    <row r="21" spans="1:6" x14ac:dyDescent="0.25">
      <c r="A21">
        <v>7589</v>
      </c>
      <c r="B21" s="15">
        <v>45283</v>
      </c>
      <c r="E21" s="119"/>
      <c r="F21">
        <v>3465</v>
      </c>
    </row>
    <row r="22" spans="1:6" x14ac:dyDescent="0.25">
      <c r="A22">
        <v>7589</v>
      </c>
      <c r="B22" s="15">
        <v>45284</v>
      </c>
      <c r="E22" s="119"/>
      <c r="F22">
        <v>3466</v>
      </c>
    </row>
    <row r="23" spans="1:6" x14ac:dyDescent="0.25">
      <c r="A23">
        <v>7589</v>
      </c>
      <c r="B23" s="15">
        <v>45285</v>
      </c>
      <c r="E23" s="119"/>
      <c r="F23">
        <v>3467</v>
      </c>
    </row>
    <row r="24" spans="1:6" x14ac:dyDescent="0.25">
      <c r="A24">
        <v>7589</v>
      </c>
      <c r="B24" s="15">
        <v>45286</v>
      </c>
      <c r="E24" s="160" t="s">
        <v>173</v>
      </c>
      <c r="F24">
        <v>3468</v>
      </c>
    </row>
    <row r="25" spans="1:6" x14ac:dyDescent="0.25">
      <c r="A25">
        <v>7589</v>
      </c>
      <c r="B25" s="15">
        <v>45287</v>
      </c>
      <c r="E25" s="119"/>
      <c r="F25">
        <v>3469</v>
      </c>
    </row>
    <row r="26" spans="1:6" x14ac:dyDescent="0.25">
      <c r="A26">
        <v>7589</v>
      </c>
      <c r="B26" s="15">
        <v>45288</v>
      </c>
      <c r="E26" s="160" t="s">
        <v>172</v>
      </c>
      <c r="F26">
        <v>3470</v>
      </c>
    </row>
    <row r="27" spans="1:6" x14ac:dyDescent="0.25">
      <c r="A27">
        <v>7589</v>
      </c>
      <c r="B27" s="15">
        <v>45289</v>
      </c>
      <c r="E27" s="160" t="s">
        <v>175</v>
      </c>
      <c r="F27">
        <v>3471</v>
      </c>
    </row>
    <row r="28" spans="1:6" x14ac:dyDescent="0.25">
      <c r="A28">
        <v>7589</v>
      </c>
      <c r="B28" s="15">
        <v>45290</v>
      </c>
      <c r="E28" s="119"/>
      <c r="F28">
        <v>3472</v>
      </c>
    </row>
    <row r="29" spans="1:6" x14ac:dyDescent="0.25">
      <c r="A29">
        <v>7589</v>
      </c>
      <c r="B29" s="15">
        <v>45291</v>
      </c>
      <c r="E29" s="119"/>
      <c r="F29">
        <v>3473</v>
      </c>
    </row>
    <row r="30" spans="1:6" x14ac:dyDescent="0.25">
      <c r="A30">
        <v>7589</v>
      </c>
      <c r="B30" s="15">
        <v>45292</v>
      </c>
      <c r="E30" s="119"/>
      <c r="F30">
        <v>4174</v>
      </c>
    </row>
    <row r="31" spans="1:6" x14ac:dyDescent="0.25">
      <c r="A31">
        <v>7589</v>
      </c>
      <c r="B31" s="15">
        <v>45293</v>
      </c>
      <c r="E31" s="120" t="s">
        <v>2</v>
      </c>
      <c r="F31">
        <v>4175</v>
      </c>
    </row>
    <row r="32" spans="1:6" x14ac:dyDescent="0.25">
      <c r="A32">
        <v>7589</v>
      </c>
      <c r="B32" s="15">
        <v>45294</v>
      </c>
      <c r="E32" s="119"/>
      <c r="F32">
        <v>4176</v>
      </c>
    </row>
    <row r="33" spans="1:6" x14ac:dyDescent="0.25">
      <c r="A33">
        <v>7589</v>
      </c>
      <c r="B33" s="15">
        <v>45295</v>
      </c>
      <c r="E33" s="120" t="s">
        <v>2</v>
      </c>
      <c r="F33">
        <v>4177</v>
      </c>
    </row>
    <row r="34" spans="1:6" x14ac:dyDescent="0.25">
      <c r="A34">
        <v>7589</v>
      </c>
      <c r="B34" s="15">
        <v>45296</v>
      </c>
      <c r="E34" s="120" t="s">
        <v>2</v>
      </c>
      <c r="F34">
        <v>4178</v>
      </c>
    </row>
    <row r="35" spans="1:6" x14ac:dyDescent="0.25">
      <c r="A35">
        <v>7589</v>
      </c>
      <c r="B35" s="15">
        <v>45297</v>
      </c>
      <c r="E35" s="119"/>
      <c r="F35">
        <v>4179</v>
      </c>
    </row>
    <row r="36" spans="1:6" x14ac:dyDescent="0.25">
      <c r="A36">
        <v>7589</v>
      </c>
      <c r="B36" s="15">
        <v>45298</v>
      </c>
      <c r="E36" s="119"/>
      <c r="F36">
        <v>4180</v>
      </c>
    </row>
    <row r="37" spans="1:6" x14ac:dyDescent="0.25">
      <c r="A37">
        <v>7589</v>
      </c>
      <c r="B37" s="15">
        <v>45299</v>
      </c>
      <c r="E37" s="119"/>
      <c r="F37">
        <v>4181</v>
      </c>
    </row>
    <row r="38" spans="1:6" x14ac:dyDescent="0.25">
      <c r="A38">
        <v>7589</v>
      </c>
      <c r="B38" s="15">
        <v>45300</v>
      </c>
      <c r="E38" s="120" t="s">
        <v>2</v>
      </c>
      <c r="F38">
        <v>4182</v>
      </c>
    </row>
    <row r="39" spans="1:6" x14ac:dyDescent="0.25">
      <c r="A39">
        <v>7589</v>
      </c>
      <c r="B39" s="15">
        <v>45301</v>
      </c>
      <c r="E39" s="119"/>
      <c r="F39">
        <v>4183</v>
      </c>
    </row>
    <row r="40" spans="1:6" x14ac:dyDescent="0.25">
      <c r="A40">
        <v>7589</v>
      </c>
      <c r="B40" s="15">
        <v>45302</v>
      </c>
      <c r="E40" s="160" t="s">
        <v>172</v>
      </c>
      <c r="F40">
        <v>4184</v>
      </c>
    </row>
    <row r="41" spans="1:6" x14ac:dyDescent="0.25">
      <c r="A41">
        <v>7589</v>
      </c>
      <c r="B41" s="15">
        <v>45303</v>
      </c>
      <c r="E41" s="160" t="s">
        <v>172</v>
      </c>
      <c r="F41">
        <v>4185</v>
      </c>
    </row>
    <row r="42" spans="1:6" x14ac:dyDescent="0.25">
      <c r="A42">
        <v>7589</v>
      </c>
      <c r="B42" s="15">
        <v>45304</v>
      </c>
      <c r="E42" s="119"/>
      <c r="F42">
        <v>4186</v>
      </c>
    </row>
    <row r="43" spans="1:6" x14ac:dyDescent="0.25">
      <c r="A43">
        <v>7589</v>
      </c>
      <c r="B43" s="15">
        <v>45305</v>
      </c>
      <c r="E43" s="119"/>
      <c r="F43">
        <v>4187</v>
      </c>
    </row>
    <row r="44" spans="1:6" x14ac:dyDescent="0.25">
      <c r="A44">
        <v>7589</v>
      </c>
      <c r="B44" s="15">
        <v>45306</v>
      </c>
      <c r="E44" s="119"/>
      <c r="F44">
        <v>4188</v>
      </c>
    </row>
    <row r="45" spans="1:6" x14ac:dyDescent="0.25">
      <c r="A45">
        <v>7589</v>
      </c>
      <c r="B45" s="15">
        <v>45307</v>
      </c>
      <c r="E45" s="160" t="s">
        <v>173</v>
      </c>
      <c r="F45">
        <v>4189</v>
      </c>
    </row>
    <row r="46" spans="1:6" x14ac:dyDescent="0.25">
      <c r="A46">
        <v>7589</v>
      </c>
      <c r="B46" s="15">
        <v>45308</v>
      </c>
      <c r="E46" s="119"/>
      <c r="F46">
        <v>4190</v>
      </c>
    </row>
    <row r="47" spans="1:6" x14ac:dyDescent="0.25">
      <c r="A47">
        <v>7589</v>
      </c>
      <c r="B47" s="15">
        <v>45309</v>
      </c>
      <c r="E47" s="160" t="s">
        <v>172</v>
      </c>
      <c r="F47">
        <v>4191</v>
      </c>
    </row>
    <row r="48" spans="1:6" x14ac:dyDescent="0.25">
      <c r="A48">
        <v>7589</v>
      </c>
      <c r="B48" s="15">
        <v>45310</v>
      </c>
      <c r="E48" s="160" t="s">
        <v>172</v>
      </c>
      <c r="F48">
        <v>4192</v>
      </c>
    </row>
    <row r="49" spans="1:6" x14ac:dyDescent="0.25">
      <c r="A49">
        <v>7589</v>
      </c>
      <c r="B49" s="15">
        <v>45311</v>
      </c>
      <c r="E49" s="119"/>
      <c r="F49">
        <v>4193</v>
      </c>
    </row>
    <row r="50" spans="1:6" x14ac:dyDescent="0.25">
      <c r="A50">
        <v>7589</v>
      </c>
      <c r="B50" s="15">
        <v>45312</v>
      </c>
      <c r="E50" s="119"/>
      <c r="F50">
        <v>4194</v>
      </c>
    </row>
    <row r="51" spans="1:6" x14ac:dyDescent="0.25">
      <c r="A51">
        <v>7589</v>
      </c>
      <c r="B51" s="15">
        <v>45313</v>
      </c>
      <c r="E51" s="119"/>
      <c r="F51">
        <v>4195</v>
      </c>
    </row>
    <row r="52" spans="1:6" x14ac:dyDescent="0.25">
      <c r="A52">
        <v>7589</v>
      </c>
      <c r="B52" s="15">
        <v>45314</v>
      </c>
      <c r="E52" s="160" t="s">
        <v>173</v>
      </c>
      <c r="F52">
        <v>4196</v>
      </c>
    </row>
    <row r="53" spans="1:6" x14ac:dyDescent="0.25">
      <c r="A53">
        <v>7589</v>
      </c>
      <c r="B53" s="15">
        <v>45315</v>
      </c>
      <c r="E53" s="119"/>
      <c r="F53">
        <v>4197</v>
      </c>
    </row>
    <row r="54" spans="1:6" x14ac:dyDescent="0.25">
      <c r="A54">
        <v>7589</v>
      </c>
      <c r="B54" s="15">
        <v>45316</v>
      </c>
      <c r="E54" s="160" t="s">
        <v>172</v>
      </c>
      <c r="F54">
        <v>4198</v>
      </c>
    </row>
    <row r="55" spans="1:6" x14ac:dyDescent="0.25">
      <c r="A55">
        <v>7589</v>
      </c>
      <c r="B55" s="15">
        <v>45317</v>
      </c>
      <c r="E55" s="160" t="s">
        <v>172</v>
      </c>
      <c r="F55">
        <v>4199</v>
      </c>
    </row>
    <row r="56" spans="1:6" x14ac:dyDescent="0.25">
      <c r="A56">
        <v>7589</v>
      </c>
      <c r="B56" s="15">
        <v>45318</v>
      </c>
      <c r="E56" s="119"/>
      <c r="F56">
        <v>4200</v>
      </c>
    </row>
    <row r="57" spans="1:6" x14ac:dyDescent="0.25">
      <c r="A57">
        <v>7589</v>
      </c>
      <c r="B57" s="15">
        <v>45319</v>
      </c>
      <c r="E57" s="119"/>
      <c r="F57">
        <v>4201</v>
      </c>
    </row>
    <row r="58" spans="1:6" x14ac:dyDescent="0.25">
      <c r="A58">
        <v>7589</v>
      </c>
      <c r="B58" s="15">
        <v>45320</v>
      </c>
      <c r="E58" s="119"/>
      <c r="F58">
        <v>4202</v>
      </c>
    </row>
    <row r="59" spans="1:6" x14ac:dyDescent="0.25">
      <c r="A59">
        <v>7589</v>
      </c>
      <c r="B59" s="15">
        <v>45321</v>
      </c>
      <c r="E59" s="160" t="s">
        <v>173</v>
      </c>
      <c r="F59">
        <v>4203</v>
      </c>
    </row>
    <row r="60" spans="1:6" x14ac:dyDescent="0.25">
      <c r="A60">
        <v>7589</v>
      </c>
      <c r="B60" s="15">
        <v>45322</v>
      </c>
      <c r="E60" s="119"/>
      <c r="F60">
        <v>4204</v>
      </c>
    </row>
    <row r="61" spans="1:6" x14ac:dyDescent="0.25">
      <c r="A61">
        <v>7589</v>
      </c>
      <c r="B61" s="15">
        <v>45323</v>
      </c>
      <c r="E61" s="160" t="s">
        <v>172</v>
      </c>
      <c r="F61">
        <v>4205</v>
      </c>
    </row>
    <row r="62" spans="1:6" x14ac:dyDescent="0.25">
      <c r="A62">
        <v>7589</v>
      </c>
      <c r="B62" s="15">
        <v>45324</v>
      </c>
      <c r="E62" s="160" t="s">
        <v>172</v>
      </c>
      <c r="F62">
        <v>4206</v>
      </c>
    </row>
    <row r="63" spans="1:6" x14ac:dyDescent="0.25">
      <c r="A63">
        <v>7589</v>
      </c>
      <c r="B63" s="15">
        <v>45325</v>
      </c>
      <c r="E63" s="119"/>
      <c r="F63">
        <v>4207</v>
      </c>
    </row>
    <row r="64" spans="1:6" x14ac:dyDescent="0.25">
      <c r="A64">
        <v>7589</v>
      </c>
      <c r="B64" s="15">
        <v>45326</v>
      </c>
      <c r="E64" s="119"/>
      <c r="F64">
        <v>4208</v>
      </c>
    </row>
    <row r="65" spans="1:6" x14ac:dyDescent="0.25">
      <c r="A65">
        <v>7589</v>
      </c>
      <c r="B65" s="15">
        <v>45327</v>
      </c>
      <c r="E65" s="119"/>
      <c r="F65">
        <v>5049</v>
      </c>
    </row>
    <row r="66" spans="1:6" x14ac:dyDescent="0.25">
      <c r="A66">
        <v>7589</v>
      </c>
      <c r="B66" s="15">
        <v>45328</v>
      </c>
      <c r="E66" s="160" t="s">
        <v>173</v>
      </c>
      <c r="F66">
        <v>5050</v>
      </c>
    </row>
    <row r="67" spans="1:6" x14ac:dyDescent="0.25">
      <c r="A67">
        <v>7589</v>
      </c>
      <c r="B67" s="15">
        <v>45329</v>
      </c>
      <c r="E67" s="119"/>
      <c r="F67">
        <v>5051</v>
      </c>
    </row>
    <row r="68" spans="1:6" x14ac:dyDescent="0.25">
      <c r="A68">
        <v>7589</v>
      </c>
      <c r="B68" s="15">
        <v>45330</v>
      </c>
      <c r="E68" s="160" t="s">
        <v>172</v>
      </c>
      <c r="F68">
        <v>5052</v>
      </c>
    </row>
    <row r="69" spans="1:6" x14ac:dyDescent="0.25">
      <c r="A69">
        <v>7589</v>
      </c>
      <c r="B69" s="15">
        <v>45331</v>
      </c>
      <c r="E69" s="160" t="s">
        <v>172</v>
      </c>
      <c r="F69">
        <v>5053</v>
      </c>
    </row>
    <row r="70" spans="1:6" x14ac:dyDescent="0.25">
      <c r="A70">
        <v>7589</v>
      </c>
      <c r="B70" s="15">
        <v>45332</v>
      </c>
      <c r="E70" s="119"/>
      <c r="F70">
        <v>5054</v>
      </c>
    </row>
    <row r="71" spans="1:6" x14ac:dyDescent="0.25">
      <c r="A71">
        <v>7589</v>
      </c>
      <c r="B71" s="15">
        <v>45333</v>
      </c>
      <c r="E71" s="119"/>
      <c r="F71">
        <v>5055</v>
      </c>
    </row>
    <row r="72" spans="1:6" x14ac:dyDescent="0.25">
      <c r="A72">
        <v>7589</v>
      </c>
      <c r="B72" s="15">
        <v>45334</v>
      </c>
      <c r="E72" s="119"/>
      <c r="F72">
        <v>5056</v>
      </c>
    </row>
    <row r="73" spans="1:6" x14ac:dyDescent="0.25">
      <c r="A73">
        <v>7589</v>
      </c>
      <c r="B73" s="15">
        <v>45335</v>
      </c>
      <c r="E73" s="160" t="s">
        <v>173</v>
      </c>
      <c r="F73">
        <v>5057</v>
      </c>
    </row>
    <row r="74" spans="1:6" x14ac:dyDescent="0.25">
      <c r="A74">
        <v>7589</v>
      </c>
      <c r="B74" s="15">
        <v>45336</v>
      </c>
      <c r="E74" s="119"/>
      <c r="F74">
        <v>5058</v>
      </c>
    </row>
    <row r="75" spans="1:6" x14ac:dyDescent="0.25">
      <c r="A75">
        <v>7589</v>
      </c>
      <c r="B75" s="15">
        <v>45337</v>
      </c>
      <c r="E75" s="160" t="s">
        <v>172</v>
      </c>
      <c r="F75">
        <v>5059</v>
      </c>
    </row>
    <row r="76" spans="1:6" x14ac:dyDescent="0.25">
      <c r="A76">
        <v>7589</v>
      </c>
      <c r="B76" s="15">
        <v>45338</v>
      </c>
      <c r="E76" s="160" t="s">
        <v>172</v>
      </c>
      <c r="F76">
        <v>5060</v>
      </c>
    </row>
    <row r="77" spans="1:6" x14ac:dyDescent="0.25">
      <c r="A77">
        <v>7589</v>
      </c>
      <c r="B77" s="15">
        <v>45339</v>
      </c>
      <c r="E77" s="119"/>
      <c r="F77">
        <v>5061</v>
      </c>
    </row>
    <row r="78" spans="1:6" x14ac:dyDescent="0.25">
      <c r="A78">
        <v>7589</v>
      </c>
      <c r="B78" s="15">
        <v>45340</v>
      </c>
      <c r="E78" s="119"/>
      <c r="F78">
        <v>5062</v>
      </c>
    </row>
    <row r="79" spans="1:6" x14ac:dyDescent="0.25">
      <c r="A79">
        <v>7589</v>
      </c>
      <c r="B79" s="15">
        <v>45341</v>
      </c>
      <c r="E79" s="119"/>
      <c r="F79">
        <v>5063</v>
      </c>
    </row>
    <row r="80" spans="1:6" x14ac:dyDescent="0.25">
      <c r="A80">
        <v>7589</v>
      </c>
      <c r="B80" s="15">
        <v>45342</v>
      </c>
      <c r="E80" s="160" t="s">
        <v>173</v>
      </c>
      <c r="F80">
        <v>5064</v>
      </c>
    </row>
    <row r="81" spans="1:6" x14ac:dyDescent="0.25">
      <c r="A81">
        <v>7589</v>
      </c>
      <c r="B81" s="15">
        <v>45343</v>
      </c>
      <c r="E81" s="119"/>
      <c r="F81">
        <v>5065</v>
      </c>
    </row>
    <row r="82" spans="1:6" x14ac:dyDescent="0.25">
      <c r="A82">
        <v>7589</v>
      </c>
      <c r="B82" s="15">
        <v>45344</v>
      </c>
      <c r="E82" s="160" t="s">
        <v>172</v>
      </c>
      <c r="F82">
        <v>5066</v>
      </c>
    </row>
    <row r="83" spans="1:6" x14ac:dyDescent="0.25">
      <c r="A83">
        <v>7589</v>
      </c>
      <c r="B83" s="15">
        <v>45345</v>
      </c>
      <c r="E83" s="160" t="s">
        <v>172</v>
      </c>
      <c r="F83">
        <v>5067</v>
      </c>
    </row>
    <row r="84" spans="1:6" x14ac:dyDescent="0.25">
      <c r="A84">
        <v>7589</v>
      </c>
      <c r="B84" s="15">
        <v>45346</v>
      </c>
      <c r="E84" s="119"/>
      <c r="F84">
        <v>5068</v>
      </c>
    </row>
    <row r="85" spans="1:6" x14ac:dyDescent="0.25">
      <c r="A85">
        <v>7589</v>
      </c>
      <c r="B85" s="15">
        <v>45347</v>
      </c>
      <c r="E85" s="119"/>
      <c r="F85">
        <v>5069</v>
      </c>
    </row>
    <row r="86" spans="1:6" x14ac:dyDescent="0.25">
      <c r="A86">
        <v>7589</v>
      </c>
      <c r="B86" s="15">
        <v>45348</v>
      </c>
      <c r="E86" s="119"/>
      <c r="F86">
        <v>5070</v>
      </c>
    </row>
    <row r="87" spans="1:6" x14ac:dyDescent="0.25">
      <c r="A87">
        <v>7589</v>
      </c>
      <c r="B87" s="15">
        <v>45349</v>
      </c>
      <c r="E87" s="160" t="s">
        <v>173</v>
      </c>
      <c r="F87">
        <v>5071</v>
      </c>
    </row>
    <row r="88" spans="1:6" x14ac:dyDescent="0.25">
      <c r="A88">
        <v>7589</v>
      </c>
      <c r="B88" s="15">
        <v>45350</v>
      </c>
      <c r="E88" s="119"/>
      <c r="F88">
        <v>5072</v>
      </c>
    </row>
    <row r="89" spans="1:6" x14ac:dyDescent="0.25">
      <c r="A89">
        <v>7589</v>
      </c>
      <c r="B89" s="15">
        <v>45351</v>
      </c>
      <c r="E89" s="160" t="s">
        <v>172</v>
      </c>
      <c r="F89">
        <v>5073</v>
      </c>
    </row>
    <row r="90" spans="1:6" x14ac:dyDescent="0.25">
      <c r="A90">
        <v>7589</v>
      </c>
      <c r="B90" s="15">
        <v>45352</v>
      </c>
      <c r="E90" s="160" t="s">
        <v>172</v>
      </c>
      <c r="F90">
        <v>5074</v>
      </c>
    </row>
    <row r="91" spans="1:6" x14ac:dyDescent="0.25">
      <c r="A91">
        <v>7589</v>
      </c>
      <c r="B91" s="15">
        <v>45353</v>
      </c>
      <c r="E91" s="119"/>
      <c r="F91">
        <v>5075</v>
      </c>
    </row>
    <row r="92" spans="1:6" x14ac:dyDescent="0.25">
      <c r="A92">
        <v>7589</v>
      </c>
      <c r="B92" s="15">
        <v>45354</v>
      </c>
      <c r="E92" s="119"/>
      <c r="F92">
        <v>5076</v>
      </c>
    </row>
    <row r="93" spans="1:6" x14ac:dyDescent="0.25">
      <c r="A93">
        <v>7589</v>
      </c>
      <c r="B93" s="15">
        <v>45355</v>
      </c>
      <c r="E93" s="119"/>
      <c r="F93">
        <v>5749</v>
      </c>
    </row>
    <row r="94" spans="1:6" x14ac:dyDescent="0.25">
      <c r="A94">
        <v>7589</v>
      </c>
      <c r="B94" s="15">
        <v>45356</v>
      </c>
      <c r="E94" s="160" t="s">
        <v>173</v>
      </c>
      <c r="F94">
        <v>5750</v>
      </c>
    </row>
    <row r="95" spans="1:6" x14ac:dyDescent="0.25">
      <c r="A95">
        <v>7589</v>
      </c>
      <c r="B95" s="15">
        <v>45357</v>
      </c>
      <c r="E95" s="119"/>
      <c r="F95">
        <v>5751</v>
      </c>
    </row>
    <row r="96" spans="1:6" x14ac:dyDescent="0.25">
      <c r="A96">
        <v>7589</v>
      </c>
      <c r="B96" s="15">
        <v>45358</v>
      </c>
      <c r="E96" s="160" t="s">
        <v>172</v>
      </c>
      <c r="F96">
        <v>5752</v>
      </c>
    </row>
    <row r="97" spans="1:6" x14ac:dyDescent="0.25">
      <c r="A97">
        <v>7589</v>
      </c>
      <c r="B97" s="15">
        <v>45359</v>
      </c>
      <c r="E97" s="160" t="s">
        <v>172</v>
      </c>
      <c r="F97">
        <v>5753</v>
      </c>
    </row>
    <row r="98" spans="1:6" x14ac:dyDescent="0.25">
      <c r="A98">
        <v>7589</v>
      </c>
      <c r="B98" s="15">
        <v>45360</v>
      </c>
      <c r="E98" s="119"/>
      <c r="F98">
        <v>5754</v>
      </c>
    </row>
    <row r="99" spans="1:6" x14ac:dyDescent="0.25">
      <c r="A99">
        <v>7589</v>
      </c>
      <c r="B99" s="15">
        <v>45361</v>
      </c>
      <c r="E99" s="119"/>
      <c r="F99">
        <v>5755</v>
      </c>
    </row>
    <row r="100" spans="1:6" x14ac:dyDescent="0.25">
      <c r="A100">
        <v>7589</v>
      </c>
      <c r="B100" s="15">
        <v>45362</v>
      </c>
      <c r="E100" s="119"/>
      <c r="F100">
        <v>5756</v>
      </c>
    </row>
    <row r="101" spans="1:6" x14ac:dyDescent="0.25">
      <c r="A101">
        <v>7589</v>
      </c>
      <c r="B101" s="15">
        <v>45363</v>
      </c>
      <c r="E101" s="160" t="s">
        <v>173</v>
      </c>
      <c r="F101">
        <v>5757</v>
      </c>
    </row>
    <row r="102" spans="1:6" x14ac:dyDescent="0.25">
      <c r="A102">
        <v>7589</v>
      </c>
      <c r="B102" s="15">
        <v>45364</v>
      </c>
      <c r="E102" s="119"/>
      <c r="F102">
        <v>5758</v>
      </c>
    </row>
    <row r="103" spans="1:6" x14ac:dyDescent="0.25">
      <c r="A103">
        <v>7589</v>
      </c>
      <c r="B103" s="15">
        <v>45365</v>
      </c>
      <c r="E103" s="160" t="s">
        <v>172</v>
      </c>
      <c r="F103">
        <v>5759</v>
      </c>
    </row>
    <row r="104" spans="1:6" x14ac:dyDescent="0.25">
      <c r="A104">
        <v>7589</v>
      </c>
      <c r="B104" s="15">
        <v>45366</v>
      </c>
      <c r="E104" s="160" t="s">
        <v>172</v>
      </c>
      <c r="F104">
        <v>5760</v>
      </c>
    </row>
    <row r="105" spans="1:6" x14ac:dyDescent="0.25">
      <c r="A105">
        <v>7589</v>
      </c>
      <c r="B105" s="15">
        <v>45367</v>
      </c>
      <c r="E105" s="119"/>
      <c r="F105">
        <v>5761</v>
      </c>
    </row>
    <row r="106" spans="1:6" x14ac:dyDescent="0.25">
      <c r="A106">
        <v>7589</v>
      </c>
      <c r="B106" s="15">
        <v>45368</v>
      </c>
      <c r="E106" s="119"/>
      <c r="F106">
        <v>5762</v>
      </c>
    </row>
    <row r="107" spans="1:6" x14ac:dyDescent="0.25">
      <c r="A107">
        <v>7589</v>
      </c>
      <c r="B107" s="15">
        <v>45369</v>
      </c>
      <c r="E107" s="119"/>
      <c r="F107">
        <v>5763</v>
      </c>
    </row>
    <row r="108" spans="1:6" x14ac:dyDescent="0.25">
      <c r="A108">
        <v>7589</v>
      </c>
      <c r="B108" s="15">
        <v>45370</v>
      </c>
      <c r="E108" s="120" t="s">
        <v>2</v>
      </c>
      <c r="F108">
        <v>5764</v>
      </c>
    </row>
    <row r="109" spans="1:6" x14ac:dyDescent="0.25">
      <c r="A109">
        <v>7589</v>
      </c>
      <c r="B109" s="15">
        <v>45371</v>
      </c>
      <c r="E109" s="119"/>
      <c r="F109">
        <v>5765</v>
      </c>
    </row>
    <row r="110" spans="1:6" x14ac:dyDescent="0.25">
      <c r="A110">
        <v>7589</v>
      </c>
      <c r="B110" s="15">
        <v>45372</v>
      </c>
      <c r="E110" s="120" t="s">
        <v>2</v>
      </c>
      <c r="F110">
        <v>5766</v>
      </c>
    </row>
    <row r="111" spans="1:6" x14ac:dyDescent="0.25">
      <c r="A111">
        <v>7589</v>
      </c>
      <c r="B111" s="15">
        <v>45373</v>
      </c>
      <c r="E111" s="120" t="s">
        <v>2</v>
      </c>
      <c r="F111">
        <v>5767</v>
      </c>
    </row>
    <row r="112" spans="1:6" x14ac:dyDescent="0.25">
      <c r="A112">
        <v>7589</v>
      </c>
      <c r="B112" s="15">
        <v>45374</v>
      </c>
      <c r="E112" s="119"/>
      <c r="F112">
        <v>5768</v>
      </c>
    </row>
    <row r="113" spans="1:6" x14ac:dyDescent="0.25">
      <c r="A113">
        <v>7589</v>
      </c>
      <c r="B113" s="15">
        <v>45375</v>
      </c>
      <c r="E113" s="119"/>
      <c r="F113">
        <v>5769</v>
      </c>
    </row>
    <row r="114" spans="1:6" x14ac:dyDescent="0.25">
      <c r="A114">
        <v>7589</v>
      </c>
      <c r="B114" s="15">
        <v>45376</v>
      </c>
      <c r="E114" s="119"/>
      <c r="F114">
        <v>5770</v>
      </c>
    </row>
    <row r="115" spans="1:6" x14ac:dyDescent="0.25">
      <c r="A115">
        <v>7589</v>
      </c>
      <c r="B115" s="15">
        <v>45377</v>
      </c>
      <c r="E115" s="160" t="s">
        <v>173</v>
      </c>
      <c r="F115">
        <v>5771</v>
      </c>
    </row>
    <row r="116" spans="1:6" x14ac:dyDescent="0.25">
      <c r="A116">
        <v>7589</v>
      </c>
      <c r="B116" s="15">
        <v>45378</v>
      </c>
      <c r="E116" s="119"/>
      <c r="F116">
        <v>5772</v>
      </c>
    </row>
    <row r="117" spans="1:6" x14ac:dyDescent="0.25">
      <c r="A117">
        <v>7589</v>
      </c>
      <c r="B117" s="15">
        <v>45379</v>
      </c>
      <c r="E117" s="160" t="s">
        <v>172</v>
      </c>
      <c r="F117">
        <v>5773</v>
      </c>
    </row>
    <row r="118" spans="1:6" x14ac:dyDescent="0.25">
      <c r="A118">
        <v>7589</v>
      </c>
      <c r="B118" s="15">
        <v>45380</v>
      </c>
      <c r="E118" s="160" t="s">
        <v>172</v>
      </c>
      <c r="F118">
        <v>5774</v>
      </c>
    </row>
    <row r="119" spans="1:6" x14ac:dyDescent="0.25">
      <c r="A119">
        <v>7589</v>
      </c>
      <c r="B119" s="15">
        <v>45381</v>
      </c>
      <c r="E119" s="119"/>
      <c r="F119">
        <v>5775</v>
      </c>
    </row>
    <row r="120" spans="1:6" x14ac:dyDescent="0.25">
      <c r="A120">
        <v>7589</v>
      </c>
      <c r="B120" s="15">
        <v>45382</v>
      </c>
      <c r="E120" s="119"/>
      <c r="F120">
        <v>5776</v>
      </c>
    </row>
    <row r="121" spans="1:6" x14ac:dyDescent="0.25">
      <c r="A121">
        <v>7589</v>
      </c>
      <c r="B121" s="15">
        <v>45383</v>
      </c>
      <c r="E121" s="119"/>
      <c r="F121">
        <v>6449</v>
      </c>
    </row>
    <row r="122" spans="1:6" x14ac:dyDescent="0.25">
      <c r="A122">
        <v>7589</v>
      </c>
      <c r="B122" s="15">
        <v>45384</v>
      </c>
      <c r="E122" s="160" t="s">
        <v>173</v>
      </c>
      <c r="F122">
        <v>6450</v>
      </c>
    </row>
    <row r="123" spans="1:6" x14ac:dyDescent="0.25">
      <c r="A123">
        <v>7589</v>
      </c>
      <c r="B123" s="15">
        <v>45385</v>
      </c>
      <c r="E123" s="119"/>
      <c r="F123">
        <v>6451</v>
      </c>
    </row>
    <row r="124" spans="1:6" x14ac:dyDescent="0.25">
      <c r="A124">
        <v>7589</v>
      </c>
      <c r="B124" s="15">
        <v>45386</v>
      </c>
      <c r="E124" s="160" t="s">
        <v>172</v>
      </c>
      <c r="F124">
        <v>6452</v>
      </c>
    </row>
    <row r="125" spans="1:6" x14ac:dyDescent="0.25">
      <c r="A125">
        <v>7589</v>
      </c>
      <c r="B125" s="15">
        <v>45387</v>
      </c>
      <c r="E125" s="160" t="s">
        <v>172</v>
      </c>
      <c r="F125">
        <v>6453</v>
      </c>
    </row>
    <row r="126" spans="1:6" x14ac:dyDescent="0.25">
      <c r="A126">
        <v>7589</v>
      </c>
      <c r="B126" s="15">
        <v>45388</v>
      </c>
      <c r="E126" s="119"/>
      <c r="F126">
        <v>6454</v>
      </c>
    </row>
    <row r="127" spans="1:6" x14ac:dyDescent="0.25">
      <c r="A127">
        <v>7589</v>
      </c>
      <c r="B127" s="15">
        <v>45389</v>
      </c>
      <c r="E127" s="119"/>
      <c r="F127">
        <v>6455</v>
      </c>
    </row>
    <row r="128" spans="1:6" x14ac:dyDescent="0.25">
      <c r="A128">
        <v>7589</v>
      </c>
      <c r="B128" s="15">
        <v>45390</v>
      </c>
      <c r="E128" s="119"/>
      <c r="F128">
        <v>6456</v>
      </c>
    </row>
    <row r="129" spans="1:6" x14ac:dyDescent="0.25">
      <c r="A129">
        <v>7589</v>
      </c>
      <c r="B129" s="15">
        <v>45391</v>
      </c>
      <c r="E129" s="160" t="s">
        <v>173</v>
      </c>
      <c r="F129">
        <v>6457</v>
      </c>
    </row>
    <row r="130" spans="1:6" x14ac:dyDescent="0.25">
      <c r="A130">
        <v>7589</v>
      </c>
      <c r="B130" s="15">
        <v>45392</v>
      </c>
      <c r="E130" s="119"/>
      <c r="F130">
        <v>6458</v>
      </c>
    </row>
    <row r="131" spans="1:6" x14ac:dyDescent="0.25">
      <c r="A131">
        <v>7589</v>
      </c>
      <c r="B131" s="15">
        <v>45393</v>
      </c>
      <c r="E131" s="160" t="s">
        <v>172</v>
      </c>
      <c r="F131">
        <v>6459</v>
      </c>
    </row>
    <row r="132" spans="1:6" x14ac:dyDescent="0.25">
      <c r="A132">
        <v>7589</v>
      </c>
      <c r="B132" s="15">
        <v>45394</v>
      </c>
      <c r="E132" s="160" t="s">
        <v>172</v>
      </c>
      <c r="F132">
        <v>6460</v>
      </c>
    </row>
    <row r="133" spans="1:6" x14ac:dyDescent="0.25">
      <c r="A133">
        <v>7589</v>
      </c>
      <c r="B133" s="15">
        <v>45395</v>
      </c>
      <c r="E133" s="119"/>
      <c r="F133">
        <v>6461</v>
      </c>
    </row>
    <row r="134" spans="1:6" x14ac:dyDescent="0.25">
      <c r="A134">
        <v>7589</v>
      </c>
      <c r="B134" s="15">
        <v>45396</v>
      </c>
      <c r="E134" s="119"/>
      <c r="F134">
        <v>6462</v>
      </c>
    </row>
    <row r="135" spans="1:6" x14ac:dyDescent="0.25">
      <c r="A135">
        <v>7589</v>
      </c>
      <c r="B135" s="15">
        <v>45397</v>
      </c>
      <c r="E135" s="119"/>
      <c r="F135">
        <v>6463</v>
      </c>
    </row>
    <row r="136" spans="1:6" x14ac:dyDescent="0.25">
      <c r="A136">
        <v>7589</v>
      </c>
      <c r="B136" s="15">
        <v>45398</v>
      </c>
      <c r="E136" s="160" t="s">
        <v>173</v>
      </c>
      <c r="F136">
        <v>6464</v>
      </c>
    </row>
    <row r="137" spans="1:6" x14ac:dyDescent="0.25">
      <c r="A137">
        <v>7589</v>
      </c>
      <c r="B137" s="15">
        <v>45399</v>
      </c>
      <c r="E137" s="119"/>
      <c r="F137">
        <v>6465</v>
      </c>
    </row>
    <row r="138" spans="1:6" x14ac:dyDescent="0.25">
      <c r="A138">
        <v>7589</v>
      </c>
      <c r="B138" s="15">
        <v>45400</v>
      </c>
      <c r="E138" s="160" t="s">
        <v>172</v>
      </c>
      <c r="F138">
        <v>6466</v>
      </c>
    </row>
    <row r="139" spans="1:6" x14ac:dyDescent="0.25">
      <c r="A139">
        <v>7589</v>
      </c>
      <c r="B139" s="15">
        <v>45401</v>
      </c>
      <c r="E139" s="160" t="s">
        <v>172</v>
      </c>
      <c r="F139">
        <v>6467</v>
      </c>
    </row>
    <row r="140" spans="1:6" x14ac:dyDescent="0.25">
      <c r="A140">
        <v>7589</v>
      </c>
      <c r="B140" s="15">
        <v>45402</v>
      </c>
      <c r="E140" s="119"/>
      <c r="F140">
        <v>6468</v>
      </c>
    </row>
    <row r="141" spans="1:6" x14ac:dyDescent="0.25">
      <c r="A141">
        <v>7589</v>
      </c>
      <c r="B141" s="15">
        <v>45403</v>
      </c>
      <c r="E141" s="119"/>
      <c r="F141">
        <v>6469</v>
      </c>
    </row>
    <row r="142" spans="1:6" x14ac:dyDescent="0.25">
      <c r="A142">
        <v>7589</v>
      </c>
      <c r="B142" s="15">
        <v>45404</v>
      </c>
      <c r="E142" s="119"/>
      <c r="F142">
        <v>6470</v>
      </c>
    </row>
    <row r="143" spans="1:6" x14ac:dyDescent="0.25">
      <c r="A143">
        <v>7589</v>
      </c>
      <c r="B143" s="15">
        <v>45405</v>
      </c>
      <c r="E143" s="160" t="s">
        <v>173</v>
      </c>
      <c r="F143">
        <v>6471</v>
      </c>
    </row>
    <row r="144" spans="1:6" x14ac:dyDescent="0.25">
      <c r="A144">
        <v>7589</v>
      </c>
      <c r="B144" s="15">
        <v>45406</v>
      </c>
      <c r="E144" s="119"/>
      <c r="F144">
        <v>6472</v>
      </c>
    </row>
    <row r="145" spans="1:6" x14ac:dyDescent="0.25">
      <c r="A145">
        <v>7589</v>
      </c>
      <c r="B145" s="15">
        <v>45407</v>
      </c>
      <c r="E145" s="160" t="s">
        <v>172</v>
      </c>
      <c r="F145">
        <v>6473</v>
      </c>
    </row>
    <row r="146" spans="1:6" x14ac:dyDescent="0.25">
      <c r="A146">
        <v>7589</v>
      </c>
      <c r="B146" s="15">
        <v>45408</v>
      </c>
      <c r="E146" s="120" t="s">
        <v>2</v>
      </c>
      <c r="F146">
        <v>6474</v>
      </c>
    </row>
    <row r="147" spans="1:6" x14ac:dyDescent="0.25">
      <c r="A147">
        <v>7589</v>
      </c>
      <c r="B147" s="15">
        <v>45409</v>
      </c>
      <c r="E147" s="119"/>
      <c r="F147">
        <v>6475</v>
      </c>
    </row>
    <row r="148" spans="1:6" x14ac:dyDescent="0.25">
      <c r="A148">
        <v>7589</v>
      </c>
      <c r="B148" s="15">
        <v>45410</v>
      </c>
      <c r="E148" s="119"/>
      <c r="F148">
        <v>6476</v>
      </c>
    </row>
    <row r="149" spans="1:6" x14ac:dyDescent="0.25">
      <c r="A149">
        <v>7589</v>
      </c>
      <c r="B149" s="15">
        <v>45411</v>
      </c>
      <c r="E149" s="119"/>
      <c r="F149">
        <v>6477</v>
      </c>
    </row>
    <row r="150" spans="1:6" x14ac:dyDescent="0.25">
      <c r="A150">
        <v>7589</v>
      </c>
      <c r="B150" s="15">
        <v>45412</v>
      </c>
      <c r="E150" s="120" t="s">
        <v>2</v>
      </c>
      <c r="F150">
        <v>6478</v>
      </c>
    </row>
    <row r="151" spans="1:6" x14ac:dyDescent="0.25">
      <c r="A151">
        <v>7589</v>
      </c>
      <c r="B151" s="15">
        <v>45413</v>
      </c>
      <c r="E151" s="119"/>
      <c r="F151">
        <v>6479</v>
      </c>
    </row>
    <row r="152" spans="1:6" x14ac:dyDescent="0.25">
      <c r="A152">
        <v>7589</v>
      </c>
      <c r="B152" s="15">
        <v>45414</v>
      </c>
      <c r="E152" s="160" t="s">
        <v>172</v>
      </c>
      <c r="F152">
        <v>6480</v>
      </c>
    </row>
    <row r="153" spans="1:6" x14ac:dyDescent="0.25">
      <c r="A153">
        <v>7589</v>
      </c>
      <c r="B153" s="15">
        <v>45415</v>
      </c>
      <c r="E153" s="160" t="s">
        <v>172</v>
      </c>
      <c r="F153">
        <v>6481</v>
      </c>
    </row>
    <row r="154" spans="1:6" x14ac:dyDescent="0.25">
      <c r="A154">
        <v>7589</v>
      </c>
      <c r="B154" s="15">
        <v>45416</v>
      </c>
      <c r="E154" s="119"/>
      <c r="F154">
        <v>6482</v>
      </c>
    </row>
    <row r="155" spans="1:6" x14ac:dyDescent="0.25">
      <c r="A155">
        <v>7589</v>
      </c>
      <c r="B155" s="15">
        <v>45417</v>
      </c>
      <c r="E155" s="119"/>
      <c r="F155">
        <v>6483</v>
      </c>
    </row>
    <row r="156" spans="1:6" x14ac:dyDescent="0.25">
      <c r="A156">
        <v>7590</v>
      </c>
      <c r="B156" s="15">
        <v>45264</v>
      </c>
      <c r="E156" s="203" t="s">
        <v>132</v>
      </c>
      <c r="F156">
        <v>4146</v>
      </c>
    </row>
    <row r="157" spans="1:6" x14ac:dyDescent="0.25">
      <c r="A157">
        <v>7590</v>
      </c>
      <c r="B157" s="15">
        <v>45265</v>
      </c>
      <c r="E157" s="203" t="s">
        <v>132</v>
      </c>
      <c r="F157">
        <v>4147</v>
      </c>
    </row>
    <row r="158" spans="1:6" x14ac:dyDescent="0.25">
      <c r="A158">
        <v>7590</v>
      </c>
      <c r="B158" s="15">
        <v>45266</v>
      </c>
      <c r="E158" s="157"/>
      <c r="F158">
        <v>4148</v>
      </c>
    </row>
    <row r="159" spans="1:6" x14ac:dyDescent="0.25">
      <c r="A159">
        <v>7590</v>
      </c>
      <c r="B159" s="15">
        <v>45267</v>
      </c>
      <c r="E159" s="203" t="s">
        <v>132</v>
      </c>
      <c r="F159">
        <v>4149</v>
      </c>
    </row>
    <row r="160" spans="1:6" x14ac:dyDescent="0.25">
      <c r="A160">
        <v>7590</v>
      </c>
      <c r="B160" s="15">
        <v>45268</v>
      </c>
      <c r="E160" s="158"/>
      <c r="F160">
        <v>4150</v>
      </c>
    </row>
    <row r="161" spans="1:6" x14ac:dyDescent="0.25">
      <c r="A161">
        <v>7590</v>
      </c>
      <c r="B161" s="15">
        <v>45269</v>
      </c>
      <c r="E161" s="157"/>
      <c r="F161">
        <v>4151</v>
      </c>
    </row>
    <row r="162" spans="1:6" x14ac:dyDescent="0.25">
      <c r="A162">
        <v>7590</v>
      </c>
      <c r="B162" s="15">
        <v>45270</v>
      </c>
      <c r="E162" s="157"/>
      <c r="F162">
        <v>4152</v>
      </c>
    </row>
    <row r="163" spans="1:6" x14ac:dyDescent="0.25">
      <c r="A163">
        <v>7590</v>
      </c>
      <c r="B163" s="15">
        <v>45271</v>
      </c>
      <c r="E163" s="203" t="s">
        <v>132</v>
      </c>
      <c r="F163">
        <v>4153</v>
      </c>
    </row>
    <row r="164" spans="1:6" x14ac:dyDescent="0.25">
      <c r="A164">
        <v>7590</v>
      </c>
      <c r="B164" s="15">
        <v>45272</v>
      </c>
      <c r="E164" s="203" t="s">
        <v>132</v>
      </c>
      <c r="F164">
        <v>4154</v>
      </c>
    </row>
    <row r="165" spans="1:6" x14ac:dyDescent="0.25">
      <c r="A165">
        <v>7590</v>
      </c>
      <c r="B165" s="15">
        <v>45273</v>
      </c>
      <c r="E165" s="157"/>
      <c r="F165">
        <v>4155</v>
      </c>
    </row>
    <row r="166" spans="1:6" x14ac:dyDescent="0.25">
      <c r="A166">
        <v>7590</v>
      </c>
      <c r="B166" s="15">
        <v>45274</v>
      </c>
      <c r="E166" s="203" t="s">
        <v>132</v>
      </c>
      <c r="F166">
        <v>4156</v>
      </c>
    </row>
    <row r="167" spans="1:6" x14ac:dyDescent="0.25">
      <c r="A167">
        <v>7590</v>
      </c>
      <c r="B167" s="15">
        <v>45275</v>
      </c>
      <c r="E167" s="157"/>
      <c r="F167">
        <v>4157</v>
      </c>
    </row>
    <row r="168" spans="1:6" x14ac:dyDescent="0.25">
      <c r="A168">
        <v>7590</v>
      </c>
      <c r="B168" s="15">
        <v>45276</v>
      </c>
      <c r="E168" s="157"/>
      <c r="F168">
        <v>4158</v>
      </c>
    </row>
    <row r="169" spans="1:6" x14ac:dyDescent="0.25">
      <c r="A169">
        <v>7590</v>
      </c>
      <c r="B169" s="15">
        <v>45277</v>
      </c>
      <c r="E169" s="157"/>
      <c r="F169">
        <v>4159</v>
      </c>
    </row>
    <row r="170" spans="1:6" x14ac:dyDescent="0.25">
      <c r="A170">
        <v>7590</v>
      </c>
      <c r="B170" s="15">
        <v>45278</v>
      </c>
      <c r="E170" s="203" t="s">
        <v>132</v>
      </c>
      <c r="F170">
        <v>4160</v>
      </c>
    </row>
    <row r="171" spans="1:6" x14ac:dyDescent="0.25">
      <c r="A171">
        <v>7590</v>
      </c>
      <c r="B171" s="15">
        <v>45279</v>
      </c>
      <c r="E171" s="203" t="s">
        <v>132</v>
      </c>
      <c r="F171">
        <v>4161</v>
      </c>
    </row>
    <row r="172" spans="1:6" x14ac:dyDescent="0.25">
      <c r="A172">
        <v>7590</v>
      </c>
      <c r="B172" s="15">
        <v>45280</v>
      </c>
      <c r="E172" s="157"/>
      <c r="F172">
        <v>4162</v>
      </c>
    </row>
    <row r="173" spans="1:6" x14ac:dyDescent="0.25">
      <c r="A173">
        <v>7590</v>
      </c>
      <c r="B173" s="15">
        <v>45281</v>
      </c>
      <c r="E173" s="122" t="s">
        <v>2</v>
      </c>
      <c r="F173">
        <v>4163</v>
      </c>
    </row>
    <row r="174" spans="1:6" x14ac:dyDescent="0.25">
      <c r="A174">
        <v>7590</v>
      </c>
      <c r="B174" s="15">
        <v>45282</v>
      </c>
      <c r="E174" s="158"/>
      <c r="F174">
        <v>4164</v>
      </c>
    </row>
    <row r="175" spans="1:6" x14ac:dyDescent="0.25">
      <c r="A175">
        <v>7590</v>
      </c>
      <c r="B175" s="15">
        <v>45283</v>
      </c>
      <c r="E175" s="157"/>
      <c r="F175">
        <v>4165</v>
      </c>
    </row>
    <row r="176" spans="1:6" x14ac:dyDescent="0.25">
      <c r="A176">
        <v>7590</v>
      </c>
      <c r="B176" s="15">
        <v>45284</v>
      </c>
      <c r="E176" s="157"/>
      <c r="F176">
        <v>4166</v>
      </c>
    </row>
    <row r="177" spans="1:6" x14ac:dyDescent="0.25">
      <c r="A177">
        <v>7590</v>
      </c>
      <c r="B177" s="15">
        <v>45285</v>
      </c>
      <c r="E177" s="157"/>
      <c r="F177">
        <v>4167</v>
      </c>
    </row>
    <row r="178" spans="1:6" x14ac:dyDescent="0.25">
      <c r="A178">
        <v>7590</v>
      </c>
      <c r="B178" s="15">
        <v>45286</v>
      </c>
      <c r="E178" s="203" t="s">
        <v>132</v>
      </c>
      <c r="F178">
        <v>4168</v>
      </c>
    </row>
    <row r="179" spans="1:6" x14ac:dyDescent="0.25">
      <c r="A179">
        <v>7590</v>
      </c>
      <c r="B179" s="15">
        <v>45287</v>
      </c>
      <c r="E179" s="157"/>
      <c r="F179">
        <v>4169</v>
      </c>
    </row>
    <row r="180" spans="1:6" x14ac:dyDescent="0.25">
      <c r="A180">
        <v>7590</v>
      </c>
      <c r="B180" s="15">
        <v>45288</v>
      </c>
      <c r="E180" s="203" t="s">
        <v>132</v>
      </c>
      <c r="F180">
        <v>4170</v>
      </c>
    </row>
    <row r="181" spans="1:6" x14ac:dyDescent="0.25">
      <c r="A181">
        <v>7590</v>
      </c>
      <c r="B181" s="15">
        <v>45289</v>
      </c>
      <c r="E181" s="157"/>
      <c r="F181">
        <v>4171</v>
      </c>
    </row>
    <row r="182" spans="1:6" x14ac:dyDescent="0.25">
      <c r="A182">
        <v>7590</v>
      </c>
      <c r="B182" s="15">
        <v>45290</v>
      </c>
      <c r="E182" s="157"/>
      <c r="F182">
        <v>4172</v>
      </c>
    </row>
    <row r="183" spans="1:6" x14ac:dyDescent="0.25">
      <c r="A183">
        <v>7590</v>
      </c>
      <c r="B183" s="15">
        <v>45291</v>
      </c>
      <c r="E183" s="157"/>
      <c r="F183">
        <v>4173</v>
      </c>
    </row>
    <row r="184" spans="1:6" x14ac:dyDescent="0.25">
      <c r="A184">
        <v>7590</v>
      </c>
      <c r="B184" s="15">
        <v>45292</v>
      </c>
      <c r="E184" s="119"/>
      <c r="F184">
        <v>5014</v>
      </c>
    </row>
    <row r="185" spans="1:6" x14ac:dyDescent="0.25">
      <c r="A185">
        <v>7590</v>
      </c>
      <c r="B185" s="15">
        <v>45293</v>
      </c>
      <c r="E185" s="203" t="s">
        <v>132</v>
      </c>
      <c r="F185">
        <v>5015</v>
      </c>
    </row>
    <row r="186" spans="1:6" x14ac:dyDescent="0.25">
      <c r="A186">
        <v>7590</v>
      </c>
      <c r="B186" s="15">
        <v>45294</v>
      </c>
      <c r="E186" s="157"/>
      <c r="F186">
        <v>5016</v>
      </c>
    </row>
    <row r="187" spans="1:6" x14ac:dyDescent="0.25">
      <c r="A187">
        <v>7590</v>
      </c>
      <c r="B187" s="15">
        <v>45295</v>
      </c>
      <c r="E187" s="203" t="s">
        <v>132</v>
      </c>
      <c r="F187">
        <v>5017</v>
      </c>
    </row>
    <row r="188" spans="1:6" x14ac:dyDescent="0.25">
      <c r="A188">
        <v>7590</v>
      </c>
      <c r="B188" s="15">
        <v>45296</v>
      </c>
      <c r="E188" s="158"/>
      <c r="F188">
        <v>5018</v>
      </c>
    </row>
    <row r="189" spans="1:6" x14ac:dyDescent="0.25">
      <c r="A189">
        <v>7590</v>
      </c>
      <c r="B189" s="15">
        <v>45297</v>
      </c>
      <c r="E189" s="197" t="s">
        <v>175</v>
      </c>
      <c r="F189">
        <v>5019</v>
      </c>
    </row>
    <row r="190" spans="1:6" x14ac:dyDescent="0.25">
      <c r="A190">
        <v>7590</v>
      </c>
      <c r="B190" s="15">
        <v>45298</v>
      </c>
      <c r="E190" s="157"/>
      <c r="F190">
        <v>5020</v>
      </c>
    </row>
    <row r="191" spans="1:6" x14ac:dyDescent="0.25">
      <c r="A191">
        <v>7590</v>
      </c>
      <c r="B191" s="15">
        <v>45299</v>
      </c>
      <c r="E191" s="203" t="s">
        <v>132</v>
      </c>
      <c r="F191">
        <v>5021</v>
      </c>
    </row>
    <row r="192" spans="1:6" x14ac:dyDescent="0.25">
      <c r="A192">
        <v>7590</v>
      </c>
      <c r="B192" s="15">
        <v>45300</v>
      </c>
      <c r="E192" s="203" t="s">
        <v>132</v>
      </c>
      <c r="F192">
        <v>5022</v>
      </c>
    </row>
    <row r="193" spans="1:6" x14ac:dyDescent="0.25">
      <c r="A193">
        <v>7590</v>
      </c>
      <c r="B193" s="15">
        <v>45301</v>
      </c>
      <c r="E193" s="157"/>
      <c r="F193">
        <v>5023</v>
      </c>
    </row>
    <row r="194" spans="1:6" x14ac:dyDescent="0.25">
      <c r="A194">
        <v>7590</v>
      </c>
      <c r="B194" s="15">
        <v>45302</v>
      </c>
      <c r="E194" s="203" t="s">
        <v>132</v>
      </c>
      <c r="F194">
        <v>5024</v>
      </c>
    </row>
    <row r="195" spans="1:6" x14ac:dyDescent="0.25">
      <c r="A195">
        <v>7590</v>
      </c>
      <c r="B195" s="15">
        <v>45303</v>
      </c>
      <c r="E195" s="157"/>
      <c r="F195">
        <v>5025</v>
      </c>
    </row>
    <row r="196" spans="1:6" x14ac:dyDescent="0.25">
      <c r="A196">
        <v>7590</v>
      </c>
      <c r="B196" s="15">
        <v>45304</v>
      </c>
      <c r="E196" s="157"/>
      <c r="F196">
        <v>5026</v>
      </c>
    </row>
    <row r="197" spans="1:6" x14ac:dyDescent="0.25">
      <c r="A197">
        <v>7590</v>
      </c>
      <c r="B197" s="15">
        <v>45305</v>
      </c>
      <c r="E197" s="157"/>
      <c r="F197">
        <v>5027</v>
      </c>
    </row>
    <row r="198" spans="1:6" x14ac:dyDescent="0.25">
      <c r="A198">
        <v>7590</v>
      </c>
      <c r="B198" s="15">
        <v>45306</v>
      </c>
      <c r="E198" s="203" t="s">
        <v>132</v>
      </c>
      <c r="F198">
        <v>5028</v>
      </c>
    </row>
    <row r="199" spans="1:6" x14ac:dyDescent="0.25">
      <c r="A199">
        <v>7590</v>
      </c>
      <c r="B199" s="15">
        <v>45307</v>
      </c>
      <c r="E199" s="203" t="s">
        <v>132</v>
      </c>
      <c r="F199">
        <v>5029</v>
      </c>
    </row>
    <row r="200" spans="1:6" x14ac:dyDescent="0.25">
      <c r="A200">
        <v>7590</v>
      </c>
      <c r="B200" s="15">
        <v>45308</v>
      </c>
      <c r="E200" s="157"/>
      <c r="F200">
        <v>5030</v>
      </c>
    </row>
    <row r="201" spans="1:6" x14ac:dyDescent="0.25">
      <c r="A201">
        <v>7590</v>
      </c>
      <c r="B201" s="15">
        <v>45309</v>
      </c>
      <c r="E201" s="203" t="s">
        <v>132</v>
      </c>
      <c r="F201">
        <v>5031</v>
      </c>
    </row>
    <row r="202" spans="1:6" x14ac:dyDescent="0.25">
      <c r="A202">
        <v>7590</v>
      </c>
      <c r="B202" s="15">
        <v>45310</v>
      </c>
      <c r="E202" s="158"/>
      <c r="F202">
        <v>5032</v>
      </c>
    </row>
    <row r="203" spans="1:6" x14ac:dyDescent="0.25">
      <c r="A203">
        <v>7590</v>
      </c>
      <c r="B203" s="15">
        <v>45311</v>
      </c>
      <c r="E203" s="157"/>
      <c r="F203">
        <v>5033</v>
      </c>
    </row>
    <row r="204" spans="1:6" x14ac:dyDescent="0.25">
      <c r="A204">
        <v>7590</v>
      </c>
      <c r="B204" s="15">
        <v>45312</v>
      </c>
      <c r="E204" s="157"/>
      <c r="F204">
        <v>5034</v>
      </c>
    </row>
    <row r="205" spans="1:6" x14ac:dyDescent="0.25">
      <c r="A205">
        <v>7590</v>
      </c>
      <c r="B205" s="15">
        <v>45313</v>
      </c>
      <c r="E205" s="203" t="s">
        <v>132</v>
      </c>
      <c r="F205">
        <v>5035</v>
      </c>
    </row>
    <row r="206" spans="1:6" x14ac:dyDescent="0.25">
      <c r="A206">
        <v>7590</v>
      </c>
      <c r="B206" s="15">
        <v>45314</v>
      </c>
      <c r="E206" s="203" t="s">
        <v>132</v>
      </c>
      <c r="F206">
        <v>5036</v>
      </c>
    </row>
    <row r="207" spans="1:6" x14ac:dyDescent="0.25">
      <c r="A207">
        <v>7590</v>
      </c>
      <c r="B207" s="15">
        <v>45315</v>
      </c>
      <c r="E207" s="157"/>
      <c r="F207">
        <v>5037</v>
      </c>
    </row>
    <row r="208" spans="1:6" x14ac:dyDescent="0.25">
      <c r="A208">
        <v>7590</v>
      </c>
      <c r="B208" s="15">
        <v>45316</v>
      </c>
      <c r="E208" s="122" t="s">
        <v>2</v>
      </c>
      <c r="F208">
        <v>5038</v>
      </c>
    </row>
    <row r="209" spans="1:6" x14ac:dyDescent="0.25">
      <c r="A209">
        <v>7590</v>
      </c>
      <c r="B209" s="15">
        <v>45317</v>
      </c>
      <c r="E209" s="157"/>
      <c r="F209">
        <v>5039</v>
      </c>
    </row>
    <row r="210" spans="1:6" x14ac:dyDescent="0.25">
      <c r="A210">
        <v>7590</v>
      </c>
      <c r="B210" s="15">
        <v>45318</v>
      </c>
      <c r="E210" s="157"/>
      <c r="F210">
        <v>5040</v>
      </c>
    </row>
    <row r="211" spans="1:6" x14ac:dyDescent="0.25">
      <c r="A211">
        <v>7590</v>
      </c>
      <c r="B211" s="15">
        <v>45319</v>
      </c>
      <c r="E211" s="157"/>
      <c r="F211">
        <v>5041</v>
      </c>
    </row>
    <row r="212" spans="1:6" x14ac:dyDescent="0.25">
      <c r="A212">
        <v>7590</v>
      </c>
      <c r="B212" s="15">
        <v>45320</v>
      </c>
      <c r="E212" s="203" t="s">
        <v>132</v>
      </c>
      <c r="F212">
        <v>5042</v>
      </c>
    </row>
    <row r="213" spans="1:6" x14ac:dyDescent="0.25">
      <c r="A213">
        <v>7590</v>
      </c>
      <c r="B213" s="15">
        <v>45321</v>
      </c>
      <c r="E213" s="203" t="s">
        <v>132</v>
      </c>
      <c r="F213">
        <v>5043</v>
      </c>
    </row>
    <row r="214" spans="1:6" x14ac:dyDescent="0.25">
      <c r="A214">
        <v>7590</v>
      </c>
      <c r="B214" s="15">
        <v>45322</v>
      </c>
      <c r="E214" s="157"/>
      <c r="F214">
        <v>5044</v>
      </c>
    </row>
    <row r="215" spans="1:6" x14ac:dyDescent="0.25">
      <c r="A215">
        <v>7590</v>
      </c>
      <c r="B215" s="15">
        <v>45323</v>
      </c>
      <c r="E215" s="203" t="s">
        <v>132</v>
      </c>
      <c r="F215">
        <v>5045</v>
      </c>
    </row>
    <row r="216" spans="1:6" x14ac:dyDescent="0.25">
      <c r="A216">
        <v>7590</v>
      </c>
      <c r="B216" s="15">
        <v>45324</v>
      </c>
      <c r="E216" s="158"/>
      <c r="F216">
        <v>5046</v>
      </c>
    </row>
    <row r="217" spans="1:6" x14ac:dyDescent="0.25">
      <c r="A217">
        <v>7590</v>
      </c>
      <c r="B217" s="15">
        <v>45325</v>
      </c>
      <c r="E217" s="157"/>
      <c r="F217">
        <v>5047</v>
      </c>
    </row>
    <row r="218" spans="1:6" x14ac:dyDescent="0.25">
      <c r="A218">
        <v>7590</v>
      </c>
      <c r="B218" s="15">
        <v>45326</v>
      </c>
      <c r="E218" s="157"/>
      <c r="F218">
        <v>5048</v>
      </c>
    </row>
    <row r="219" spans="1:6" x14ac:dyDescent="0.25">
      <c r="A219">
        <v>7590</v>
      </c>
      <c r="B219" s="15">
        <v>45327</v>
      </c>
      <c r="E219" s="203" t="s">
        <v>132</v>
      </c>
      <c r="F219">
        <v>5721</v>
      </c>
    </row>
    <row r="220" spans="1:6" x14ac:dyDescent="0.25">
      <c r="A220">
        <v>7590</v>
      </c>
      <c r="B220" s="15">
        <v>45328</v>
      </c>
      <c r="E220" s="203" t="s">
        <v>132</v>
      </c>
      <c r="F220">
        <v>5722</v>
      </c>
    </row>
    <row r="221" spans="1:6" x14ac:dyDescent="0.25">
      <c r="A221">
        <v>7590</v>
      </c>
      <c r="B221" s="15">
        <v>45329</v>
      </c>
      <c r="E221" s="157"/>
      <c r="F221">
        <v>5723</v>
      </c>
    </row>
    <row r="222" spans="1:6" x14ac:dyDescent="0.25">
      <c r="A222">
        <v>7590</v>
      </c>
      <c r="B222" s="15">
        <v>45330</v>
      </c>
      <c r="E222" s="203" t="s">
        <v>132</v>
      </c>
      <c r="F222">
        <v>5724</v>
      </c>
    </row>
    <row r="223" spans="1:6" x14ac:dyDescent="0.25">
      <c r="A223">
        <v>7590</v>
      </c>
      <c r="B223" s="15">
        <v>45331</v>
      </c>
      <c r="E223" s="157"/>
      <c r="F223">
        <v>5725</v>
      </c>
    </row>
    <row r="224" spans="1:6" x14ac:dyDescent="0.25">
      <c r="A224">
        <v>7590</v>
      </c>
      <c r="B224" s="15">
        <v>45332</v>
      </c>
      <c r="E224" s="157"/>
      <c r="F224">
        <v>5726</v>
      </c>
    </row>
    <row r="225" spans="1:6" x14ac:dyDescent="0.25">
      <c r="A225">
        <v>7590</v>
      </c>
      <c r="B225" s="15">
        <v>45333</v>
      </c>
      <c r="E225" s="157"/>
      <c r="F225">
        <v>5727</v>
      </c>
    </row>
    <row r="226" spans="1:6" x14ac:dyDescent="0.25">
      <c r="A226">
        <v>7590</v>
      </c>
      <c r="B226" s="15">
        <v>45334</v>
      </c>
      <c r="E226" s="203" t="s">
        <v>132</v>
      </c>
      <c r="F226">
        <v>5728</v>
      </c>
    </row>
    <row r="227" spans="1:6" x14ac:dyDescent="0.25">
      <c r="A227">
        <v>7590</v>
      </c>
      <c r="B227" s="15">
        <v>45335</v>
      </c>
      <c r="E227" s="203" t="s">
        <v>132</v>
      </c>
      <c r="F227">
        <v>5729</v>
      </c>
    </row>
    <row r="228" spans="1:6" x14ac:dyDescent="0.25">
      <c r="A228">
        <v>7590</v>
      </c>
      <c r="B228" s="15">
        <v>45336</v>
      </c>
      <c r="E228" s="157"/>
      <c r="F228">
        <v>5730</v>
      </c>
    </row>
    <row r="229" spans="1:6" x14ac:dyDescent="0.25">
      <c r="A229">
        <v>7590</v>
      </c>
      <c r="B229" s="15">
        <v>45337</v>
      </c>
      <c r="E229" s="203" t="s">
        <v>132</v>
      </c>
      <c r="F229">
        <v>5731</v>
      </c>
    </row>
    <row r="230" spans="1:6" x14ac:dyDescent="0.25">
      <c r="A230">
        <v>7590</v>
      </c>
      <c r="B230" s="15">
        <v>45338</v>
      </c>
      <c r="E230" s="158"/>
      <c r="F230">
        <v>5732</v>
      </c>
    </row>
    <row r="231" spans="1:6" x14ac:dyDescent="0.25">
      <c r="A231">
        <v>7590</v>
      </c>
      <c r="B231" s="15">
        <v>45339</v>
      </c>
      <c r="E231" s="157"/>
      <c r="F231">
        <v>5733</v>
      </c>
    </row>
    <row r="232" spans="1:6" x14ac:dyDescent="0.25">
      <c r="A232">
        <v>7590</v>
      </c>
      <c r="B232" s="15">
        <v>45340</v>
      </c>
      <c r="E232" s="157"/>
      <c r="F232">
        <v>5734</v>
      </c>
    </row>
    <row r="233" spans="1:6" x14ac:dyDescent="0.25">
      <c r="A233">
        <v>7590</v>
      </c>
      <c r="B233" s="15">
        <v>45341</v>
      </c>
      <c r="E233" s="203" t="s">
        <v>132</v>
      </c>
      <c r="F233">
        <v>5735</v>
      </c>
    </row>
    <row r="234" spans="1:6" x14ac:dyDescent="0.25">
      <c r="A234">
        <v>7590</v>
      </c>
      <c r="B234" s="15">
        <v>45342</v>
      </c>
      <c r="E234" s="203" t="s">
        <v>132</v>
      </c>
      <c r="F234">
        <v>5736</v>
      </c>
    </row>
    <row r="235" spans="1:6" x14ac:dyDescent="0.25">
      <c r="A235">
        <v>7590</v>
      </c>
      <c r="B235" s="15">
        <v>45343</v>
      </c>
      <c r="E235" s="157"/>
      <c r="F235">
        <v>5737</v>
      </c>
    </row>
    <row r="236" spans="1:6" x14ac:dyDescent="0.25">
      <c r="A236">
        <v>7590</v>
      </c>
      <c r="B236" s="15">
        <v>45344</v>
      </c>
      <c r="E236" s="203" t="s">
        <v>132</v>
      </c>
      <c r="F236">
        <v>5738</v>
      </c>
    </row>
    <row r="237" spans="1:6" x14ac:dyDescent="0.25">
      <c r="A237">
        <v>7590</v>
      </c>
      <c r="B237" s="15">
        <v>45345</v>
      </c>
      <c r="E237" s="157"/>
      <c r="F237">
        <v>5739</v>
      </c>
    </row>
    <row r="238" spans="1:6" x14ac:dyDescent="0.25">
      <c r="A238">
        <v>7590</v>
      </c>
      <c r="B238" s="15">
        <v>45346</v>
      </c>
      <c r="E238" s="157"/>
      <c r="F238">
        <v>5740</v>
      </c>
    </row>
    <row r="239" spans="1:6" x14ac:dyDescent="0.25">
      <c r="A239">
        <v>7590</v>
      </c>
      <c r="B239" s="15">
        <v>45347</v>
      </c>
      <c r="E239" s="157"/>
      <c r="F239">
        <v>5741</v>
      </c>
    </row>
    <row r="240" spans="1:6" x14ac:dyDescent="0.25">
      <c r="A240">
        <v>7590</v>
      </c>
      <c r="B240" s="15">
        <v>45348</v>
      </c>
      <c r="E240" s="203" t="s">
        <v>132</v>
      </c>
      <c r="F240">
        <v>5742</v>
      </c>
    </row>
    <row r="241" spans="1:6" x14ac:dyDescent="0.25">
      <c r="A241">
        <v>7590</v>
      </c>
      <c r="B241" s="15">
        <v>45349</v>
      </c>
      <c r="E241" s="203" t="s">
        <v>132</v>
      </c>
      <c r="F241">
        <v>5743</v>
      </c>
    </row>
    <row r="242" spans="1:6" x14ac:dyDescent="0.25">
      <c r="A242">
        <v>7590</v>
      </c>
      <c r="B242" s="15">
        <v>45350</v>
      </c>
      <c r="E242" s="157"/>
      <c r="F242">
        <v>5744</v>
      </c>
    </row>
    <row r="243" spans="1:6" x14ac:dyDescent="0.25">
      <c r="A243">
        <v>7590</v>
      </c>
      <c r="B243" s="15">
        <v>45351</v>
      </c>
      <c r="E243" s="203" t="s">
        <v>132</v>
      </c>
      <c r="F243">
        <v>5745</v>
      </c>
    </row>
    <row r="244" spans="1:6" x14ac:dyDescent="0.25">
      <c r="A244">
        <v>7590</v>
      </c>
      <c r="B244" s="15">
        <v>45352</v>
      </c>
      <c r="E244" s="158"/>
      <c r="F244">
        <v>5746</v>
      </c>
    </row>
    <row r="245" spans="1:6" x14ac:dyDescent="0.25">
      <c r="A245">
        <v>7590</v>
      </c>
      <c r="B245" s="15">
        <v>45353</v>
      </c>
      <c r="E245" s="157"/>
      <c r="F245">
        <v>5747</v>
      </c>
    </row>
    <row r="246" spans="1:6" x14ac:dyDescent="0.25">
      <c r="A246">
        <v>7590</v>
      </c>
      <c r="B246" s="15">
        <v>45354</v>
      </c>
      <c r="E246" s="157"/>
      <c r="F246">
        <v>5748</v>
      </c>
    </row>
    <row r="247" spans="1:6" x14ac:dyDescent="0.25">
      <c r="A247">
        <v>7590</v>
      </c>
      <c r="B247" s="15">
        <v>45355</v>
      </c>
      <c r="E247" s="203" t="s">
        <v>132</v>
      </c>
      <c r="F247">
        <v>6421</v>
      </c>
    </row>
    <row r="248" spans="1:6" x14ac:dyDescent="0.25">
      <c r="A248">
        <v>7590</v>
      </c>
      <c r="B248" s="15">
        <v>45356</v>
      </c>
      <c r="E248" s="203" t="s">
        <v>132</v>
      </c>
      <c r="F248">
        <v>6422</v>
      </c>
    </row>
    <row r="249" spans="1:6" x14ac:dyDescent="0.25">
      <c r="A249">
        <v>7590</v>
      </c>
      <c r="B249" s="15">
        <v>45357</v>
      </c>
      <c r="E249" s="157"/>
      <c r="F249">
        <v>6423</v>
      </c>
    </row>
    <row r="250" spans="1:6" x14ac:dyDescent="0.25">
      <c r="A250">
        <v>7590</v>
      </c>
      <c r="B250" s="15">
        <v>45358</v>
      </c>
      <c r="E250" s="203" t="s">
        <v>132</v>
      </c>
      <c r="F250">
        <v>6424</v>
      </c>
    </row>
    <row r="251" spans="1:6" x14ac:dyDescent="0.25">
      <c r="A251">
        <v>7590</v>
      </c>
      <c r="B251" s="15">
        <v>45359</v>
      </c>
      <c r="E251" s="157"/>
      <c r="F251">
        <v>6425</v>
      </c>
    </row>
    <row r="252" spans="1:6" x14ac:dyDescent="0.25">
      <c r="A252">
        <v>7590</v>
      </c>
      <c r="B252" s="15">
        <v>45360</v>
      </c>
      <c r="E252" s="157"/>
      <c r="F252">
        <v>6426</v>
      </c>
    </row>
    <row r="253" spans="1:6" x14ac:dyDescent="0.25">
      <c r="A253">
        <v>7590</v>
      </c>
      <c r="B253" s="15">
        <v>45361</v>
      </c>
      <c r="E253" s="157"/>
      <c r="F253">
        <v>6427</v>
      </c>
    </row>
    <row r="254" spans="1:6" x14ac:dyDescent="0.25">
      <c r="A254">
        <v>7590</v>
      </c>
      <c r="B254" s="15">
        <v>45362</v>
      </c>
      <c r="E254" s="203" t="s">
        <v>132</v>
      </c>
      <c r="F254">
        <v>6428</v>
      </c>
    </row>
    <row r="255" spans="1:6" x14ac:dyDescent="0.25">
      <c r="A255">
        <v>7590</v>
      </c>
      <c r="B255" s="15">
        <v>45363</v>
      </c>
      <c r="E255" s="203" t="s">
        <v>132</v>
      </c>
      <c r="F255">
        <v>6429</v>
      </c>
    </row>
    <row r="256" spans="1:6" x14ac:dyDescent="0.25">
      <c r="A256">
        <v>7590</v>
      </c>
      <c r="B256" s="15">
        <v>45364</v>
      </c>
      <c r="E256" s="157"/>
      <c r="F256">
        <v>6430</v>
      </c>
    </row>
    <row r="257" spans="1:6" x14ac:dyDescent="0.25">
      <c r="A257">
        <v>7590</v>
      </c>
      <c r="B257" s="15">
        <v>45365</v>
      </c>
      <c r="E257" s="203" t="s">
        <v>132</v>
      </c>
      <c r="F257">
        <v>6431</v>
      </c>
    </row>
    <row r="258" spans="1:6" x14ac:dyDescent="0.25">
      <c r="A258">
        <v>7590</v>
      </c>
      <c r="B258" s="15">
        <v>45366</v>
      </c>
      <c r="E258" s="158"/>
      <c r="F258">
        <v>6432</v>
      </c>
    </row>
    <row r="259" spans="1:6" x14ac:dyDescent="0.25">
      <c r="A259">
        <v>7590</v>
      </c>
      <c r="B259" s="15">
        <v>45367</v>
      </c>
      <c r="E259" s="157"/>
      <c r="F259">
        <v>6433</v>
      </c>
    </row>
    <row r="260" spans="1:6" x14ac:dyDescent="0.25">
      <c r="A260">
        <v>7590</v>
      </c>
      <c r="B260" s="15">
        <v>45368</v>
      </c>
      <c r="E260" s="157"/>
      <c r="F260">
        <v>6434</v>
      </c>
    </row>
    <row r="261" spans="1:6" x14ac:dyDescent="0.25">
      <c r="A261">
        <v>7590</v>
      </c>
      <c r="B261" s="15">
        <v>45369</v>
      </c>
      <c r="E261" s="203" t="s">
        <v>132</v>
      </c>
      <c r="F261">
        <v>6435</v>
      </c>
    </row>
    <row r="262" spans="1:6" x14ac:dyDescent="0.25">
      <c r="A262">
        <v>7590</v>
      </c>
      <c r="B262" s="15">
        <v>45370</v>
      </c>
      <c r="E262" s="203" t="s">
        <v>132</v>
      </c>
      <c r="F262">
        <v>6436</v>
      </c>
    </row>
    <row r="263" spans="1:6" x14ac:dyDescent="0.25">
      <c r="A263">
        <v>7590</v>
      </c>
      <c r="B263" s="15">
        <v>45371</v>
      </c>
      <c r="E263" s="157"/>
      <c r="F263">
        <v>6437</v>
      </c>
    </row>
    <row r="264" spans="1:6" x14ac:dyDescent="0.25">
      <c r="A264">
        <v>7590</v>
      </c>
      <c r="B264" s="15">
        <v>45372</v>
      </c>
      <c r="E264" s="203" t="s">
        <v>132</v>
      </c>
      <c r="F264">
        <v>6438</v>
      </c>
    </row>
    <row r="265" spans="1:6" x14ac:dyDescent="0.25">
      <c r="A265">
        <v>7590</v>
      </c>
      <c r="B265" s="15">
        <v>45373</v>
      </c>
      <c r="E265" s="157"/>
      <c r="F265">
        <v>6439</v>
      </c>
    </row>
    <row r="266" spans="1:6" x14ac:dyDescent="0.25">
      <c r="A266">
        <v>7590</v>
      </c>
      <c r="B266" s="15">
        <v>45374</v>
      </c>
      <c r="E266" s="157"/>
      <c r="F266">
        <v>6440</v>
      </c>
    </row>
    <row r="267" spans="1:6" x14ac:dyDescent="0.25">
      <c r="A267">
        <v>7590</v>
      </c>
      <c r="B267" s="15">
        <v>45375</v>
      </c>
      <c r="E267" s="157"/>
      <c r="F267">
        <v>6441</v>
      </c>
    </row>
    <row r="268" spans="1:6" x14ac:dyDescent="0.25">
      <c r="A268">
        <v>7590</v>
      </c>
      <c r="B268" s="15">
        <v>45376</v>
      </c>
      <c r="E268" s="203" t="s">
        <v>132</v>
      </c>
      <c r="F268">
        <v>6442</v>
      </c>
    </row>
    <row r="269" spans="1:6" x14ac:dyDescent="0.25">
      <c r="A269">
        <v>7590</v>
      </c>
      <c r="B269" s="15">
        <v>45377</v>
      </c>
      <c r="E269" s="203" t="s">
        <v>132</v>
      </c>
      <c r="F269">
        <v>6443</v>
      </c>
    </row>
    <row r="270" spans="1:6" x14ac:dyDescent="0.25">
      <c r="A270">
        <v>7590</v>
      </c>
      <c r="B270" s="15">
        <v>45378</v>
      </c>
      <c r="E270" s="157"/>
      <c r="F270">
        <v>6444</v>
      </c>
    </row>
    <row r="271" spans="1:6" x14ac:dyDescent="0.25">
      <c r="A271">
        <v>7590</v>
      </c>
      <c r="B271" s="15">
        <v>45379</v>
      </c>
      <c r="E271" s="122" t="s">
        <v>2</v>
      </c>
      <c r="F271">
        <v>6445</v>
      </c>
    </row>
    <row r="272" spans="1:6" x14ac:dyDescent="0.25">
      <c r="A272">
        <v>7590</v>
      </c>
      <c r="B272" s="15">
        <v>45380</v>
      </c>
      <c r="E272" s="158"/>
      <c r="F272">
        <v>6446</v>
      </c>
    </row>
    <row r="273" spans="1:6" x14ac:dyDescent="0.25">
      <c r="A273">
        <v>7590</v>
      </c>
      <c r="B273" s="15">
        <v>45381</v>
      </c>
      <c r="E273" s="157"/>
      <c r="F273">
        <v>6447</v>
      </c>
    </row>
    <row r="274" spans="1:6" x14ac:dyDescent="0.25">
      <c r="A274">
        <v>7590</v>
      </c>
      <c r="B274" s="15">
        <v>45382</v>
      </c>
      <c r="E274" s="157"/>
      <c r="F274">
        <v>6448</v>
      </c>
    </row>
    <row r="275" spans="1:6" x14ac:dyDescent="0.25">
      <c r="A275">
        <v>7590</v>
      </c>
      <c r="B275" s="15">
        <v>45383</v>
      </c>
      <c r="E275" s="119"/>
      <c r="F275">
        <v>7289</v>
      </c>
    </row>
    <row r="276" spans="1:6" x14ac:dyDescent="0.25">
      <c r="A276">
        <v>7590</v>
      </c>
      <c r="B276" s="15">
        <v>45384</v>
      </c>
      <c r="E276" s="203" t="s">
        <v>132</v>
      </c>
      <c r="F276">
        <v>7290</v>
      </c>
    </row>
    <row r="277" spans="1:6" x14ac:dyDescent="0.25">
      <c r="A277">
        <v>7590</v>
      </c>
      <c r="B277" s="15">
        <v>45385</v>
      </c>
      <c r="E277" s="157"/>
      <c r="F277">
        <v>7291</v>
      </c>
    </row>
    <row r="278" spans="1:6" x14ac:dyDescent="0.25">
      <c r="A278">
        <v>7590</v>
      </c>
      <c r="B278" s="15">
        <v>45386</v>
      </c>
      <c r="E278" s="203" t="s">
        <v>132</v>
      </c>
      <c r="F278">
        <v>7292</v>
      </c>
    </row>
    <row r="279" spans="1:6" x14ac:dyDescent="0.25">
      <c r="A279">
        <v>7590</v>
      </c>
      <c r="B279" s="15">
        <v>45387</v>
      </c>
      <c r="E279" s="157"/>
      <c r="F279">
        <v>7293</v>
      </c>
    </row>
    <row r="280" spans="1:6" x14ac:dyDescent="0.25">
      <c r="A280">
        <v>7590</v>
      </c>
      <c r="B280" s="15">
        <v>45388</v>
      </c>
      <c r="E280" s="157"/>
      <c r="F280">
        <v>7294</v>
      </c>
    </row>
    <row r="281" spans="1:6" x14ac:dyDescent="0.25">
      <c r="A281">
        <v>7590</v>
      </c>
      <c r="B281" s="15">
        <v>45389</v>
      </c>
      <c r="E281" s="157"/>
      <c r="F281">
        <v>7295</v>
      </c>
    </row>
    <row r="282" spans="1:6" x14ac:dyDescent="0.25">
      <c r="A282">
        <v>7590</v>
      </c>
      <c r="B282" s="15">
        <v>45390</v>
      </c>
      <c r="E282" s="203" t="s">
        <v>132</v>
      </c>
      <c r="F282">
        <v>7296</v>
      </c>
    </row>
    <row r="283" spans="1:6" x14ac:dyDescent="0.25">
      <c r="A283">
        <v>7590</v>
      </c>
      <c r="B283" s="15">
        <v>45391</v>
      </c>
      <c r="E283" s="203" t="s">
        <v>132</v>
      </c>
      <c r="F283">
        <v>7297</v>
      </c>
    </row>
    <row r="284" spans="1:6" x14ac:dyDescent="0.25">
      <c r="A284">
        <v>7590</v>
      </c>
      <c r="B284" s="15">
        <v>45392</v>
      </c>
      <c r="E284" s="157"/>
      <c r="F284">
        <v>7298</v>
      </c>
    </row>
    <row r="285" spans="1:6" x14ac:dyDescent="0.25">
      <c r="A285">
        <v>7590</v>
      </c>
      <c r="B285" s="15">
        <v>45393</v>
      </c>
      <c r="E285" s="203" t="s">
        <v>132</v>
      </c>
      <c r="F285">
        <v>7299</v>
      </c>
    </row>
    <row r="286" spans="1:6" x14ac:dyDescent="0.25">
      <c r="A286">
        <v>7590</v>
      </c>
      <c r="B286" s="15">
        <v>45394</v>
      </c>
      <c r="E286" s="158"/>
      <c r="F286">
        <v>7300</v>
      </c>
    </row>
    <row r="287" spans="1:6" x14ac:dyDescent="0.25">
      <c r="A287">
        <v>7590</v>
      </c>
      <c r="B287" s="15">
        <v>45395</v>
      </c>
      <c r="E287" s="157"/>
      <c r="F287">
        <v>7301</v>
      </c>
    </row>
    <row r="288" spans="1:6" x14ac:dyDescent="0.25">
      <c r="A288">
        <v>7590</v>
      </c>
      <c r="B288" s="15">
        <v>45396</v>
      </c>
      <c r="E288" s="157"/>
      <c r="F288">
        <v>7302</v>
      </c>
    </row>
    <row r="289" spans="1:6" x14ac:dyDescent="0.25">
      <c r="A289">
        <v>7590</v>
      </c>
      <c r="B289" s="15">
        <v>45397</v>
      </c>
      <c r="E289" s="203" t="s">
        <v>132</v>
      </c>
      <c r="F289">
        <v>7303</v>
      </c>
    </row>
    <row r="290" spans="1:6" x14ac:dyDescent="0.25">
      <c r="A290">
        <v>7590</v>
      </c>
      <c r="B290" s="15">
        <v>45398</v>
      </c>
      <c r="E290" s="203" t="s">
        <v>132</v>
      </c>
      <c r="F290">
        <v>7304</v>
      </c>
    </row>
    <row r="291" spans="1:6" x14ac:dyDescent="0.25">
      <c r="A291">
        <v>7590</v>
      </c>
      <c r="B291" s="15">
        <v>45399</v>
      </c>
      <c r="E291" s="157"/>
      <c r="F291">
        <v>7305</v>
      </c>
    </row>
    <row r="292" spans="1:6" x14ac:dyDescent="0.25">
      <c r="A292">
        <v>7590</v>
      </c>
      <c r="B292" s="15">
        <v>45400</v>
      </c>
      <c r="E292" s="203" t="s">
        <v>132</v>
      </c>
      <c r="F292">
        <v>7306</v>
      </c>
    </row>
    <row r="293" spans="1:6" x14ac:dyDescent="0.25">
      <c r="A293">
        <v>7590</v>
      </c>
      <c r="B293" s="15">
        <v>45401</v>
      </c>
      <c r="E293" s="157"/>
      <c r="F293">
        <v>7307</v>
      </c>
    </row>
    <row r="294" spans="1:6" x14ac:dyDescent="0.25">
      <c r="A294">
        <v>7590</v>
      </c>
      <c r="B294" s="15">
        <v>45402</v>
      </c>
      <c r="E294" s="157"/>
      <c r="F294">
        <v>7308</v>
      </c>
    </row>
    <row r="295" spans="1:6" x14ac:dyDescent="0.25">
      <c r="A295">
        <v>7590</v>
      </c>
      <c r="B295" s="15">
        <v>45403</v>
      </c>
      <c r="E295" s="157"/>
      <c r="F295">
        <v>7309</v>
      </c>
    </row>
    <row r="296" spans="1:6" x14ac:dyDescent="0.25">
      <c r="A296">
        <v>7590</v>
      </c>
      <c r="B296" s="15">
        <v>45404</v>
      </c>
      <c r="E296" s="203" t="s">
        <v>132</v>
      </c>
      <c r="F296">
        <v>7310</v>
      </c>
    </row>
    <row r="297" spans="1:6" x14ac:dyDescent="0.25">
      <c r="A297">
        <v>7590</v>
      </c>
      <c r="B297" s="15">
        <v>45405</v>
      </c>
      <c r="E297" s="203" t="s">
        <v>132</v>
      </c>
      <c r="F297">
        <v>7311</v>
      </c>
    </row>
    <row r="298" spans="1:6" x14ac:dyDescent="0.25">
      <c r="A298">
        <v>7590</v>
      </c>
      <c r="B298" s="15">
        <v>45406</v>
      </c>
      <c r="E298" s="157"/>
      <c r="F298">
        <v>7312</v>
      </c>
    </row>
    <row r="299" spans="1:6" x14ac:dyDescent="0.25">
      <c r="A299">
        <v>7590</v>
      </c>
      <c r="B299" s="15">
        <v>45407</v>
      </c>
      <c r="E299" s="122" t="s">
        <v>2</v>
      </c>
      <c r="F299">
        <v>7313</v>
      </c>
    </row>
    <row r="300" spans="1:6" x14ac:dyDescent="0.25">
      <c r="A300">
        <v>7590</v>
      </c>
      <c r="B300" s="15">
        <v>45408</v>
      </c>
      <c r="E300" s="158"/>
      <c r="F300">
        <v>7314</v>
      </c>
    </row>
    <row r="301" spans="1:6" x14ac:dyDescent="0.25">
      <c r="A301">
        <v>7590</v>
      </c>
      <c r="B301" s="15">
        <v>45409</v>
      </c>
      <c r="E301" s="157"/>
      <c r="F301">
        <v>7315</v>
      </c>
    </row>
    <row r="302" spans="1:6" x14ac:dyDescent="0.25">
      <c r="A302">
        <v>7590</v>
      </c>
      <c r="B302" s="15">
        <v>45410</v>
      </c>
      <c r="E302" s="157"/>
      <c r="F302">
        <v>7316</v>
      </c>
    </row>
    <row r="303" spans="1:6" x14ac:dyDescent="0.25">
      <c r="A303">
        <v>7590</v>
      </c>
      <c r="B303" s="15">
        <v>45411</v>
      </c>
      <c r="E303" s="203" t="s">
        <v>132</v>
      </c>
      <c r="F303">
        <v>7317</v>
      </c>
    </row>
    <row r="304" spans="1:6" x14ac:dyDescent="0.25">
      <c r="A304">
        <v>7590</v>
      </c>
      <c r="B304" s="15">
        <v>45412</v>
      </c>
      <c r="E304" s="203" t="s">
        <v>132</v>
      </c>
      <c r="F304">
        <v>7318</v>
      </c>
    </row>
    <row r="305" spans="1:6" x14ac:dyDescent="0.25">
      <c r="A305">
        <v>7590</v>
      </c>
      <c r="B305" s="15">
        <v>45413</v>
      </c>
      <c r="E305" s="157"/>
      <c r="F305">
        <v>7319</v>
      </c>
    </row>
    <row r="306" spans="1:6" x14ac:dyDescent="0.25">
      <c r="A306">
        <v>7590</v>
      </c>
      <c r="B306" s="15">
        <v>45414</v>
      </c>
      <c r="E306" s="203" t="s">
        <v>132</v>
      </c>
      <c r="F306">
        <v>7320</v>
      </c>
    </row>
    <row r="307" spans="1:6" x14ac:dyDescent="0.25">
      <c r="A307">
        <v>7590</v>
      </c>
      <c r="B307" s="15">
        <v>45415</v>
      </c>
      <c r="E307" s="157"/>
      <c r="F307">
        <v>7321</v>
      </c>
    </row>
    <row r="308" spans="1:6" x14ac:dyDescent="0.25">
      <c r="A308">
        <v>7590</v>
      </c>
      <c r="B308" s="15">
        <v>45416</v>
      </c>
      <c r="E308" s="157"/>
      <c r="F308">
        <v>7322</v>
      </c>
    </row>
    <row r="309" spans="1:6" x14ac:dyDescent="0.25">
      <c r="A309">
        <v>7590</v>
      </c>
      <c r="B309" s="15">
        <v>45417</v>
      </c>
      <c r="E309" s="157"/>
      <c r="F309">
        <v>7323</v>
      </c>
    </row>
    <row r="310" spans="1:6" x14ac:dyDescent="0.25">
      <c r="A310">
        <v>7592</v>
      </c>
      <c r="B310" s="15">
        <v>45264</v>
      </c>
      <c r="E310" s="118" t="s">
        <v>134</v>
      </c>
      <c r="F310">
        <v>4034</v>
      </c>
    </row>
    <row r="311" spans="1:6" x14ac:dyDescent="0.25">
      <c r="A311">
        <v>7592</v>
      </c>
      <c r="B311" s="15">
        <v>45265</v>
      </c>
      <c r="E311" s="123" t="s">
        <v>133</v>
      </c>
      <c r="F311">
        <v>4035</v>
      </c>
    </row>
    <row r="312" spans="1:6" x14ac:dyDescent="0.25">
      <c r="A312">
        <v>7592</v>
      </c>
      <c r="B312" s="15">
        <v>45266</v>
      </c>
      <c r="E312" s="157"/>
      <c r="F312">
        <v>4036</v>
      </c>
    </row>
    <row r="313" spans="1:6" x14ac:dyDescent="0.25">
      <c r="A313">
        <v>7592</v>
      </c>
      <c r="B313" s="15">
        <v>45267</v>
      </c>
      <c r="E313" s="120" t="s">
        <v>2</v>
      </c>
      <c r="F313">
        <v>4037</v>
      </c>
    </row>
    <row r="314" spans="1:6" x14ac:dyDescent="0.25">
      <c r="A314">
        <v>7592</v>
      </c>
      <c r="B314" s="15">
        <v>45268</v>
      </c>
      <c r="E314" s="158"/>
      <c r="F314">
        <v>4038</v>
      </c>
    </row>
    <row r="315" spans="1:6" x14ac:dyDescent="0.25">
      <c r="A315">
        <v>7592</v>
      </c>
      <c r="B315" s="15">
        <v>45269</v>
      </c>
      <c r="E315" s="157"/>
      <c r="F315">
        <v>4039</v>
      </c>
    </row>
    <row r="316" spans="1:6" x14ac:dyDescent="0.25">
      <c r="A316">
        <v>7592</v>
      </c>
      <c r="B316" s="15">
        <v>45270</v>
      </c>
      <c r="E316" s="157"/>
      <c r="F316">
        <v>4040</v>
      </c>
    </row>
    <row r="317" spans="1:6" x14ac:dyDescent="0.25">
      <c r="A317">
        <v>7592</v>
      </c>
      <c r="B317" s="15">
        <v>45271</v>
      </c>
      <c r="E317" s="118" t="s">
        <v>134</v>
      </c>
      <c r="F317">
        <v>4041</v>
      </c>
    </row>
    <row r="318" spans="1:6" x14ac:dyDescent="0.25">
      <c r="A318">
        <v>7592</v>
      </c>
      <c r="B318" s="15">
        <v>45272</v>
      </c>
      <c r="E318" s="118" t="s">
        <v>133</v>
      </c>
      <c r="F318">
        <v>4042</v>
      </c>
    </row>
    <row r="319" spans="1:6" x14ac:dyDescent="0.25">
      <c r="A319">
        <v>7592</v>
      </c>
      <c r="B319" s="15">
        <v>45273</v>
      </c>
      <c r="E319" s="156" t="s">
        <v>316</v>
      </c>
      <c r="F319">
        <v>4043</v>
      </c>
    </row>
    <row r="320" spans="1:6" x14ac:dyDescent="0.25">
      <c r="A320">
        <v>7592</v>
      </c>
      <c r="B320" s="15">
        <v>45274</v>
      </c>
      <c r="E320" s="120" t="s">
        <v>1</v>
      </c>
      <c r="F320">
        <v>4044</v>
      </c>
    </row>
    <row r="321" spans="1:6" x14ac:dyDescent="0.25">
      <c r="A321">
        <v>7592</v>
      </c>
      <c r="B321" s="15">
        <v>45275</v>
      </c>
      <c r="E321" s="157"/>
      <c r="F321">
        <v>4045</v>
      </c>
    </row>
    <row r="322" spans="1:6" x14ac:dyDescent="0.25">
      <c r="A322">
        <v>7592</v>
      </c>
      <c r="B322" s="15">
        <v>45276</v>
      </c>
      <c r="E322" s="157"/>
      <c r="F322">
        <v>4046</v>
      </c>
    </row>
    <row r="323" spans="1:6" x14ac:dyDescent="0.25">
      <c r="A323">
        <v>7592</v>
      </c>
      <c r="B323" s="15">
        <v>45277</v>
      </c>
      <c r="E323" s="157"/>
      <c r="F323">
        <v>4047</v>
      </c>
    </row>
    <row r="324" spans="1:6" x14ac:dyDescent="0.25">
      <c r="A324">
        <v>7592</v>
      </c>
      <c r="B324" s="15">
        <v>45278</v>
      </c>
      <c r="E324" s="117" t="s">
        <v>1</v>
      </c>
      <c r="F324">
        <v>4048</v>
      </c>
    </row>
    <row r="325" spans="1:6" x14ac:dyDescent="0.25">
      <c r="A325">
        <v>7592</v>
      </c>
      <c r="B325" s="15">
        <v>45279</v>
      </c>
      <c r="E325" s="117" t="s">
        <v>1</v>
      </c>
      <c r="F325">
        <v>4049</v>
      </c>
    </row>
    <row r="326" spans="1:6" x14ac:dyDescent="0.25">
      <c r="A326">
        <v>7592</v>
      </c>
      <c r="B326" s="15">
        <v>45280</v>
      </c>
      <c r="E326" s="156" t="s">
        <v>316</v>
      </c>
      <c r="F326">
        <v>4050</v>
      </c>
    </row>
    <row r="327" spans="1:6" x14ac:dyDescent="0.25">
      <c r="A327">
        <v>7592</v>
      </c>
      <c r="B327" s="15">
        <v>45281</v>
      </c>
      <c r="E327" s="120" t="s">
        <v>1</v>
      </c>
      <c r="F327">
        <v>4051</v>
      </c>
    </row>
    <row r="328" spans="1:6" x14ac:dyDescent="0.25">
      <c r="A328">
        <v>7592</v>
      </c>
      <c r="B328" s="15">
        <v>45282</v>
      </c>
      <c r="E328" s="158"/>
      <c r="F328">
        <v>4052</v>
      </c>
    </row>
    <row r="329" spans="1:6" x14ac:dyDescent="0.25">
      <c r="A329">
        <v>7592</v>
      </c>
      <c r="B329" s="15">
        <v>45283</v>
      </c>
      <c r="E329" s="157"/>
      <c r="F329">
        <v>4053</v>
      </c>
    </row>
    <row r="330" spans="1:6" x14ac:dyDescent="0.25">
      <c r="A330">
        <v>7592</v>
      </c>
      <c r="B330" s="15">
        <v>45284</v>
      </c>
      <c r="E330" s="157"/>
      <c r="F330">
        <v>4054</v>
      </c>
    </row>
    <row r="331" spans="1:6" x14ac:dyDescent="0.25">
      <c r="A331">
        <v>7592</v>
      </c>
      <c r="B331" s="15">
        <v>45285</v>
      </c>
      <c r="E331" s="155"/>
      <c r="F331">
        <v>4055</v>
      </c>
    </row>
    <row r="332" spans="1:6" x14ac:dyDescent="0.25">
      <c r="A332">
        <v>7592</v>
      </c>
      <c r="B332" s="15">
        <v>45286</v>
      </c>
      <c r="E332" s="117" t="s">
        <v>1</v>
      </c>
      <c r="F332">
        <v>4056</v>
      </c>
    </row>
    <row r="333" spans="1:6" x14ac:dyDescent="0.25">
      <c r="A333">
        <v>7592</v>
      </c>
      <c r="B333" s="15">
        <v>45287</v>
      </c>
      <c r="E333" s="157"/>
      <c r="F333">
        <v>4057</v>
      </c>
    </row>
    <row r="334" spans="1:6" x14ac:dyDescent="0.25">
      <c r="A334">
        <v>7592</v>
      </c>
      <c r="B334" s="15">
        <v>45288</v>
      </c>
      <c r="E334" s="120" t="s">
        <v>1</v>
      </c>
      <c r="F334">
        <v>4058</v>
      </c>
    </row>
    <row r="335" spans="1:6" x14ac:dyDescent="0.25">
      <c r="A335">
        <v>7592</v>
      </c>
      <c r="B335" s="15">
        <v>45289</v>
      </c>
      <c r="E335" s="157"/>
      <c r="F335">
        <v>4059</v>
      </c>
    </row>
    <row r="336" spans="1:6" x14ac:dyDescent="0.25">
      <c r="A336">
        <v>7592</v>
      </c>
      <c r="B336" s="15">
        <v>45290</v>
      </c>
      <c r="E336" s="157"/>
      <c r="F336">
        <v>4060</v>
      </c>
    </row>
    <row r="337" spans="1:6" x14ac:dyDescent="0.25">
      <c r="A337">
        <v>7592</v>
      </c>
      <c r="B337" s="15">
        <v>45291</v>
      </c>
      <c r="E337" s="157"/>
      <c r="F337">
        <v>4061</v>
      </c>
    </row>
    <row r="338" spans="1:6" x14ac:dyDescent="0.25">
      <c r="A338">
        <v>7592</v>
      </c>
      <c r="B338" s="15">
        <v>45292</v>
      </c>
      <c r="E338" s="119"/>
      <c r="F338">
        <v>4874</v>
      </c>
    </row>
    <row r="339" spans="1:6" x14ac:dyDescent="0.25">
      <c r="A339">
        <v>7592</v>
      </c>
      <c r="B339" s="15">
        <v>45293</v>
      </c>
      <c r="E339" s="117" t="s">
        <v>1</v>
      </c>
      <c r="F339">
        <v>4875</v>
      </c>
    </row>
    <row r="340" spans="1:6" x14ac:dyDescent="0.25">
      <c r="A340">
        <v>7592</v>
      </c>
      <c r="B340" s="15">
        <v>45294</v>
      </c>
      <c r="E340" s="156" t="s">
        <v>316</v>
      </c>
      <c r="F340">
        <v>4876</v>
      </c>
    </row>
    <row r="341" spans="1:6" x14ac:dyDescent="0.25">
      <c r="A341">
        <v>7592</v>
      </c>
      <c r="B341" s="15">
        <v>45295</v>
      </c>
      <c r="E341" s="120" t="s">
        <v>1</v>
      </c>
      <c r="F341">
        <v>4877</v>
      </c>
    </row>
    <row r="342" spans="1:6" x14ac:dyDescent="0.25">
      <c r="A342">
        <v>7592</v>
      </c>
      <c r="B342" s="15">
        <v>45296</v>
      </c>
      <c r="E342" s="158"/>
      <c r="F342">
        <v>4878</v>
      </c>
    </row>
    <row r="343" spans="1:6" x14ac:dyDescent="0.25">
      <c r="A343">
        <v>7592</v>
      </c>
      <c r="B343" s="15">
        <v>45297</v>
      </c>
      <c r="E343" s="157"/>
      <c r="F343">
        <v>4879</v>
      </c>
    </row>
    <row r="344" spans="1:6" x14ac:dyDescent="0.25">
      <c r="A344">
        <v>7592</v>
      </c>
      <c r="B344" s="15">
        <v>45298</v>
      </c>
      <c r="E344" s="157"/>
      <c r="F344">
        <v>4880</v>
      </c>
    </row>
    <row r="345" spans="1:6" x14ac:dyDescent="0.25">
      <c r="A345">
        <v>7592</v>
      </c>
      <c r="B345" s="15">
        <v>45299</v>
      </c>
      <c r="E345" s="123" t="s">
        <v>134</v>
      </c>
      <c r="F345">
        <v>4881</v>
      </c>
    </row>
    <row r="346" spans="1:6" x14ac:dyDescent="0.25">
      <c r="A346">
        <v>7592</v>
      </c>
      <c r="B346" s="15">
        <v>45300</v>
      </c>
      <c r="E346" s="123" t="s">
        <v>133</v>
      </c>
      <c r="F346">
        <v>4882</v>
      </c>
    </row>
    <row r="347" spans="1:6" x14ac:dyDescent="0.25">
      <c r="A347">
        <v>7592</v>
      </c>
      <c r="B347" s="15">
        <v>45301</v>
      </c>
      <c r="E347" s="157"/>
      <c r="F347">
        <v>4883</v>
      </c>
    </row>
    <row r="348" spans="1:6" x14ac:dyDescent="0.25">
      <c r="A348">
        <v>7592</v>
      </c>
      <c r="B348" s="15">
        <v>45302</v>
      </c>
      <c r="E348" s="123" t="s">
        <v>131</v>
      </c>
      <c r="F348">
        <v>4884</v>
      </c>
    </row>
    <row r="349" spans="1:6" x14ac:dyDescent="0.25">
      <c r="A349">
        <v>7592</v>
      </c>
      <c r="B349" s="15">
        <v>45303</v>
      </c>
      <c r="E349" s="157"/>
      <c r="F349">
        <v>4885</v>
      </c>
    </row>
    <row r="350" spans="1:6" x14ac:dyDescent="0.25">
      <c r="A350">
        <v>7592</v>
      </c>
      <c r="B350" s="15">
        <v>45304</v>
      </c>
      <c r="E350" s="157"/>
      <c r="F350">
        <v>4886</v>
      </c>
    </row>
    <row r="351" spans="1:6" x14ac:dyDescent="0.25">
      <c r="A351">
        <v>7592</v>
      </c>
      <c r="B351" s="15">
        <v>45305</v>
      </c>
      <c r="E351" s="157"/>
      <c r="F351">
        <v>4887</v>
      </c>
    </row>
    <row r="352" spans="1:6" x14ac:dyDescent="0.25">
      <c r="A352">
        <v>7592</v>
      </c>
      <c r="B352" s="15">
        <v>45306</v>
      </c>
      <c r="E352" s="123" t="s">
        <v>134</v>
      </c>
      <c r="F352">
        <v>4888</v>
      </c>
    </row>
    <row r="353" spans="1:6" x14ac:dyDescent="0.25">
      <c r="A353">
        <v>7592</v>
      </c>
      <c r="B353" s="15">
        <v>45307</v>
      </c>
      <c r="E353" s="123" t="s">
        <v>133</v>
      </c>
      <c r="F353">
        <v>4889</v>
      </c>
    </row>
    <row r="354" spans="1:6" x14ac:dyDescent="0.25">
      <c r="A354">
        <v>7592</v>
      </c>
      <c r="B354" s="15">
        <v>45308</v>
      </c>
      <c r="E354" s="157"/>
      <c r="F354">
        <v>4890</v>
      </c>
    </row>
    <row r="355" spans="1:6" x14ac:dyDescent="0.25">
      <c r="A355">
        <v>7592</v>
      </c>
      <c r="B355" s="15">
        <v>45309</v>
      </c>
      <c r="E355" s="123" t="s">
        <v>131</v>
      </c>
      <c r="F355">
        <v>4891</v>
      </c>
    </row>
    <row r="356" spans="1:6" x14ac:dyDescent="0.25">
      <c r="A356">
        <v>7592</v>
      </c>
      <c r="B356" s="15">
        <v>45310</v>
      </c>
      <c r="E356" s="157"/>
      <c r="F356">
        <v>4892</v>
      </c>
    </row>
    <row r="357" spans="1:6" x14ac:dyDescent="0.25">
      <c r="A357">
        <v>7592</v>
      </c>
      <c r="B357" s="15">
        <v>45311</v>
      </c>
      <c r="E357" s="157"/>
      <c r="F357">
        <v>4893</v>
      </c>
    </row>
    <row r="358" spans="1:6" x14ac:dyDescent="0.25">
      <c r="A358">
        <v>7592</v>
      </c>
      <c r="B358" s="15">
        <v>45312</v>
      </c>
      <c r="E358" s="157"/>
      <c r="F358">
        <v>4894</v>
      </c>
    </row>
    <row r="359" spans="1:6" x14ac:dyDescent="0.25">
      <c r="A359">
        <v>7592</v>
      </c>
      <c r="B359" s="15">
        <v>45313</v>
      </c>
      <c r="E359" s="123" t="s">
        <v>134</v>
      </c>
      <c r="F359">
        <v>4895</v>
      </c>
    </row>
    <row r="360" spans="1:6" x14ac:dyDescent="0.25">
      <c r="A360">
        <v>7592</v>
      </c>
      <c r="B360" s="15">
        <v>45314</v>
      </c>
      <c r="E360" s="123" t="s">
        <v>133</v>
      </c>
      <c r="F360">
        <v>4896</v>
      </c>
    </row>
    <row r="361" spans="1:6" x14ac:dyDescent="0.25">
      <c r="A361">
        <v>7592</v>
      </c>
      <c r="B361" s="15">
        <v>45315</v>
      </c>
      <c r="E361" s="157"/>
      <c r="F361">
        <v>4897</v>
      </c>
    </row>
    <row r="362" spans="1:6" x14ac:dyDescent="0.25">
      <c r="A362">
        <v>7592</v>
      </c>
      <c r="B362" s="15">
        <v>45316</v>
      </c>
      <c r="E362" s="123" t="s">
        <v>131</v>
      </c>
      <c r="F362">
        <v>4898</v>
      </c>
    </row>
    <row r="363" spans="1:6" x14ac:dyDescent="0.25">
      <c r="A363">
        <v>7592</v>
      </c>
      <c r="B363" s="15">
        <v>45317</v>
      </c>
      <c r="E363" s="157"/>
      <c r="F363">
        <v>4899</v>
      </c>
    </row>
    <row r="364" spans="1:6" x14ac:dyDescent="0.25">
      <c r="A364">
        <v>7592</v>
      </c>
      <c r="B364" s="15">
        <v>45318</v>
      </c>
      <c r="E364" s="157"/>
      <c r="F364">
        <v>4900</v>
      </c>
    </row>
    <row r="365" spans="1:6" x14ac:dyDescent="0.25">
      <c r="A365">
        <v>7592</v>
      </c>
      <c r="B365" s="15">
        <v>45319</v>
      </c>
      <c r="E365" s="157"/>
      <c r="F365">
        <v>4901</v>
      </c>
    </row>
    <row r="366" spans="1:6" x14ac:dyDescent="0.25">
      <c r="A366">
        <v>7592</v>
      </c>
      <c r="B366" s="15">
        <v>45320</v>
      </c>
      <c r="E366" s="123" t="s">
        <v>134</v>
      </c>
      <c r="F366">
        <v>4902</v>
      </c>
    </row>
    <row r="367" spans="1:6" x14ac:dyDescent="0.25">
      <c r="A367">
        <v>7592</v>
      </c>
      <c r="B367" s="15">
        <v>45321</v>
      </c>
      <c r="E367" s="123" t="s">
        <v>133</v>
      </c>
      <c r="F367">
        <v>4903</v>
      </c>
    </row>
    <row r="368" spans="1:6" x14ac:dyDescent="0.25">
      <c r="A368">
        <v>7592</v>
      </c>
      <c r="B368" s="15">
        <v>45322</v>
      </c>
      <c r="E368" s="157"/>
      <c r="F368">
        <v>4904</v>
      </c>
    </row>
    <row r="369" spans="1:6" x14ac:dyDescent="0.25">
      <c r="A369">
        <v>7592</v>
      </c>
      <c r="B369" s="15">
        <v>45323</v>
      </c>
      <c r="E369" s="123" t="s">
        <v>131</v>
      </c>
      <c r="F369">
        <v>4905</v>
      </c>
    </row>
    <row r="370" spans="1:6" x14ac:dyDescent="0.25">
      <c r="A370">
        <v>7592</v>
      </c>
      <c r="B370" s="15">
        <v>45324</v>
      </c>
      <c r="E370" s="157"/>
      <c r="F370">
        <v>4906</v>
      </c>
    </row>
    <row r="371" spans="1:6" x14ac:dyDescent="0.25">
      <c r="A371">
        <v>7592</v>
      </c>
      <c r="B371" s="15">
        <v>45325</v>
      </c>
      <c r="E371" s="157"/>
      <c r="F371">
        <v>4907</v>
      </c>
    </row>
    <row r="372" spans="1:6" x14ac:dyDescent="0.25">
      <c r="A372">
        <v>7592</v>
      </c>
      <c r="B372" s="15">
        <v>45326</v>
      </c>
      <c r="E372" s="157"/>
      <c r="F372">
        <v>4908</v>
      </c>
    </row>
    <row r="373" spans="1:6" x14ac:dyDescent="0.25">
      <c r="A373">
        <v>7592</v>
      </c>
      <c r="B373" s="15">
        <v>45327</v>
      </c>
      <c r="E373" s="123" t="s">
        <v>134</v>
      </c>
      <c r="F373">
        <v>5609</v>
      </c>
    </row>
    <row r="374" spans="1:6" x14ac:dyDescent="0.25">
      <c r="A374">
        <v>7592</v>
      </c>
      <c r="B374" s="15">
        <v>45328</v>
      </c>
      <c r="E374" s="123" t="s">
        <v>133</v>
      </c>
      <c r="F374">
        <v>5610</v>
      </c>
    </row>
    <row r="375" spans="1:6" x14ac:dyDescent="0.25">
      <c r="A375">
        <v>7592</v>
      </c>
      <c r="B375" s="15">
        <v>45329</v>
      </c>
      <c r="E375" s="157"/>
      <c r="F375">
        <v>5611</v>
      </c>
    </row>
    <row r="376" spans="1:6" x14ac:dyDescent="0.25">
      <c r="A376">
        <v>7592</v>
      </c>
      <c r="B376" s="15">
        <v>45330</v>
      </c>
      <c r="E376" s="123" t="s">
        <v>131</v>
      </c>
      <c r="F376">
        <v>5612</v>
      </c>
    </row>
    <row r="377" spans="1:6" x14ac:dyDescent="0.25">
      <c r="A377">
        <v>7592</v>
      </c>
      <c r="B377" s="15">
        <v>45331</v>
      </c>
      <c r="E377" s="157"/>
      <c r="F377">
        <v>5613</v>
      </c>
    </row>
    <row r="378" spans="1:6" x14ac:dyDescent="0.25">
      <c r="A378">
        <v>7592</v>
      </c>
      <c r="B378" s="15">
        <v>45332</v>
      </c>
      <c r="E378" s="157"/>
      <c r="F378">
        <v>5614</v>
      </c>
    </row>
    <row r="379" spans="1:6" x14ac:dyDescent="0.25">
      <c r="A379">
        <v>7592</v>
      </c>
      <c r="B379" s="15">
        <v>45333</v>
      </c>
      <c r="E379" s="157"/>
      <c r="F379">
        <v>5615</v>
      </c>
    </row>
    <row r="380" spans="1:6" x14ac:dyDescent="0.25">
      <c r="A380">
        <v>7592</v>
      </c>
      <c r="B380" s="15">
        <v>45334</v>
      </c>
      <c r="E380" s="123" t="s">
        <v>134</v>
      </c>
      <c r="F380">
        <v>5616</v>
      </c>
    </row>
    <row r="381" spans="1:6" x14ac:dyDescent="0.25">
      <c r="A381">
        <v>7592</v>
      </c>
      <c r="B381" s="15">
        <v>45335</v>
      </c>
      <c r="E381" s="123" t="s">
        <v>133</v>
      </c>
      <c r="F381">
        <v>5617</v>
      </c>
    </row>
    <row r="382" spans="1:6" x14ac:dyDescent="0.25">
      <c r="A382">
        <v>7592</v>
      </c>
      <c r="B382" s="15">
        <v>45336</v>
      </c>
      <c r="E382" s="157"/>
      <c r="F382">
        <v>5618</v>
      </c>
    </row>
    <row r="383" spans="1:6" x14ac:dyDescent="0.25">
      <c r="A383">
        <v>7592</v>
      </c>
      <c r="B383" s="15">
        <v>45337</v>
      </c>
      <c r="E383" s="123" t="s">
        <v>131</v>
      </c>
      <c r="F383">
        <v>5619</v>
      </c>
    </row>
    <row r="384" spans="1:6" x14ac:dyDescent="0.25">
      <c r="A384">
        <v>7592</v>
      </c>
      <c r="B384" s="15">
        <v>45338</v>
      </c>
      <c r="E384" s="157"/>
      <c r="F384">
        <v>5620</v>
      </c>
    </row>
    <row r="385" spans="1:6" x14ac:dyDescent="0.25">
      <c r="A385">
        <v>7592</v>
      </c>
      <c r="B385" s="15">
        <v>45339</v>
      </c>
      <c r="E385" s="157"/>
      <c r="F385">
        <v>5621</v>
      </c>
    </row>
    <row r="386" spans="1:6" x14ac:dyDescent="0.25">
      <c r="A386">
        <v>7592</v>
      </c>
      <c r="B386" s="15">
        <v>45340</v>
      </c>
      <c r="E386" s="157"/>
      <c r="F386">
        <v>5622</v>
      </c>
    </row>
    <row r="387" spans="1:6" x14ac:dyDescent="0.25">
      <c r="A387">
        <v>7592</v>
      </c>
      <c r="B387" s="15">
        <v>45341</v>
      </c>
      <c r="E387" s="123" t="s">
        <v>134</v>
      </c>
      <c r="F387">
        <v>5623</v>
      </c>
    </row>
    <row r="388" spans="1:6" x14ac:dyDescent="0.25">
      <c r="A388">
        <v>7592</v>
      </c>
      <c r="B388" s="15">
        <v>45342</v>
      </c>
      <c r="E388" s="123" t="s">
        <v>133</v>
      </c>
      <c r="F388">
        <v>5624</v>
      </c>
    </row>
    <row r="389" spans="1:6" x14ac:dyDescent="0.25">
      <c r="A389">
        <v>7592</v>
      </c>
      <c r="B389" s="15">
        <v>45343</v>
      </c>
      <c r="E389" s="157"/>
      <c r="F389">
        <v>5625</v>
      </c>
    </row>
    <row r="390" spans="1:6" x14ac:dyDescent="0.25">
      <c r="A390">
        <v>7592</v>
      </c>
      <c r="B390" s="15">
        <v>45344</v>
      </c>
      <c r="E390" s="123" t="s">
        <v>131</v>
      </c>
      <c r="F390">
        <v>5626</v>
      </c>
    </row>
    <row r="391" spans="1:6" x14ac:dyDescent="0.25">
      <c r="A391">
        <v>7592</v>
      </c>
      <c r="B391" s="15">
        <v>45345</v>
      </c>
      <c r="E391" s="157"/>
      <c r="F391">
        <v>5627</v>
      </c>
    </row>
    <row r="392" spans="1:6" x14ac:dyDescent="0.25">
      <c r="A392">
        <v>7592</v>
      </c>
      <c r="B392" s="15">
        <v>45346</v>
      </c>
      <c r="E392" s="157"/>
      <c r="F392">
        <v>5628</v>
      </c>
    </row>
    <row r="393" spans="1:6" x14ac:dyDescent="0.25">
      <c r="A393">
        <v>7592</v>
      </c>
      <c r="B393" s="15">
        <v>45347</v>
      </c>
      <c r="E393" s="157"/>
      <c r="F393">
        <v>5629</v>
      </c>
    </row>
    <row r="394" spans="1:6" x14ac:dyDescent="0.25">
      <c r="A394">
        <v>7592</v>
      </c>
      <c r="B394" s="15">
        <v>45348</v>
      </c>
      <c r="E394" s="123" t="s">
        <v>134</v>
      </c>
      <c r="F394">
        <v>5630</v>
      </c>
    </row>
    <row r="395" spans="1:6" x14ac:dyDescent="0.25">
      <c r="A395">
        <v>7592</v>
      </c>
      <c r="B395" s="15">
        <v>45349</v>
      </c>
      <c r="E395" s="123" t="s">
        <v>133</v>
      </c>
      <c r="F395">
        <v>5631</v>
      </c>
    </row>
    <row r="396" spans="1:6" x14ac:dyDescent="0.25">
      <c r="A396">
        <v>7592</v>
      </c>
      <c r="B396" s="15">
        <v>45350</v>
      </c>
      <c r="E396" s="157"/>
      <c r="F396">
        <v>5632</v>
      </c>
    </row>
    <row r="397" spans="1:6" x14ac:dyDescent="0.25">
      <c r="A397">
        <v>7592</v>
      </c>
      <c r="B397" s="15">
        <v>45351</v>
      </c>
      <c r="E397" s="117" t="s">
        <v>2</v>
      </c>
      <c r="F397">
        <v>5633</v>
      </c>
    </row>
    <row r="398" spans="1:6" x14ac:dyDescent="0.25">
      <c r="A398">
        <v>7592</v>
      </c>
      <c r="B398" s="15">
        <v>45352</v>
      </c>
      <c r="E398" s="158"/>
      <c r="F398">
        <v>5634</v>
      </c>
    </row>
    <row r="399" spans="1:6" x14ac:dyDescent="0.25">
      <c r="A399">
        <v>7592</v>
      </c>
      <c r="B399" s="15">
        <v>45353</v>
      </c>
      <c r="E399" s="157"/>
      <c r="F399">
        <v>5635</v>
      </c>
    </row>
    <row r="400" spans="1:6" x14ac:dyDescent="0.25">
      <c r="A400">
        <v>7592</v>
      </c>
      <c r="B400" s="15">
        <v>45354</v>
      </c>
      <c r="E400" s="157"/>
      <c r="F400">
        <v>5636</v>
      </c>
    </row>
    <row r="401" spans="1:6" x14ac:dyDescent="0.25">
      <c r="A401">
        <v>7592</v>
      </c>
      <c r="B401" s="15">
        <v>45355</v>
      </c>
      <c r="E401" s="123" t="s">
        <v>134</v>
      </c>
      <c r="F401">
        <v>6309</v>
      </c>
    </row>
    <row r="402" spans="1:6" x14ac:dyDescent="0.25">
      <c r="A402">
        <v>7592</v>
      </c>
      <c r="B402" s="15">
        <v>45356</v>
      </c>
      <c r="E402" s="123" t="s">
        <v>133</v>
      </c>
      <c r="F402">
        <v>6310</v>
      </c>
    </row>
    <row r="403" spans="1:6" x14ac:dyDescent="0.25">
      <c r="A403">
        <v>7592</v>
      </c>
      <c r="B403" s="15">
        <v>45357</v>
      </c>
      <c r="E403" s="157"/>
      <c r="F403">
        <v>6311</v>
      </c>
    </row>
    <row r="404" spans="1:6" x14ac:dyDescent="0.25">
      <c r="A404">
        <v>7592</v>
      </c>
      <c r="B404" s="15">
        <v>45358</v>
      </c>
      <c r="E404" s="120" t="s">
        <v>2</v>
      </c>
      <c r="F404">
        <v>6312</v>
      </c>
    </row>
    <row r="405" spans="1:6" x14ac:dyDescent="0.25">
      <c r="A405">
        <v>7592</v>
      </c>
      <c r="B405" s="15">
        <v>45359</v>
      </c>
      <c r="E405" s="157"/>
      <c r="F405">
        <v>6313</v>
      </c>
    </row>
    <row r="406" spans="1:6" x14ac:dyDescent="0.25">
      <c r="A406">
        <v>7592</v>
      </c>
      <c r="B406" s="15">
        <v>45360</v>
      </c>
      <c r="E406" s="157"/>
      <c r="F406">
        <v>6314</v>
      </c>
    </row>
    <row r="407" spans="1:6" x14ac:dyDescent="0.25">
      <c r="A407">
        <v>7592</v>
      </c>
      <c r="B407" s="15">
        <v>45361</v>
      </c>
      <c r="E407" s="157"/>
      <c r="F407">
        <v>6315</v>
      </c>
    </row>
    <row r="408" spans="1:6" x14ac:dyDescent="0.25">
      <c r="A408">
        <v>7592</v>
      </c>
      <c r="B408" s="15">
        <v>45362</v>
      </c>
      <c r="E408" s="123" t="s">
        <v>134</v>
      </c>
      <c r="F408">
        <v>6316</v>
      </c>
    </row>
    <row r="409" spans="1:6" x14ac:dyDescent="0.25">
      <c r="A409">
        <v>7592</v>
      </c>
      <c r="B409" s="15">
        <v>45363</v>
      </c>
      <c r="E409" s="123" t="s">
        <v>133</v>
      </c>
      <c r="F409">
        <v>6317</v>
      </c>
    </row>
    <row r="410" spans="1:6" x14ac:dyDescent="0.25">
      <c r="A410">
        <v>7592</v>
      </c>
      <c r="B410" s="15">
        <v>45364</v>
      </c>
      <c r="E410" s="157"/>
      <c r="F410">
        <v>6318</v>
      </c>
    </row>
    <row r="411" spans="1:6" x14ac:dyDescent="0.25">
      <c r="A411">
        <v>7592</v>
      </c>
      <c r="B411" s="15">
        <v>45365</v>
      </c>
      <c r="E411" s="120" t="s">
        <v>2</v>
      </c>
      <c r="F411">
        <v>6319</v>
      </c>
    </row>
    <row r="412" spans="1:6" x14ac:dyDescent="0.25">
      <c r="A412">
        <v>7592</v>
      </c>
      <c r="B412" s="15">
        <v>45366</v>
      </c>
      <c r="E412" s="158"/>
      <c r="F412">
        <v>6320</v>
      </c>
    </row>
    <row r="413" spans="1:6" x14ac:dyDescent="0.25">
      <c r="A413">
        <v>7592</v>
      </c>
      <c r="B413" s="15">
        <v>45367</v>
      </c>
      <c r="E413" s="157"/>
      <c r="F413">
        <v>6321</v>
      </c>
    </row>
    <row r="414" spans="1:6" x14ac:dyDescent="0.25">
      <c r="A414">
        <v>7592</v>
      </c>
      <c r="B414" s="15">
        <v>45368</v>
      </c>
      <c r="E414" s="157"/>
      <c r="F414">
        <v>6322</v>
      </c>
    </row>
    <row r="415" spans="1:6" x14ac:dyDescent="0.25">
      <c r="A415">
        <v>7592</v>
      </c>
      <c r="B415" s="15">
        <v>45369</v>
      </c>
      <c r="E415" s="123" t="s">
        <v>134</v>
      </c>
      <c r="F415">
        <v>6323</v>
      </c>
    </row>
    <row r="416" spans="1:6" x14ac:dyDescent="0.25">
      <c r="A416">
        <v>7592</v>
      </c>
      <c r="B416" s="15">
        <v>45370</v>
      </c>
      <c r="E416" s="123" t="s">
        <v>133</v>
      </c>
      <c r="F416">
        <v>6324</v>
      </c>
    </row>
    <row r="417" spans="1:6" x14ac:dyDescent="0.25">
      <c r="A417">
        <v>7592</v>
      </c>
      <c r="B417" s="15">
        <v>45371</v>
      </c>
      <c r="E417" s="157"/>
      <c r="F417">
        <v>6325</v>
      </c>
    </row>
    <row r="418" spans="1:6" x14ac:dyDescent="0.25">
      <c r="A418">
        <v>7592</v>
      </c>
      <c r="B418" s="15">
        <v>45372</v>
      </c>
      <c r="E418" s="123" t="s">
        <v>131</v>
      </c>
      <c r="F418">
        <v>6326</v>
      </c>
    </row>
    <row r="419" spans="1:6" x14ac:dyDescent="0.25">
      <c r="A419">
        <v>7592</v>
      </c>
      <c r="B419" s="15">
        <v>45373</v>
      </c>
      <c r="E419" s="157"/>
      <c r="F419">
        <v>6327</v>
      </c>
    </row>
    <row r="420" spans="1:6" x14ac:dyDescent="0.25">
      <c r="A420">
        <v>7592</v>
      </c>
      <c r="B420" s="15">
        <v>45374</v>
      </c>
      <c r="E420" s="157"/>
      <c r="F420">
        <v>6328</v>
      </c>
    </row>
    <row r="421" spans="1:6" x14ac:dyDescent="0.25">
      <c r="A421">
        <v>7592</v>
      </c>
      <c r="B421" s="15">
        <v>45375</v>
      </c>
      <c r="E421" s="157"/>
      <c r="F421">
        <v>6329</v>
      </c>
    </row>
    <row r="422" spans="1:6" x14ac:dyDescent="0.25">
      <c r="A422">
        <v>7592</v>
      </c>
      <c r="B422" s="15">
        <v>45376</v>
      </c>
      <c r="E422" s="123" t="s">
        <v>134</v>
      </c>
      <c r="F422">
        <v>6330</v>
      </c>
    </row>
    <row r="423" spans="1:6" x14ac:dyDescent="0.25">
      <c r="A423">
        <v>7592</v>
      </c>
      <c r="B423" s="15">
        <v>45377</v>
      </c>
      <c r="E423" s="123" t="s">
        <v>133</v>
      </c>
      <c r="F423">
        <v>6331</v>
      </c>
    </row>
    <row r="424" spans="1:6" x14ac:dyDescent="0.25">
      <c r="A424">
        <v>7592</v>
      </c>
      <c r="B424" s="15">
        <v>45378</v>
      </c>
      <c r="E424" s="157"/>
      <c r="F424">
        <v>6332</v>
      </c>
    </row>
    <row r="425" spans="1:6" x14ac:dyDescent="0.25">
      <c r="A425">
        <v>7592</v>
      </c>
      <c r="B425" s="15">
        <v>45379</v>
      </c>
      <c r="E425" s="123" t="s">
        <v>131</v>
      </c>
      <c r="F425">
        <v>6333</v>
      </c>
    </row>
    <row r="426" spans="1:6" x14ac:dyDescent="0.25">
      <c r="A426">
        <v>7592</v>
      </c>
      <c r="B426" s="15">
        <v>45380</v>
      </c>
      <c r="E426" s="158"/>
      <c r="F426">
        <v>6334</v>
      </c>
    </row>
    <row r="427" spans="1:6" x14ac:dyDescent="0.25">
      <c r="A427">
        <v>7592</v>
      </c>
      <c r="B427" s="15">
        <v>45381</v>
      </c>
      <c r="E427" s="157"/>
      <c r="F427">
        <v>6335</v>
      </c>
    </row>
    <row r="428" spans="1:6" x14ac:dyDescent="0.25">
      <c r="A428">
        <v>7592</v>
      </c>
      <c r="B428" s="15">
        <v>45382</v>
      </c>
      <c r="E428" s="157"/>
      <c r="F428">
        <v>6336</v>
      </c>
    </row>
    <row r="429" spans="1:6" x14ac:dyDescent="0.25">
      <c r="A429">
        <v>7592</v>
      </c>
      <c r="B429" s="15">
        <v>45383</v>
      </c>
      <c r="E429" s="119"/>
      <c r="F429">
        <v>7149</v>
      </c>
    </row>
    <row r="430" spans="1:6" x14ac:dyDescent="0.25">
      <c r="A430">
        <v>7592</v>
      </c>
      <c r="B430" s="15">
        <v>45384</v>
      </c>
      <c r="E430" s="117" t="s">
        <v>2</v>
      </c>
      <c r="F430">
        <v>7150</v>
      </c>
    </row>
    <row r="431" spans="1:6" x14ac:dyDescent="0.25">
      <c r="A431">
        <v>7592</v>
      </c>
      <c r="B431" s="15">
        <v>45385</v>
      </c>
      <c r="E431" s="157"/>
      <c r="F431">
        <v>7151</v>
      </c>
    </row>
    <row r="432" spans="1:6" x14ac:dyDescent="0.25">
      <c r="A432">
        <v>7592</v>
      </c>
      <c r="B432" s="15">
        <v>45386</v>
      </c>
      <c r="E432" s="120" t="s">
        <v>2</v>
      </c>
      <c r="F432">
        <v>7152</v>
      </c>
    </row>
    <row r="433" spans="1:6" x14ac:dyDescent="0.25">
      <c r="A433">
        <v>7592</v>
      </c>
      <c r="B433" s="15">
        <v>45387</v>
      </c>
      <c r="E433" s="157"/>
      <c r="F433">
        <v>7153</v>
      </c>
    </row>
    <row r="434" spans="1:6" x14ac:dyDescent="0.25">
      <c r="A434">
        <v>7592</v>
      </c>
      <c r="B434" s="15">
        <v>45388</v>
      </c>
      <c r="E434" s="157"/>
      <c r="F434">
        <v>7154</v>
      </c>
    </row>
    <row r="435" spans="1:6" x14ac:dyDescent="0.25">
      <c r="A435">
        <v>7592</v>
      </c>
      <c r="B435" s="15">
        <v>45389</v>
      </c>
      <c r="E435" s="157"/>
      <c r="F435">
        <v>7155</v>
      </c>
    </row>
    <row r="436" spans="1:6" x14ac:dyDescent="0.25">
      <c r="A436">
        <v>7592</v>
      </c>
      <c r="B436" s="15">
        <v>45390</v>
      </c>
      <c r="E436" s="123" t="s">
        <v>134</v>
      </c>
      <c r="F436">
        <v>7156</v>
      </c>
    </row>
    <row r="437" spans="1:6" x14ac:dyDescent="0.25">
      <c r="A437">
        <v>7592</v>
      </c>
      <c r="B437" s="15">
        <v>45391</v>
      </c>
      <c r="E437" s="123" t="s">
        <v>133</v>
      </c>
      <c r="F437">
        <v>7157</v>
      </c>
    </row>
    <row r="438" spans="1:6" x14ac:dyDescent="0.25">
      <c r="A438">
        <v>7592</v>
      </c>
      <c r="B438" s="15">
        <v>45392</v>
      </c>
      <c r="E438" s="157"/>
      <c r="F438">
        <v>7158</v>
      </c>
    </row>
    <row r="439" spans="1:6" x14ac:dyDescent="0.25">
      <c r="A439">
        <v>7592</v>
      </c>
      <c r="B439" s="15">
        <v>45393</v>
      </c>
      <c r="E439" s="123" t="s">
        <v>131</v>
      </c>
      <c r="F439">
        <v>7159</v>
      </c>
    </row>
    <row r="440" spans="1:6" x14ac:dyDescent="0.25">
      <c r="A440">
        <v>7592</v>
      </c>
      <c r="B440" s="15">
        <v>45394</v>
      </c>
      <c r="E440" s="158"/>
      <c r="F440">
        <v>7160</v>
      </c>
    </row>
    <row r="441" spans="1:6" x14ac:dyDescent="0.25">
      <c r="A441">
        <v>7592</v>
      </c>
      <c r="B441" s="15">
        <v>45395</v>
      </c>
      <c r="E441" s="157"/>
      <c r="F441">
        <v>7161</v>
      </c>
    </row>
    <row r="442" spans="1:6" x14ac:dyDescent="0.25">
      <c r="A442">
        <v>7592</v>
      </c>
      <c r="B442" s="15">
        <v>45396</v>
      </c>
      <c r="E442" s="157"/>
      <c r="F442">
        <v>7162</v>
      </c>
    </row>
    <row r="443" spans="1:6" x14ac:dyDescent="0.25">
      <c r="A443">
        <v>7592</v>
      </c>
      <c r="B443" s="15">
        <v>45397</v>
      </c>
      <c r="E443" s="123" t="s">
        <v>134</v>
      </c>
      <c r="F443">
        <v>7163</v>
      </c>
    </row>
    <row r="444" spans="1:6" x14ac:dyDescent="0.25">
      <c r="A444">
        <v>7592</v>
      </c>
      <c r="B444" s="15">
        <v>45398</v>
      </c>
      <c r="E444" s="123" t="s">
        <v>133</v>
      </c>
      <c r="F444">
        <v>7164</v>
      </c>
    </row>
    <row r="445" spans="1:6" x14ac:dyDescent="0.25">
      <c r="A445">
        <v>7592</v>
      </c>
      <c r="B445" s="15">
        <v>45399</v>
      </c>
      <c r="E445" s="157"/>
      <c r="F445">
        <v>7165</v>
      </c>
    </row>
    <row r="446" spans="1:6" x14ac:dyDescent="0.25">
      <c r="A446">
        <v>7592</v>
      </c>
      <c r="B446" s="15">
        <v>45400</v>
      </c>
      <c r="E446" s="123" t="s">
        <v>131</v>
      </c>
      <c r="F446">
        <v>7166</v>
      </c>
    </row>
    <row r="447" spans="1:6" x14ac:dyDescent="0.25">
      <c r="A447">
        <v>7592</v>
      </c>
      <c r="B447" s="15">
        <v>45401</v>
      </c>
      <c r="E447" s="158"/>
      <c r="F447">
        <v>7167</v>
      </c>
    </row>
    <row r="448" spans="1:6" x14ac:dyDescent="0.25">
      <c r="A448">
        <v>7592</v>
      </c>
      <c r="B448" s="15">
        <v>45402</v>
      </c>
      <c r="E448" s="157"/>
      <c r="F448">
        <v>7168</v>
      </c>
    </row>
    <row r="449" spans="1:6" x14ac:dyDescent="0.25">
      <c r="A449">
        <v>7592</v>
      </c>
      <c r="B449" s="15">
        <v>45403</v>
      </c>
      <c r="E449" s="157"/>
      <c r="F449">
        <v>7169</v>
      </c>
    </row>
    <row r="450" spans="1:6" x14ac:dyDescent="0.25">
      <c r="A450">
        <v>7592</v>
      </c>
      <c r="B450" s="15">
        <v>45404</v>
      </c>
      <c r="E450" s="123" t="s">
        <v>134</v>
      </c>
      <c r="F450">
        <v>7170</v>
      </c>
    </row>
    <row r="451" spans="1:6" x14ac:dyDescent="0.25">
      <c r="A451">
        <v>7592</v>
      </c>
      <c r="B451" s="15">
        <v>45405</v>
      </c>
      <c r="E451" s="123" t="s">
        <v>133</v>
      </c>
      <c r="F451">
        <v>7171</v>
      </c>
    </row>
    <row r="452" spans="1:6" x14ac:dyDescent="0.25">
      <c r="A452">
        <v>7592</v>
      </c>
      <c r="B452" s="15">
        <v>45406</v>
      </c>
      <c r="E452" s="157"/>
      <c r="F452">
        <v>7172</v>
      </c>
    </row>
    <row r="453" spans="1:6" x14ac:dyDescent="0.25">
      <c r="A453">
        <v>7592</v>
      </c>
      <c r="B453" s="15">
        <v>45407</v>
      </c>
      <c r="E453" s="123" t="s">
        <v>131</v>
      </c>
      <c r="F453">
        <v>7173</v>
      </c>
    </row>
    <row r="454" spans="1:6" x14ac:dyDescent="0.25">
      <c r="A454">
        <v>7592</v>
      </c>
      <c r="B454" s="15">
        <v>45408</v>
      </c>
      <c r="E454" s="158"/>
      <c r="F454">
        <v>7174</v>
      </c>
    </row>
    <row r="455" spans="1:6" x14ac:dyDescent="0.25">
      <c r="A455">
        <v>7592</v>
      </c>
      <c r="B455" s="15">
        <v>45409</v>
      </c>
      <c r="E455" s="157"/>
      <c r="F455">
        <v>7175</v>
      </c>
    </row>
    <row r="456" spans="1:6" x14ac:dyDescent="0.25">
      <c r="A456">
        <v>7592</v>
      </c>
      <c r="B456" s="15">
        <v>45410</v>
      </c>
      <c r="E456" s="157"/>
      <c r="F456">
        <v>7176</v>
      </c>
    </row>
    <row r="457" spans="1:6" x14ac:dyDescent="0.25">
      <c r="A457">
        <v>7592</v>
      </c>
      <c r="B457" s="15">
        <v>45411</v>
      </c>
      <c r="E457" s="125" t="s">
        <v>2</v>
      </c>
      <c r="F457">
        <v>7177</v>
      </c>
    </row>
    <row r="458" spans="1:6" x14ac:dyDescent="0.25">
      <c r="A458">
        <v>7592</v>
      </c>
      <c r="B458" s="15">
        <v>45412</v>
      </c>
      <c r="E458" s="125" t="s">
        <v>2</v>
      </c>
      <c r="F458">
        <v>7178</v>
      </c>
    </row>
    <row r="459" spans="1:6" x14ac:dyDescent="0.25">
      <c r="A459">
        <v>7592</v>
      </c>
      <c r="B459" s="15">
        <v>45413</v>
      </c>
      <c r="E459" s="157"/>
      <c r="F459">
        <v>7179</v>
      </c>
    </row>
    <row r="460" spans="1:6" x14ac:dyDescent="0.25">
      <c r="A460">
        <v>7592</v>
      </c>
      <c r="B460" s="15">
        <v>45414</v>
      </c>
      <c r="E460" s="122" t="s">
        <v>2</v>
      </c>
      <c r="F460">
        <v>7180</v>
      </c>
    </row>
    <row r="461" spans="1:6" x14ac:dyDescent="0.25">
      <c r="A461">
        <v>7592</v>
      </c>
      <c r="B461" s="15">
        <v>45415</v>
      </c>
      <c r="E461" s="157"/>
      <c r="F461">
        <v>7181</v>
      </c>
    </row>
    <row r="462" spans="1:6" x14ac:dyDescent="0.25">
      <c r="A462">
        <v>7592</v>
      </c>
      <c r="B462" s="15">
        <v>45416</v>
      </c>
      <c r="E462" s="157"/>
      <c r="F462">
        <v>7182</v>
      </c>
    </row>
    <row r="463" spans="1:6" x14ac:dyDescent="0.25">
      <c r="A463">
        <v>7592</v>
      </c>
      <c r="B463" s="15">
        <v>45417</v>
      </c>
      <c r="E463" s="157"/>
      <c r="F463">
        <v>7183</v>
      </c>
    </row>
    <row r="464" spans="1:6" x14ac:dyDescent="0.25">
      <c r="A464">
        <v>7595</v>
      </c>
      <c r="B464" s="15">
        <v>45264</v>
      </c>
      <c r="E464" s="117" t="s">
        <v>1</v>
      </c>
      <c r="F464">
        <v>3894</v>
      </c>
    </row>
    <row r="465" spans="1:6" x14ac:dyDescent="0.25">
      <c r="A465">
        <v>7595</v>
      </c>
      <c r="B465" s="15">
        <v>45265</v>
      </c>
      <c r="E465" s="120" t="s">
        <v>1</v>
      </c>
      <c r="F465">
        <v>3895</v>
      </c>
    </row>
    <row r="466" spans="1:6" x14ac:dyDescent="0.25">
      <c r="A466">
        <v>7595</v>
      </c>
      <c r="B466" s="15">
        <v>45266</v>
      </c>
      <c r="E466" s="117" t="s">
        <v>1</v>
      </c>
      <c r="F466">
        <v>3896</v>
      </c>
    </row>
    <row r="467" spans="1:6" x14ac:dyDescent="0.25">
      <c r="A467">
        <v>7595</v>
      </c>
      <c r="B467" s="15">
        <v>45267</v>
      </c>
      <c r="E467" s="120" t="s">
        <v>1</v>
      </c>
      <c r="F467">
        <v>3897</v>
      </c>
    </row>
    <row r="468" spans="1:6" x14ac:dyDescent="0.25">
      <c r="A468">
        <v>7595</v>
      </c>
      <c r="B468" s="15">
        <v>45268</v>
      </c>
      <c r="E468" s="157"/>
      <c r="F468">
        <v>3898</v>
      </c>
    </row>
    <row r="469" spans="1:6" x14ac:dyDescent="0.25">
      <c r="A469">
        <v>7595</v>
      </c>
      <c r="B469" s="15">
        <v>45269</v>
      </c>
      <c r="E469" s="121" t="s">
        <v>1</v>
      </c>
      <c r="F469">
        <v>3899</v>
      </c>
    </row>
    <row r="470" spans="1:6" x14ac:dyDescent="0.25">
      <c r="A470">
        <v>7595</v>
      </c>
      <c r="B470" s="15">
        <v>45270</v>
      </c>
      <c r="E470" s="158"/>
      <c r="F470">
        <v>3900</v>
      </c>
    </row>
    <row r="471" spans="1:6" x14ac:dyDescent="0.25">
      <c r="A471">
        <v>7595</v>
      </c>
      <c r="B471" s="15">
        <v>45271</v>
      </c>
      <c r="E471" s="117" t="s">
        <v>1</v>
      </c>
      <c r="F471">
        <v>3901</v>
      </c>
    </row>
    <row r="472" spans="1:6" x14ac:dyDescent="0.25">
      <c r="A472">
        <v>7595</v>
      </c>
      <c r="B472" s="15">
        <v>45272</v>
      </c>
      <c r="E472" s="120" t="s">
        <v>1</v>
      </c>
      <c r="F472">
        <v>3902</v>
      </c>
    </row>
    <row r="473" spans="1:6" x14ac:dyDescent="0.25">
      <c r="A473">
        <v>7595</v>
      </c>
      <c r="B473" s="15">
        <v>45273</v>
      </c>
      <c r="E473" s="120" t="s">
        <v>1</v>
      </c>
      <c r="F473">
        <v>3903</v>
      </c>
    </row>
    <row r="474" spans="1:6" x14ac:dyDescent="0.25">
      <c r="A474">
        <v>7595</v>
      </c>
      <c r="B474" s="15">
        <v>45274</v>
      </c>
      <c r="E474" s="117" t="s">
        <v>1</v>
      </c>
      <c r="F474">
        <v>3904</v>
      </c>
    </row>
    <row r="475" spans="1:6" x14ac:dyDescent="0.25">
      <c r="A475">
        <v>7595</v>
      </c>
      <c r="B475" s="15">
        <v>45275</v>
      </c>
      <c r="E475" s="120" t="s">
        <v>1</v>
      </c>
      <c r="F475">
        <v>3905</v>
      </c>
    </row>
    <row r="476" spans="1:6" x14ac:dyDescent="0.25">
      <c r="A476">
        <v>7595</v>
      </c>
      <c r="B476" s="15">
        <v>45276</v>
      </c>
      <c r="E476" s="158"/>
      <c r="F476">
        <v>3906</v>
      </c>
    </row>
    <row r="477" spans="1:6" x14ac:dyDescent="0.25">
      <c r="A477">
        <v>7595</v>
      </c>
      <c r="B477" s="15">
        <v>45277</v>
      </c>
      <c r="E477" s="158"/>
      <c r="F477">
        <v>3907</v>
      </c>
    </row>
    <row r="478" spans="1:6" x14ac:dyDescent="0.25">
      <c r="A478">
        <v>7595</v>
      </c>
      <c r="B478" s="15">
        <v>45278</v>
      </c>
      <c r="E478" s="117" t="s">
        <v>2</v>
      </c>
      <c r="F478">
        <v>3908</v>
      </c>
    </row>
    <row r="479" spans="1:6" x14ac:dyDescent="0.25">
      <c r="A479">
        <v>7595</v>
      </c>
      <c r="B479" s="15">
        <v>45279</v>
      </c>
      <c r="E479" s="120" t="s">
        <v>2</v>
      </c>
      <c r="F479">
        <v>3909</v>
      </c>
    </row>
    <row r="480" spans="1:6" x14ac:dyDescent="0.25">
      <c r="A480">
        <v>7595</v>
      </c>
      <c r="B480" s="15">
        <v>45280</v>
      </c>
      <c r="E480" s="117" t="s">
        <v>2</v>
      </c>
      <c r="F480">
        <v>3910</v>
      </c>
    </row>
    <row r="481" spans="1:6" x14ac:dyDescent="0.25">
      <c r="A481">
        <v>7595</v>
      </c>
      <c r="B481" s="15">
        <v>45281</v>
      </c>
      <c r="E481" s="120" t="s">
        <v>2</v>
      </c>
      <c r="F481">
        <v>3911</v>
      </c>
    </row>
    <row r="482" spans="1:6" x14ac:dyDescent="0.25">
      <c r="A482">
        <v>7595</v>
      </c>
      <c r="B482" s="15">
        <v>45282</v>
      </c>
      <c r="E482" s="157"/>
      <c r="F482">
        <v>3912</v>
      </c>
    </row>
    <row r="483" spans="1:6" x14ac:dyDescent="0.25">
      <c r="A483">
        <v>7595</v>
      </c>
      <c r="B483" s="15">
        <v>45283</v>
      </c>
      <c r="E483" s="121" t="s">
        <v>2</v>
      </c>
      <c r="F483">
        <v>3913</v>
      </c>
    </row>
    <row r="484" spans="1:6" x14ac:dyDescent="0.25">
      <c r="A484">
        <v>7595</v>
      </c>
      <c r="B484" s="15">
        <v>45284</v>
      </c>
      <c r="E484" s="157"/>
      <c r="F484">
        <v>3914</v>
      </c>
    </row>
    <row r="485" spans="1:6" x14ac:dyDescent="0.25">
      <c r="A485">
        <v>7595</v>
      </c>
      <c r="B485" s="15">
        <v>45285</v>
      </c>
      <c r="E485" s="155"/>
      <c r="F485">
        <v>3915</v>
      </c>
    </row>
    <row r="486" spans="1:6" x14ac:dyDescent="0.25">
      <c r="A486">
        <v>7595</v>
      </c>
      <c r="B486" s="15">
        <v>45286</v>
      </c>
      <c r="E486" s="117" t="s">
        <v>2</v>
      </c>
      <c r="F486">
        <v>3916</v>
      </c>
    </row>
    <row r="487" spans="1:6" x14ac:dyDescent="0.25">
      <c r="A487">
        <v>7595</v>
      </c>
      <c r="B487" s="15">
        <v>45287</v>
      </c>
      <c r="E487" s="120" t="s">
        <v>2</v>
      </c>
      <c r="F487">
        <v>3917</v>
      </c>
    </row>
    <row r="488" spans="1:6" x14ac:dyDescent="0.25">
      <c r="A488">
        <v>7595</v>
      </c>
      <c r="B488" s="15">
        <v>45288</v>
      </c>
      <c r="E488" s="117" t="s">
        <v>2</v>
      </c>
      <c r="F488">
        <v>3918</v>
      </c>
    </row>
    <row r="489" spans="1:6" x14ac:dyDescent="0.25">
      <c r="A489">
        <v>7595</v>
      </c>
      <c r="B489" s="15">
        <v>45289</v>
      </c>
      <c r="E489" s="120" t="s">
        <v>2</v>
      </c>
      <c r="F489">
        <v>3919</v>
      </c>
    </row>
    <row r="490" spans="1:6" x14ac:dyDescent="0.25">
      <c r="A490">
        <v>7595</v>
      </c>
      <c r="B490" s="15">
        <v>45290</v>
      </c>
      <c r="E490" s="158"/>
      <c r="F490">
        <v>3920</v>
      </c>
    </row>
    <row r="491" spans="1:6" x14ac:dyDescent="0.25">
      <c r="A491">
        <v>7595</v>
      </c>
      <c r="B491" s="15">
        <v>45291</v>
      </c>
      <c r="E491" s="158"/>
      <c r="F491">
        <v>3921</v>
      </c>
    </row>
    <row r="492" spans="1:6" x14ac:dyDescent="0.25">
      <c r="A492">
        <v>7595</v>
      </c>
      <c r="B492" s="15">
        <v>45292</v>
      </c>
      <c r="E492" s="119"/>
      <c r="F492">
        <v>4699</v>
      </c>
    </row>
    <row r="493" spans="1:6" x14ac:dyDescent="0.25">
      <c r="A493">
        <v>7595</v>
      </c>
      <c r="B493" s="15">
        <v>45293</v>
      </c>
      <c r="E493" s="159" t="s">
        <v>267</v>
      </c>
      <c r="F493">
        <v>4700</v>
      </c>
    </row>
    <row r="494" spans="1:6" x14ac:dyDescent="0.25">
      <c r="A494">
        <v>7595</v>
      </c>
      <c r="B494" s="15">
        <v>45294</v>
      </c>
      <c r="E494" s="159" t="s">
        <v>264</v>
      </c>
      <c r="F494">
        <v>4701</v>
      </c>
    </row>
    <row r="495" spans="1:6" x14ac:dyDescent="0.25">
      <c r="A495">
        <v>7595</v>
      </c>
      <c r="B495" s="15">
        <v>45295</v>
      </c>
      <c r="E495" s="159" t="s">
        <v>267</v>
      </c>
      <c r="F495">
        <v>4702</v>
      </c>
    </row>
    <row r="496" spans="1:6" x14ac:dyDescent="0.25">
      <c r="A496">
        <v>7595</v>
      </c>
      <c r="B496" s="15">
        <v>45296</v>
      </c>
      <c r="E496" s="157"/>
      <c r="F496">
        <v>4703</v>
      </c>
    </row>
    <row r="497" spans="1:6" x14ac:dyDescent="0.25">
      <c r="A497">
        <v>7595</v>
      </c>
      <c r="B497" s="15">
        <v>45297</v>
      </c>
      <c r="E497" s="160" t="s">
        <v>175</v>
      </c>
      <c r="F497">
        <v>4704</v>
      </c>
    </row>
    <row r="498" spans="1:6" x14ac:dyDescent="0.25">
      <c r="A498">
        <v>7595</v>
      </c>
      <c r="B498" s="15">
        <v>45298</v>
      </c>
      <c r="E498" s="158"/>
      <c r="F498">
        <v>4705</v>
      </c>
    </row>
    <row r="499" spans="1:6" x14ac:dyDescent="0.25">
      <c r="A499">
        <v>7595</v>
      </c>
      <c r="B499" s="15">
        <v>45299</v>
      </c>
      <c r="E499" s="160" t="s">
        <v>265</v>
      </c>
      <c r="F499">
        <v>4706</v>
      </c>
    </row>
    <row r="500" spans="1:6" x14ac:dyDescent="0.25">
      <c r="A500">
        <v>7595</v>
      </c>
      <c r="B500" s="15">
        <v>45300</v>
      </c>
      <c r="E500" s="159" t="s">
        <v>267</v>
      </c>
      <c r="F500">
        <v>4707</v>
      </c>
    </row>
    <row r="501" spans="1:6" x14ac:dyDescent="0.25">
      <c r="A501">
        <v>7595</v>
      </c>
      <c r="B501" s="15">
        <v>45301</v>
      </c>
      <c r="E501" s="159" t="s">
        <v>267</v>
      </c>
      <c r="F501">
        <v>4708</v>
      </c>
    </row>
    <row r="502" spans="1:6" x14ac:dyDescent="0.25">
      <c r="A502">
        <v>7595</v>
      </c>
      <c r="B502" s="15">
        <v>45302</v>
      </c>
      <c r="E502" s="159" t="s">
        <v>264</v>
      </c>
      <c r="F502">
        <v>4709</v>
      </c>
    </row>
    <row r="503" spans="1:6" x14ac:dyDescent="0.25">
      <c r="A503">
        <v>7595</v>
      </c>
      <c r="B503" s="15">
        <v>45303</v>
      </c>
      <c r="E503" s="159" t="s">
        <v>267</v>
      </c>
      <c r="F503">
        <v>4710</v>
      </c>
    </row>
    <row r="504" spans="1:6" x14ac:dyDescent="0.25">
      <c r="A504">
        <v>7595</v>
      </c>
      <c r="B504" s="15">
        <v>45304</v>
      </c>
      <c r="E504" s="158"/>
      <c r="F504">
        <v>4711</v>
      </c>
    </row>
    <row r="505" spans="1:6" x14ac:dyDescent="0.25">
      <c r="A505">
        <v>7595</v>
      </c>
      <c r="B505" s="15">
        <v>45305</v>
      </c>
      <c r="E505" s="158"/>
      <c r="F505">
        <v>4712</v>
      </c>
    </row>
    <row r="506" spans="1:6" x14ac:dyDescent="0.25">
      <c r="A506">
        <v>7595</v>
      </c>
      <c r="B506" s="15">
        <v>45306</v>
      </c>
      <c r="E506" s="160" t="s">
        <v>264</v>
      </c>
      <c r="F506">
        <v>4713</v>
      </c>
    </row>
    <row r="507" spans="1:6" x14ac:dyDescent="0.25">
      <c r="A507">
        <v>7595</v>
      </c>
      <c r="B507" s="15">
        <v>45307</v>
      </c>
      <c r="E507" s="159" t="s">
        <v>267</v>
      </c>
      <c r="F507">
        <v>4714</v>
      </c>
    </row>
    <row r="508" spans="1:6" x14ac:dyDescent="0.25">
      <c r="A508">
        <v>7595</v>
      </c>
      <c r="B508" s="15">
        <v>45308</v>
      </c>
      <c r="E508" s="159" t="s">
        <v>264</v>
      </c>
      <c r="F508">
        <v>4715</v>
      </c>
    </row>
    <row r="509" spans="1:6" x14ac:dyDescent="0.25">
      <c r="A509">
        <v>7595</v>
      </c>
      <c r="B509" s="15">
        <v>45309</v>
      </c>
      <c r="E509" s="159" t="s">
        <v>267</v>
      </c>
      <c r="F509">
        <v>4716</v>
      </c>
    </row>
    <row r="510" spans="1:6" x14ac:dyDescent="0.25">
      <c r="A510">
        <v>7595</v>
      </c>
      <c r="B510" s="15">
        <v>45310</v>
      </c>
      <c r="E510" s="157"/>
      <c r="F510">
        <v>4717</v>
      </c>
    </row>
    <row r="511" spans="1:6" x14ac:dyDescent="0.25">
      <c r="A511">
        <v>7595</v>
      </c>
      <c r="B511" s="15">
        <v>45311</v>
      </c>
      <c r="E511" s="160" t="s">
        <v>175</v>
      </c>
      <c r="F511">
        <v>4718</v>
      </c>
    </row>
    <row r="512" spans="1:6" x14ac:dyDescent="0.25">
      <c r="A512">
        <v>7595</v>
      </c>
      <c r="B512" s="15">
        <v>45312</v>
      </c>
      <c r="E512" s="158"/>
      <c r="F512">
        <v>4719</v>
      </c>
    </row>
    <row r="513" spans="1:6" x14ac:dyDescent="0.25">
      <c r="A513">
        <v>7595</v>
      </c>
      <c r="B513" s="15">
        <v>45313</v>
      </c>
      <c r="E513" s="160" t="s">
        <v>265</v>
      </c>
      <c r="F513">
        <v>4720</v>
      </c>
    </row>
    <row r="514" spans="1:6" x14ac:dyDescent="0.25">
      <c r="A514">
        <v>7595</v>
      </c>
      <c r="B514" s="15">
        <v>45314</v>
      </c>
      <c r="E514" s="159" t="s">
        <v>267</v>
      </c>
      <c r="F514">
        <v>4721</v>
      </c>
    </row>
    <row r="515" spans="1:6" x14ac:dyDescent="0.25">
      <c r="A515">
        <v>7595</v>
      </c>
      <c r="B515" s="15">
        <v>45315</v>
      </c>
      <c r="E515" s="159" t="s">
        <v>267</v>
      </c>
      <c r="F515">
        <v>4722</v>
      </c>
    </row>
    <row r="516" spans="1:6" x14ac:dyDescent="0.25">
      <c r="A516">
        <v>7595</v>
      </c>
      <c r="B516" s="15">
        <v>45316</v>
      </c>
      <c r="E516" s="159" t="s">
        <v>264</v>
      </c>
      <c r="F516">
        <v>4723</v>
      </c>
    </row>
    <row r="517" spans="1:6" x14ac:dyDescent="0.25">
      <c r="A517">
        <v>7595</v>
      </c>
      <c r="B517" s="15">
        <v>45317</v>
      </c>
      <c r="E517" s="160" t="s">
        <v>267</v>
      </c>
      <c r="F517">
        <v>4724</v>
      </c>
    </row>
    <row r="518" spans="1:6" x14ac:dyDescent="0.25">
      <c r="A518">
        <v>7595</v>
      </c>
      <c r="B518" s="15">
        <v>45318</v>
      </c>
      <c r="E518" s="158"/>
      <c r="F518">
        <v>4725</v>
      </c>
    </row>
    <row r="519" spans="1:6" x14ac:dyDescent="0.25">
      <c r="A519">
        <v>7595</v>
      </c>
      <c r="B519" s="15">
        <v>45319</v>
      </c>
      <c r="E519" s="158"/>
      <c r="F519">
        <v>4726</v>
      </c>
    </row>
    <row r="520" spans="1:6" x14ac:dyDescent="0.25">
      <c r="A520">
        <v>7595</v>
      </c>
      <c r="B520" s="15">
        <v>45320</v>
      </c>
      <c r="E520" s="160" t="s">
        <v>264</v>
      </c>
      <c r="F520">
        <v>4727</v>
      </c>
    </row>
    <row r="521" spans="1:6" x14ac:dyDescent="0.25">
      <c r="A521">
        <v>7595</v>
      </c>
      <c r="B521" s="15">
        <v>45321</v>
      </c>
      <c r="E521" s="159" t="s">
        <v>267</v>
      </c>
      <c r="F521">
        <v>4728</v>
      </c>
    </row>
    <row r="522" spans="1:6" x14ac:dyDescent="0.25">
      <c r="A522">
        <v>7595</v>
      </c>
      <c r="B522" s="15">
        <v>45322</v>
      </c>
      <c r="E522" s="159" t="s">
        <v>264</v>
      </c>
      <c r="F522">
        <v>4729</v>
      </c>
    </row>
    <row r="523" spans="1:6" x14ac:dyDescent="0.25">
      <c r="A523">
        <v>7595</v>
      </c>
      <c r="B523" s="15">
        <v>45323</v>
      </c>
      <c r="E523" s="159" t="s">
        <v>267</v>
      </c>
      <c r="F523">
        <v>4730</v>
      </c>
    </row>
    <row r="524" spans="1:6" x14ac:dyDescent="0.25">
      <c r="A524">
        <v>7595</v>
      </c>
      <c r="B524" s="15">
        <v>45324</v>
      </c>
      <c r="E524" s="157"/>
      <c r="F524">
        <v>4731</v>
      </c>
    </row>
    <row r="525" spans="1:6" x14ac:dyDescent="0.25">
      <c r="A525">
        <v>7595</v>
      </c>
      <c r="B525" s="15">
        <v>45325</v>
      </c>
      <c r="E525" s="121" t="s">
        <v>2</v>
      </c>
      <c r="F525">
        <v>4732</v>
      </c>
    </row>
    <row r="526" spans="1:6" x14ac:dyDescent="0.25">
      <c r="A526">
        <v>7595</v>
      </c>
      <c r="B526" s="15">
        <v>45326</v>
      </c>
      <c r="E526" s="157"/>
      <c r="F526">
        <v>4733</v>
      </c>
    </row>
    <row r="527" spans="1:6" x14ac:dyDescent="0.25">
      <c r="A527">
        <v>7595</v>
      </c>
      <c r="B527" s="15">
        <v>45327</v>
      </c>
      <c r="E527" s="117" t="s">
        <v>2</v>
      </c>
      <c r="F527">
        <v>5469</v>
      </c>
    </row>
    <row r="528" spans="1:6" x14ac:dyDescent="0.25">
      <c r="A528">
        <v>7595</v>
      </c>
      <c r="B528" s="15">
        <v>45328</v>
      </c>
      <c r="E528" s="120" t="s">
        <v>2</v>
      </c>
      <c r="F528">
        <v>5470</v>
      </c>
    </row>
    <row r="529" spans="1:6" x14ac:dyDescent="0.25">
      <c r="A529">
        <v>7595</v>
      </c>
      <c r="B529" s="15">
        <v>45329</v>
      </c>
      <c r="E529" s="117" t="s">
        <v>2</v>
      </c>
      <c r="F529">
        <v>5471</v>
      </c>
    </row>
    <row r="530" spans="1:6" x14ac:dyDescent="0.25">
      <c r="A530">
        <v>7595</v>
      </c>
      <c r="B530" s="15">
        <v>45330</v>
      </c>
      <c r="E530" s="120" t="s">
        <v>2</v>
      </c>
      <c r="F530">
        <v>5472</v>
      </c>
    </row>
    <row r="531" spans="1:6" x14ac:dyDescent="0.25">
      <c r="A531">
        <v>7595</v>
      </c>
      <c r="B531" s="15">
        <v>45331</v>
      </c>
      <c r="E531" s="120" t="s">
        <v>2</v>
      </c>
      <c r="F531">
        <v>5473</v>
      </c>
    </row>
    <row r="532" spans="1:6" x14ac:dyDescent="0.25">
      <c r="A532">
        <v>7595</v>
      </c>
      <c r="B532" s="15">
        <v>45332</v>
      </c>
      <c r="E532" s="158"/>
      <c r="F532">
        <v>5474</v>
      </c>
    </row>
    <row r="533" spans="1:6" x14ac:dyDescent="0.25">
      <c r="A533">
        <v>7595</v>
      </c>
      <c r="B533" s="15">
        <v>45333</v>
      </c>
      <c r="E533" s="158"/>
      <c r="F533">
        <v>5475</v>
      </c>
    </row>
    <row r="534" spans="1:6" x14ac:dyDescent="0.25">
      <c r="A534">
        <v>7595</v>
      </c>
      <c r="B534" s="15">
        <v>45334</v>
      </c>
      <c r="E534" s="160" t="s">
        <v>264</v>
      </c>
      <c r="F534">
        <v>5476</v>
      </c>
    </row>
    <row r="535" spans="1:6" x14ac:dyDescent="0.25">
      <c r="A535">
        <v>7595</v>
      </c>
      <c r="B535" s="15">
        <v>45335</v>
      </c>
      <c r="E535" s="159" t="s">
        <v>267</v>
      </c>
      <c r="F535">
        <v>5477</v>
      </c>
    </row>
    <row r="536" spans="1:6" x14ac:dyDescent="0.25">
      <c r="A536">
        <v>7595</v>
      </c>
      <c r="B536" s="15">
        <v>45336</v>
      </c>
      <c r="E536" s="159" t="s">
        <v>264</v>
      </c>
      <c r="F536">
        <v>5478</v>
      </c>
    </row>
    <row r="537" spans="1:6" x14ac:dyDescent="0.25">
      <c r="A537">
        <v>7595</v>
      </c>
      <c r="B537" s="15">
        <v>45337</v>
      </c>
      <c r="E537" s="159" t="s">
        <v>267</v>
      </c>
      <c r="F537">
        <v>5479</v>
      </c>
    </row>
    <row r="538" spans="1:6" x14ac:dyDescent="0.25">
      <c r="A538">
        <v>7595</v>
      </c>
      <c r="B538" s="15">
        <v>45338</v>
      </c>
      <c r="E538" s="157"/>
      <c r="F538">
        <v>5480</v>
      </c>
    </row>
    <row r="539" spans="1:6" x14ac:dyDescent="0.25">
      <c r="A539">
        <v>7595</v>
      </c>
      <c r="B539" s="15">
        <v>45339</v>
      </c>
      <c r="E539" s="160" t="s">
        <v>175</v>
      </c>
      <c r="F539">
        <v>5481</v>
      </c>
    </row>
    <row r="540" spans="1:6" x14ac:dyDescent="0.25">
      <c r="A540">
        <v>7595</v>
      </c>
      <c r="B540" s="15">
        <v>45340</v>
      </c>
      <c r="E540" s="158"/>
      <c r="F540">
        <v>5482</v>
      </c>
    </row>
    <row r="541" spans="1:6" x14ac:dyDescent="0.25">
      <c r="A541">
        <v>7595</v>
      </c>
      <c r="B541" s="15">
        <v>45341</v>
      </c>
      <c r="E541" s="160" t="s">
        <v>265</v>
      </c>
      <c r="F541">
        <v>5483</v>
      </c>
    </row>
    <row r="542" spans="1:6" x14ac:dyDescent="0.25">
      <c r="A542">
        <v>7595</v>
      </c>
      <c r="B542" s="15">
        <v>45342</v>
      </c>
      <c r="E542" s="159" t="s">
        <v>267</v>
      </c>
      <c r="F542">
        <v>5484</v>
      </c>
    </row>
    <row r="543" spans="1:6" x14ac:dyDescent="0.25">
      <c r="A543">
        <v>7595</v>
      </c>
      <c r="B543" s="15">
        <v>45343</v>
      </c>
      <c r="E543" s="159" t="s">
        <v>267</v>
      </c>
      <c r="F543">
        <v>5485</v>
      </c>
    </row>
    <row r="544" spans="1:6" x14ac:dyDescent="0.25">
      <c r="A544">
        <v>7595</v>
      </c>
      <c r="B544" s="15">
        <v>45344</v>
      </c>
      <c r="E544" s="159" t="s">
        <v>264</v>
      </c>
      <c r="F544">
        <v>5486</v>
      </c>
    </row>
    <row r="545" spans="1:6" x14ac:dyDescent="0.25">
      <c r="A545">
        <v>7595</v>
      </c>
      <c r="B545" s="15">
        <v>45345</v>
      </c>
      <c r="E545" s="160" t="s">
        <v>267</v>
      </c>
      <c r="F545">
        <v>5487</v>
      </c>
    </row>
    <row r="546" spans="1:6" x14ac:dyDescent="0.25">
      <c r="A546">
        <v>7595</v>
      </c>
      <c r="B546" s="15">
        <v>45346</v>
      </c>
      <c r="E546" s="158"/>
      <c r="F546">
        <v>5488</v>
      </c>
    </row>
    <row r="547" spans="1:6" x14ac:dyDescent="0.25">
      <c r="A547">
        <v>7595</v>
      </c>
      <c r="B547" s="15">
        <v>45347</v>
      </c>
      <c r="E547" s="158"/>
      <c r="F547">
        <v>5489</v>
      </c>
    </row>
    <row r="548" spans="1:6" x14ac:dyDescent="0.25">
      <c r="A548">
        <v>7595</v>
      </c>
      <c r="B548" s="15">
        <v>45348</v>
      </c>
      <c r="E548" s="160" t="s">
        <v>264</v>
      </c>
      <c r="F548">
        <v>5490</v>
      </c>
    </row>
    <row r="549" spans="1:6" x14ac:dyDescent="0.25">
      <c r="A549">
        <v>7595</v>
      </c>
      <c r="B549" s="15">
        <v>45349</v>
      </c>
      <c r="E549" s="159" t="s">
        <v>267</v>
      </c>
      <c r="F549">
        <v>5491</v>
      </c>
    </row>
    <row r="550" spans="1:6" x14ac:dyDescent="0.25">
      <c r="A550">
        <v>7595</v>
      </c>
      <c r="B550" s="15">
        <v>45350</v>
      </c>
      <c r="E550" s="159" t="s">
        <v>264</v>
      </c>
      <c r="F550">
        <v>5492</v>
      </c>
    </row>
    <row r="551" spans="1:6" x14ac:dyDescent="0.25">
      <c r="A551">
        <v>7595</v>
      </c>
      <c r="B551" s="15">
        <v>45351</v>
      </c>
      <c r="E551" s="159" t="s">
        <v>267</v>
      </c>
      <c r="F551">
        <v>5493</v>
      </c>
    </row>
    <row r="552" spans="1:6" x14ac:dyDescent="0.25">
      <c r="A552">
        <v>7595</v>
      </c>
      <c r="B552" s="15">
        <v>45352</v>
      </c>
      <c r="E552" s="157"/>
      <c r="F552">
        <v>5494</v>
      </c>
    </row>
    <row r="553" spans="1:6" x14ac:dyDescent="0.25">
      <c r="A553">
        <v>7595</v>
      </c>
      <c r="B553" s="15">
        <v>45353</v>
      </c>
      <c r="E553" s="205" t="s">
        <v>175</v>
      </c>
      <c r="F553">
        <v>5495</v>
      </c>
    </row>
    <row r="554" spans="1:6" x14ac:dyDescent="0.25">
      <c r="A554">
        <v>7595</v>
      </c>
      <c r="B554" s="15">
        <v>45354</v>
      </c>
      <c r="E554" s="158"/>
      <c r="F554">
        <v>5496</v>
      </c>
    </row>
    <row r="555" spans="1:6" x14ac:dyDescent="0.25">
      <c r="A555">
        <v>7595</v>
      </c>
      <c r="B555" s="15">
        <v>45355</v>
      </c>
      <c r="E555" s="125" t="s">
        <v>2</v>
      </c>
      <c r="F555">
        <v>6169</v>
      </c>
    </row>
    <row r="556" spans="1:6" x14ac:dyDescent="0.25">
      <c r="A556">
        <v>7595</v>
      </c>
      <c r="B556" s="15">
        <v>45356</v>
      </c>
      <c r="E556" s="122" t="s">
        <v>2</v>
      </c>
      <c r="F556">
        <v>6170</v>
      </c>
    </row>
    <row r="557" spans="1:6" x14ac:dyDescent="0.25">
      <c r="A557">
        <v>7595</v>
      </c>
      <c r="B557" s="15">
        <v>45357</v>
      </c>
      <c r="E557" s="122" t="s">
        <v>2</v>
      </c>
      <c r="F557">
        <v>6171</v>
      </c>
    </row>
    <row r="558" spans="1:6" x14ac:dyDescent="0.25">
      <c r="A558">
        <v>7595</v>
      </c>
      <c r="B558" s="15">
        <v>45358</v>
      </c>
      <c r="E558" s="125" t="s">
        <v>2</v>
      </c>
      <c r="F558">
        <v>6172</v>
      </c>
    </row>
    <row r="559" spans="1:6" x14ac:dyDescent="0.25">
      <c r="A559">
        <v>7595</v>
      </c>
      <c r="B559" s="15">
        <v>45359</v>
      </c>
      <c r="E559" s="122" t="s">
        <v>2</v>
      </c>
      <c r="F559">
        <v>6173</v>
      </c>
    </row>
    <row r="560" spans="1:6" x14ac:dyDescent="0.25">
      <c r="A560">
        <v>7595</v>
      </c>
      <c r="B560" s="15">
        <v>45360</v>
      </c>
      <c r="E560" s="158"/>
      <c r="F560">
        <v>6174</v>
      </c>
    </row>
    <row r="561" spans="1:6" x14ac:dyDescent="0.25">
      <c r="A561">
        <v>7595</v>
      </c>
      <c r="B561" s="15">
        <v>45361</v>
      </c>
      <c r="E561" s="158"/>
      <c r="F561">
        <v>6175</v>
      </c>
    </row>
    <row r="562" spans="1:6" x14ac:dyDescent="0.25">
      <c r="A562">
        <v>7595</v>
      </c>
      <c r="B562" s="15">
        <v>45362</v>
      </c>
      <c r="E562" s="160" t="s">
        <v>264</v>
      </c>
      <c r="F562">
        <v>6176</v>
      </c>
    </row>
    <row r="563" spans="1:6" x14ac:dyDescent="0.25">
      <c r="A563">
        <v>7595</v>
      </c>
      <c r="B563" s="15">
        <v>45363</v>
      </c>
      <c r="E563" s="159" t="s">
        <v>267</v>
      </c>
      <c r="F563">
        <v>6177</v>
      </c>
    </row>
    <row r="564" spans="1:6" x14ac:dyDescent="0.25">
      <c r="A564">
        <v>7595</v>
      </c>
      <c r="B564" s="15">
        <v>45364</v>
      </c>
      <c r="E564" s="159" t="s">
        <v>264</v>
      </c>
      <c r="F564">
        <v>6178</v>
      </c>
    </row>
    <row r="565" spans="1:6" x14ac:dyDescent="0.25">
      <c r="A565">
        <v>7595</v>
      </c>
      <c r="B565" s="15">
        <v>45365</v>
      </c>
      <c r="E565" s="159" t="s">
        <v>267</v>
      </c>
      <c r="F565">
        <v>6179</v>
      </c>
    </row>
    <row r="566" spans="1:6" x14ac:dyDescent="0.25">
      <c r="A566">
        <v>7595</v>
      </c>
      <c r="B566" s="15">
        <v>45366</v>
      </c>
      <c r="E566" s="157"/>
      <c r="F566">
        <v>6180</v>
      </c>
    </row>
    <row r="567" spans="1:6" x14ac:dyDescent="0.25">
      <c r="A567">
        <v>7595</v>
      </c>
      <c r="B567" s="15">
        <v>45367</v>
      </c>
      <c r="E567" s="160" t="s">
        <v>175</v>
      </c>
      <c r="F567">
        <v>6181</v>
      </c>
    </row>
    <row r="568" spans="1:6" x14ac:dyDescent="0.25">
      <c r="A568">
        <v>7595</v>
      </c>
      <c r="B568" s="15">
        <v>45368</v>
      </c>
      <c r="E568" s="158"/>
      <c r="F568">
        <v>6182</v>
      </c>
    </row>
    <row r="569" spans="1:6" x14ac:dyDescent="0.25">
      <c r="A569">
        <v>7595</v>
      </c>
      <c r="B569" s="15">
        <v>45369</v>
      </c>
      <c r="E569" s="160" t="s">
        <v>265</v>
      </c>
      <c r="F569">
        <v>6183</v>
      </c>
    </row>
    <row r="570" spans="1:6" x14ac:dyDescent="0.25">
      <c r="A570">
        <v>7595</v>
      </c>
      <c r="B570" s="15">
        <v>45370</v>
      </c>
      <c r="E570" s="159" t="s">
        <v>267</v>
      </c>
      <c r="F570">
        <v>6184</v>
      </c>
    </row>
    <row r="571" spans="1:6" x14ac:dyDescent="0.25">
      <c r="A571">
        <v>7595</v>
      </c>
      <c r="B571" s="15">
        <v>45371</v>
      </c>
      <c r="E571" s="159" t="s">
        <v>267</v>
      </c>
      <c r="F571">
        <v>6185</v>
      </c>
    </row>
    <row r="572" spans="1:6" x14ac:dyDescent="0.25">
      <c r="A572">
        <v>7595</v>
      </c>
      <c r="B572" s="15">
        <v>45372</v>
      </c>
      <c r="E572" s="159" t="s">
        <v>264</v>
      </c>
      <c r="F572">
        <v>6186</v>
      </c>
    </row>
    <row r="573" spans="1:6" x14ac:dyDescent="0.25">
      <c r="A573">
        <v>7595</v>
      </c>
      <c r="B573" s="15">
        <v>45373</v>
      </c>
      <c r="E573" s="160" t="s">
        <v>267</v>
      </c>
      <c r="F573">
        <v>6187</v>
      </c>
    </row>
    <row r="574" spans="1:6" x14ac:dyDescent="0.25">
      <c r="A574">
        <v>7595</v>
      </c>
      <c r="B574" s="15">
        <v>45374</v>
      </c>
      <c r="E574" s="158"/>
      <c r="F574">
        <v>6188</v>
      </c>
    </row>
    <row r="575" spans="1:6" x14ac:dyDescent="0.25">
      <c r="A575">
        <v>7595</v>
      </c>
      <c r="B575" s="15">
        <v>45375</v>
      </c>
      <c r="E575" s="158"/>
      <c r="F575">
        <v>6189</v>
      </c>
    </row>
    <row r="576" spans="1:6" x14ac:dyDescent="0.25">
      <c r="A576">
        <v>7595</v>
      </c>
      <c r="B576" s="15">
        <v>45376</v>
      </c>
      <c r="E576" s="160" t="s">
        <v>264</v>
      </c>
      <c r="F576">
        <v>6190</v>
      </c>
    </row>
    <row r="577" spans="1:6" x14ac:dyDescent="0.25">
      <c r="A577">
        <v>7595</v>
      </c>
      <c r="B577" s="15">
        <v>45377</v>
      </c>
      <c r="E577" s="159" t="s">
        <v>267</v>
      </c>
      <c r="F577">
        <v>6191</v>
      </c>
    </row>
    <row r="578" spans="1:6" x14ac:dyDescent="0.25">
      <c r="A578">
        <v>7595</v>
      </c>
      <c r="B578" s="15">
        <v>45378</v>
      </c>
      <c r="E578" s="159" t="s">
        <v>264</v>
      </c>
      <c r="F578">
        <v>6192</v>
      </c>
    </row>
    <row r="579" spans="1:6" x14ac:dyDescent="0.25">
      <c r="A579">
        <v>7595</v>
      </c>
      <c r="B579" s="15">
        <v>45379</v>
      </c>
      <c r="E579" s="159" t="s">
        <v>267</v>
      </c>
      <c r="F579">
        <v>6193</v>
      </c>
    </row>
    <row r="580" spans="1:6" x14ac:dyDescent="0.25">
      <c r="A580">
        <v>7595</v>
      </c>
      <c r="B580" s="15">
        <v>45380</v>
      </c>
      <c r="E580" s="157"/>
      <c r="F580">
        <v>6194</v>
      </c>
    </row>
    <row r="581" spans="1:6" x14ac:dyDescent="0.25">
      <c r="A581">
        <v>7595</v>
      </c>
      <c r="B581" s="15">
        <v>45381</v>
      </c>
      <c r="E581" s="160" t="s">
        <v>175</v>
      </c>
      <c r="F581">
        <v>6195</v>
      </c>
    </row>
    <row r="582" spans="1:6" x14ac:dyDescent="0.25">
      <c r="A582">
        <v>7595</v>
      </c>
      <c r="B582" s="15">
        <v>45382</v>
      </c>
      <c r="E582" s="158"/>
      <c r="F582">
        <v>6196</v>
      </c>
    </row>
    <row r="583" spans="1:6" x14ac:dyDescent="0.25">
      <c r="A583">
        <v>7595</v>
      </c>
      <c r="B583" s="15">
        <v>45383</v>
      </c>
      <c r="E583" s="119"/>
      <c r="F583">
        <v>6974</v>
      </c>
    </row>
    <row r="584" spans="1:6" x14ac:dyDescent="0.25">
      <c r="A584">
        <v>7595</v>
      </c>
      <c r="B584" s="15">
        <v>45384</v>
      </c>
      <c r="E584" s="120" t="s">
        <v>286</v>
      </c>
      <c r="F584">
        <v>6975</v>
      </c>
    </row>
    <row r="585" spans="1:6" x14ac:dyDescent="0.25">
      <c r="A585">
        <v>7595</v>
      </c>
      <c r="B585" s="15">
        <v>45385</v>
      </c>
      <c r="E585" s="159" t="s">
        <v>267</v>
      </c>
      <c r="F585">
        <v>6976</v>
      </c>
    </row>
    <row r="586" spans="1:6" x14ac:dyDescent="0.25">
      <c r="A586">
        <v>7595</v>
      </c>
      <c r="B586" s="15">
        <v>45386</v>
      </c>
      <c r="E586" s="159" t="s">
        <v>264</v>
      </c>
      <c r="F586">
        <v>6977</v>
      </c>
    </row>
    <row r="587" spans="1:6" x14ac:dyDescent="0.25">
      <c r="A587">
        <v>7595</v>
      </c>
      <c r="B587" s="15">
        <v>45387</v>
      </c>
      <c r="E587" s="160" t="s">
        <v>267</v>
      </c>
      <c r="F587">
        <v>6978</v>
      </c>
    </row>
    <row r="588" spans="1:6" x14ac:dyDescent="0.25">
      <c r="A588">
        <v>7595</v>
      </c>
      <c r="B588" s="15">
        <v>45388</v>
      </c>
      <c r="E588" s="158"/>
      <c r="F588">
        <v>6979</v>
      </c>
    </row>
    <row r="589" spans="1:6" x14ac:dyDescent="0.25">
      <c r="A589">
        <v>7595</v>
      </c>
      <c r="B589" s="15">
        <v>45389</v>
      </c>
      <c r="E589" s="158"/>
      <c r="F589">
        <v>6980</v>
      </c>
    </row>
    <row r="590" spans="1:6" x14ac:dyDescent="0.25">
      <c r="A590">
        <v>7595</v>
      </c>
      <c r="B590" s="15">
        <v>45390</v>
      </c>
      <c r="E590" s="160" t="s">
        <v>264</v>
      </c>
      <c r="F590">
        <v>6981</v>
      </c>
    </row>
    <row r="591" spans="1:6" x14ac:dyDescent="0.25">
      <c r="A591">
        <v>7595</v>
      </c>
      <c r="B591" s="15">
        <v>45391</v>
      </c>
      <c r="E591" s="159" t="s">
        <v>267</v>
      </c>
      <c r="F591">
        <v>6982</v>
      </c>
    </row>
    <row r="592" spans="1:6" x14ac:dyDescent="0.25">
      <c r="A592">
        <v>7595</v>
      </c>
      <c r="B592" s="15">
        <v>45392</v>
      </c>
      <c r="E592" s="159" t="s">
        <v>264</v>
      </c>
      <c r="F592">
        <v>6983</v>
      </c>
    </row>
    <row r="593" spans="1:6" x14ac:dyDescent="0.25">
      <c r="A593">
        <v>7595</v>
      </c>
      <c r="B593" s="15">
        <v>45393</v>
      </c>
      <c r="E593" s="159" t="s">
        <v>267</v>
      </c>
      <c r="F593">
        <v>6984</v>
      </c>
    </row>
    <row r="594" spans="1:6" x14ac:dyDescent="0.25">
      <c r="A594">
        <v>7595</v>
      </c>
      <c r="B594" s="15">
        <v>45394</v>
      </c>
      <c r="E594" s="157"/>
      <c r="F594">
        <v>6985</v>
      </c>
    </row>
    <row r="595" spans="1:6" x14ac:dyDescent="0.25">
      <c r="A595">
        <v>7595</v>
      </c>
      <c r="B595" s="15">
        <v>45395</v>
      </c>
      <c r="E595" s="160" t="s">
        <v>175</v>
      </c>
      <c r="F595">
        <v>6986</v>
      </c>
    </row>
    <row r="596" spans="1:6" x14ac:dyDescent="0.25">
      <c r="A596">
        <v>7595</v>
      </c>
      <c r="B596" s="15">
        <v>45396</v>
      </c>
      <c r="E596" s="158"/>
      <c r="F596">
        <v>6987</v>
      </c>
    </row>
    <row r="597" spans="1:6" x14ac:dyDescent="0.25">
      <c r="A597">
        <v>7595</v>
      </c>
      <c r="B597" s="15">
        <v>45397</v>
      </c>
      <c r="E597" s="160" t="s">
        <v>265</v>
      </c>
      <c r="F597">
        <v>6988</v>
      </c>
    </row>
    <row r="598" spans="1:6" x14ac:dyDescent="0.25">
      <c r="A598">
        <v>7595</v>
      </c>
      <c r="B598" s="15">
        <v>45398</v>
      </c>
      <c r="E598" s="159" t="s">
        <v>267</v>
      </c>
      <c r="F598">
        <v>6989</v>
      </c>
    </row>
    <row r="599" spans="1:6" x14ac:dyDescent="0.25">
      <c r="A599">
        <v>7595</v>
      </c>
      <c r="B599" s="15">
        <v>45399</v>
      </c>
      <c r="E599" s="159" t="s">
        <v>267</v>
      </c>
      <c r="F599">
        <v>6990</v>
      </c>
    </row>
    <row r="600" spans="1:6" x14ac:dyDescent="0.25">
      <c r="A600">
        <v>7595</v>
      </c>
      <c r="B600" s="15">
        <v>45400</v>
      </c>
      <c r="E600" s="159" t="s">
        <v>264</v>
      </c>
      <c r="F600">
        <v>6991</v>
      </c>
    </row>
    <row r="601" spans="1:6" x14ac:dyDescent="0.25">
      <c r="A601">
        <v>7595</v>
      </c>
      <c r="B601" s="15">
        <v>45401</v>
      </c>
      <c r="E601" s="160" t="s">
        <v>267</v>
      </c>
      <c r="F601">
        <v>6992</v>
      </c>
    </row>
    <row r="602" spans="1:6" x14ac:dyDescent="0.25">
      <c r="A602">
        <v>7595</v>
      </c>
      <c r="B602" s="15">
        <v>45402</v>
      </c>
      <c r="E602" s="158"/>
      <c r="F602">
        <v>6993</v>
      </c>
    </row>
    <row r="603" spans="1:6" x14ac:dyDescent="0.25">
      <c r="A603">
        <v>7595</v>
      </c>
      <c r="B603" s="15">
        <v>45403</v>
      </c>
      <c r="E603" s="158"/>
      <c r="F603">
        <v>6994</v>
      </c>
    </row>
    <row r="604" spans="1:6" x14ac:dyDescent="0.25">
      <c r="A604">
        <v>7595</v>
      </c>
      <c r="B604" s="15">
        <v>45404</v>
      </c>
      <c r="E604" s="125" t="s">
        <v>2</v>
      </c>
      <c r="F604">
        <v>6995</v>
      </c>
    </row>
    <row r="605" spans="1:6" x14ac:dyDescent="0.25">
      <c r="A605">
        <v>7595</v>
      </c>
      <c r="B605" s="15">
        <v>45405</v>
      </c>
      <c r="E605" s="122" t="s">
        <v>2</v>
      </c>
      <c r="F605">
        <v>6996</v>
      </c>
    </row>
    <row r="606" spans="1:6" x14ac:dyDescent="0.25">
      <c r="A606">
        <v>7595</v>
      </c>
      <c r="B606" s="15">
        <v>45406</v>
      </c>
      <c r="E606" s="125" t="s">
        <v>2</v>
      </c>
      <c r="F606">
        <v>6997</v>
      </c>
    </row>
    <row r="607" spans="1:6" x14ac:dyDescent="0.25">
      <c r="A607">
        <v>7595</v>
      </c>
      <c r="B607" s="15">
        <v>45407</v>
      </c>
      <c r="E607" s="122" t="s">
        <v>2</v>
      </c>
      <c r="F607">
        <v>6998</v>
      </c>
    </row>
    <row r="608" spans="1:6" x14ac:dyDescent="0.25">
      <c r="A608">
        <v>7595</v>
      </c>
      <c r="B608" s="15">
        <v>45408</v>
      </c>
      <c r="E608" s="157"/>
      <c r="F608">
        <v>6999</v>
      </c>
    </row>
    <row r="609" spans="1:6" x14ac:dyDescent="0.25">
      <c r="A609">
        <v>7595</v>
      </c>
      <c r="B609" s="15">
        <v>45409</v>
      </c>
      <c r="E609" s="126" t="s">
        <v>2</v>
      </c>
      <c r="F609">
        <v>7000</v>
      </c>
    </row>
    <row r="610" spans="1:6" x14ac:dyDescent="0.25">
      <c r="A610">
        <v>7595</v>
      </c>
      <c r="B610" s="15">
        <v>45410</v>
      </c>
      <c r="E610" s="158"/>
      <c r="F610">
        <v>7001</v>
      </c>
    </row>
    <row r="611" spans="1:6" x14ac:dyDescent="0.25">
      <c r="A611">
        <v>7595</v>
      </c>
      <c r="B611" s="15">
        <v>45411</v>
      </c>
      <c r="E611" s="125" t="s">
        <v>2</v>
      </c>
      <c r="F611">
        <v>7002</v>
      </c>
    </row>
    <row r="612" spans="1:6" x14ac:dyDescent="0.25">
      <c r="A612">
        <v>7595</v>
      </c>
      <c r="B612" s="15">
        <v>45412</v>
      </c>
      <c r="E612" s="122" t="s">
        <v>2</v>
      </c>
      <c r="F612">
        <v>7003</v>
      </c>
    </row>
    <row r="613" spans="1:6" x14ac:dyDescent="0.25">
      <c r="A613">
        <v>7595</v>
      </c>
      <c r="B613" s="15">
        <v>45413</v>
      </c>
      <c r="E613" s="158"/>
      <c r="F613">
        <v>7004</v>
      </c>
    </row>
    <row r="614" spans="1:6" x14ac:dyDescent="0.25">
      <c r="A614">
        <v>7595</v>
      </c>
      <c r="B614" s="15">
        <v>45414</v>
      </c>
      <c r="E614" s="159" t="s">
        <v>264</v>
      </c>
      <c r="F614">
        <v>7005</v>
      </c>
    </row>
    <row r="615" spans="1:6" x14ac:dyDescent="0.25">
      <c r="A615">
        <v>7595</v>
      </c>
      <c r="B615" s="15">
        <v>45415</v>
      </c>
      <c r="E615" s="160" t="s">
        <v>267</v>
      </c>
      <c r="F615">
        <v>7006</v>
      </c>
    </row>
    <row r="616" spans="1:6" x14ac:dyDescent="0.25">
      <c r="A616">
        <v>7595</v>
      </c>
      <c r="B616" s="15">
        <v>45416</v>
      </c>
      <c r="E616" s="158"/>
      <c r="F616">
        <v>7007</v>
      </c>
    </row>
    <row r="617" spans="1:6" x14ac:dyDescent="0.25">
      <c r="A617">
        <v>7595</v>
      </c>
      <c r="B617" s="15">
        <v>45417</v>
      </c>
      <c r="E617" s="158"/>
      <c r="F617">
        <v>7008</v>
      </c>
    </row>
    <row r="618" spans="1:6" x14ac:dyDescent="0.25">
      <c r="A618">
        <v>7603</v>
      </c>
      <c r="B618" s="15">
        <v>45047</v>
      </c>
      <c r="C618" s="147"/>
      <c r="D618" s="147"/>
      <c r="F618">
        <v>2872</v>
      </c>
    </row>
    <row r="619" spans="1:6" x14ac:dyDescent="0.25">
      <c r="A619">
        <v>7603</v>
      </c>
      <c r="B619" s="15">
        <v>45048</v>
      </c>
      <c r="C619" s="105">
        <v>0.35416666666666669</v>
      </c>
      <c r="D619" s="106">
        <v>0.70000000000000007</v>
      </c>
      <c r="F619">
        <v>2873</v>
      </c>
    </row>
    <row r="620" spans="1:6" x14ac:dyDescent="0.25">
      <c r="A620">
        <v>7603</v>
      </c>
      <c r="B620" s="15">
        <v>45049</v>
      </c>
      <c r="C620" s="132">
        <v>0.44791666666666669</v>
      </c>
      <c r="D620" s="105">
        <v>0.79375000000000007</v>
      </c>
      <c r="F620">
        <v>2874</v>
      </c>
    </row>
    <row r="621" spans="1:6" x14ac:dyDescent="0.25">
      <c r="A621">
        <v>7603</v>
      </c>
      <c r="B621" s="15">
        <v>45050</v>
      </c>
      <c r="C621" s="106">
        <v>0.375</v>
      </c>
      <c r="D621" s="107" t="s">
        <v>166</v>
      </c>
      <c r="F621">
        <v>2875</v>
      </c>
    </row>
    <row r="622" spans="1:6" x14ac:dyDescent="0.25">
      <c r="A622">
        <v>7603</v>
      </c>
      <c r="B622" s="15">
        <v>45051</v>
      </c>
      <c r="C622" s="132">
        <v>0.44791666666666669</v>
      </c>
      <c r="D622" s="105">
        <v>0.79375000000000007</v>
      </c>
      <c r="F622">
        <v>2876</v>
      </c>
    </row>
    <row r="623" spans="1:6" x14ac:dyDescent="0.25">
      <c r="A623">
        <v>7603</v>
      </c>
      <c r="B623" s="15">
        <v>45052</v>
      </c>
      <c r="C623" s="134" t="s">
        <v>167</v>
      </c>
      <c r="D623" s="133"/>
      <c r="F623">
        <v>2877</v>
      </c>
    </row>
    <row r="624" spans="1:6" x14ac:dyDescent="0.25">
      <c r="A624">
        <v>7603</v>
      </c>
      <c r="B624" s="15">
        <v>45053</v>
      </c>
      <c r="C624" s="133"/>
      <c r="D624" s="133"/>
      <c r="F624">
        <v>2878</v>
      </c>
    </row>
    <row r="625" spans="1:6" x14ac:dyDescent="0.25">
      <c r="A625">
        <v>7603</v>
      </c>
      <c r="B625" s="15">
        <v>45054</v>
      </c>
      <c r="C625" s="147"/>
      <c r="D625" s="147"/>
      <c r="F625">
        <v>2879</v>
      </c>
    </row>
    <row r="626" spans="1:6" x14ac:dyDescent="0.25">
      <c r="A626">
        <v>7603</v>
      </c>
      <c r="B626" s="15">
        <v>45055</v>
      </c>
      <c r="C626" s="132">
        <v>0.44791666666666669</v>
      </c>
      <c r="D626" s="105">
        <v>0.79375000000000007</v>
      </c>
      <c r="F626">
        <v>2880</v>
      </c>
    </row>
    <row r="627" spans="1:6" x14ac:dyDescent="0.25">
      <c r="A627">
        <v>7603</v>
      </c>
      <c r="B627" s="15">
        <v>45056</v>
      </c>
      <c r="C627" s="105">
        <v>0.35416666666666669</v>
      </c>
      <c r="D627" s="106">
        <v>0.70000000000000007</v>
      </c>
      <c r="F627">
        <v>2881</v>
      </c>
    </row>
    <row r="628" spans="1:6" x14ac:dyDescent="0.25">
      <c r="A628">
        <v>7603</v>
      </c>
      <c r="B628" s="15">
        <v>45057</v>
      </c>
      <c r="C628" s="132">
        <v>0.44791666666666669</v>
      </c>
      <c r="D628" s="105">
        <v>0.79375000000000007</v>
      </c>
      <c r="F628">
        <v>2882</v>
      </c>
    </row>
    <row r="629" spans="1:6" x14ac:dyDescent="0.25">
      <c r="A629">
        <v>7603</v>
      </c>
      <c r="B629" s="15">
        <v>45058</v>
      </c>
      <c r="C629" s="105">
        <v>0.35416666666666669</v>
      </c>
      <c r="D629" s="106">
        <v>0.70000000000000007</v>
      </c>
      <c r="F629">
        <v>2883</v>
      </c>
    </row>
    <row r="630" spans="1:6" x14ac:dyDescent="0.25">
      <c r="A630">
        <v>7603</v>
      </c>
      <c r="B630" s="15">
        <v>45059</v>
      </c>
      <c r="C630" s="133"/>
      <c r="D630" s="133"/>
      <c r="F630">
        <v>2884</v>
      </c>
    </row>
    <row r="631" spans="1:6" x14ac:dyDescent="0.25">
      <c r="A631">
        <v>7603</v>
      </c>
      <c r="B631" s="15">
        <v>45060</v>
      </c>
      <c r="C631" s="133"/>
      <c r="D631" s="133"/>
      <c r="F631">
        <v>2885</v>
      </c>
    </row>
    <row r="632" spans="1:6" x14ac:dyDescent="0.25">
      <c r="A632">
        <v>7603</v>
      </c>
      <c r="B632" s="15">
        <v>45061</v>
      </c>
      <c r="C632" s="105">
        <v>0.35416666666666669</v>
      </c>
      <c r="D632" s="106">
        <v>0.70000000000000007</v>
      </c>
      <c r="F632">
        <v>2886</v>
      </c>
    </row>
    <row r="633" spans="1:6" x14ac:dyDescent="0.25">
      <c r="A633">
        <v>7603</v>
      </c>
      <c r="B633" s="15">
        <v>45062</v>
      </c>
      <c r="C633" s="106">
        <v>0.375</v>
      </c>
      <c r="D633" s="108">
        <v>0.72083333333333333</v>
      </c>
      <c r="F633">
        <v>2887</v>
      </c>
    </row>
    <row r="634" spans="1:6" x14ac:dyDescent="0.25">
      <c r="A634">
        <v>7603</v>
      </c>
      <c r="B634" s="15">
        <v>45063</v>
      </c>
      <c r="C634" s="132">
        <v>0.44791666666666669</v>
      </c>
      <c r="D634" s="105">
        <v>0.79375000000000007</v>
      </c>
      <c r="F634">
        <v>2888</v>
      </c>
    </row>
    <row r="635" spans="1:6" x14ac:dyDescent="0.25">
      <c r="A635">
        <v>7603</v>
      </c>
      <c r="B635" s="15">
        <v>45064</v>
      </c>
      <c r="C635" s="107"/>
      <c r="D635" s="107"/>
      <c r="F635">
        <v>2889</v>
      </c>
    </row>
    <row r="636" spans="1:6" x14ac:dyDescent="0.25">
      <c r="A636">
        <v>7603</v>
      </c>
      <c r="B636" s="15">
        <v>45065</v>
      </c>
      <c r="C636" s="104" t="s">
        <v>2</v>
      </c>
      <c r="D636" s="104" t="s">
        <v>2</v>
      </c>
      <c r="F636">
        <v>2890</v>
      </c>
    </row>
    <row r="637" spans="1:6" x14ac:dyDescent="0.25">
      <c r="A637">
        <v>7603</v>
      </c>
      <c r="B637" s="15">
        <v>45066</v>
      </c>
      <c r="C637" s="133"/>
      <c r="D637" s="133"/>
      <c r="F637">
        <v>2891</v>
      </c>
    </row>
    <row r="638" spans="1:6" x14ac:dyDescent="0.25">
      <c r="A638">
        <v>7603</v>
      </c>
      <c r="B638" s="15">
        <v>45067</v>
      </c>
      <c r="C638" s="133"/>
      <c r="D638" s="133"/>
      <c r="F638">
        <v>2892</v>
      </c>
    </row>
    <row r="639" spans="1:6" x14ac:dyDescent="0.25">
      <c r="A639">
        <v>7603</v>
      </c>
      <c r="B639" s="15">
        <v>45068</v>
      </c>
      <c r="C639" s="132">
        <v>0.44791666666666669</v>
      </c>
      <c r="D639" s="105">
        <v>0.79375000000000007</v>
      </c>
      <c r="F639">
        <v>2893</v>
      </c>
    </row>
    <row r="640" spans="1:6" x14ac:dyDescent="0.25">
      <c r="A640">
        <v>7603</v>
      </c>
      <c r="B640" s="15">
        <v>45069</v>
      </c>
      <c r="C640" s="105">
        <v>0.35416666666666669</v>
      </c>
      <c r="D640" s="106">
        <v>0.70000000000000007</v>
      </c>
      <c r="F640">
        <v>2894</v>
      </c>
    </row>
    <row r="641" spans="1:6" x14ac:dyDescent="0.25">
      <c r="A641">
        <v>7603</v>
      </c>
      <c r="B641" s="15">
        <v>45070</v>
      </c>
      <c r="C641" s="105">
        <v>0.35416666666666669</v>
      </c>
      <c r="D641" s="108">
        <v>0.72083333333333333</v>
      </c>
      <c r="F641">
        <v>2895</v>
      </c>
    </row>
    <row r="642" spans="1:6" x14ac:dyDescent="0.25">
      <c r="A642">
        <v>7603</v>
      </c>
      <c r="B642" s="15">
        <v>45071</v>
      </c>
      <c r="C642" s="105">
        <v>0.35416666666666669</v>
      </c>
      <c r="D642" s="106">
        <v>0.70000000000000007</v>
      </c>
      <c r="F642">
        <v>2896</v>
      </c>
    </row>
    <row r="643" spans="1:6" x14ac:dyDescent="0.25">
      <c r="A643">
        <v>7603</v>
      </c>
      <c r="B643" s="15">
        <v>45072</v>
      </c>
      <c r="C643" s="106">
        <v>0.375</v>
      </c>
      <c r="D643" s="108">
        <v>0.72083333333333333</v>
      </c>
      <c r="F643">
        <v>2897</v>
      </c>
    </row>
    <row r="644" spans="1:6" x14ac:dyDescent="0.25">
      <c r="A644">
        <v>7603</v>
      </c>
      <c r="B644" s="15">
        <v>45073</v>
      </c>
      <c r="C644" s="133"/>
      <c r="D644" s="133"/>
      <c r="F644">
        <v>2898</v>
      </c>
    </row>
    <row r="645" spans="1:6" x14ac:dyDescent="0.25">
      <c r="A645">
        <v>7603</v>
      </c>
      <c r="B645" s="15">
        <v>45074</v>
      </c>
      <c r="C645" s="133"/>
      <c r="D645" s="133"/>
      <c r="F645">
        <v>2899</v>
      </c>
    </row>
    <row r="646" spans="1:6" x14ac:dyDescent="0.25">
      <c r="A646">
        <v>7603</v>
      </c>
      <c r="B646" s="15">
        <v>45075</v>
      </c>
      <c r="C646" s="133"/>
      <c r="D646" s="133"/>
      <c r="F646">
        <v>2900</v>
      </c>
    </row>
    <row r="647" spans="1:6" x14ac:dyDescent="0.25">
      <c r="A647">
        <v>7603</v>
      </c>
      <c r="B647" s="15">
        <v>45076</v>
      </c>
      <c r="C647" s="105">
        <v>0.35416666666666669</v>
      </c>
      <c r="D647" s="106">
        <v>0.70000000000000007</v>
      </c>
      <c r="F647">
        <v>2901</v>
      </c>
    </row>
    <row r="648" spans="1:6" x14ac:dyDescent="0.25">
      <c r="A648">
        <v>7603</v>
      </c>
      <c r="B648" s="15">
        <v>45077</v>
      </c>
      <c r="C648" s="106">
        <v>0.375</v>
      </c>
      <c r="D648" s="108">
        <v>0.72083333333333333</v>
      </c>
      <c r="F648">
        <v>2902</v>
      </c>
    </row>
    <row r="649" spans="1:6" x14ac:dyDescent="0.25">
      <c r="A649">
        <v>7603</v>
      </c>
      <c r="B649" s="15">
        <v>45078</v>
      </c>
      <c r="C649" s="105">
        <v>0.35416666666666669</v>
      </c>
      <c r="D649" s="106">
        <v>0.70000000000000007</v>
      </c>
      <c r="F649">
        <v>2903</v>
      </c>
    </row>
    <row r="650" spans="1:6" x14ac:dyDescent="0.25">
      <c r="A650">
        <v>7603</v>
      </c>
      <c r="B650" s="15">
        <v>45079</v>
      </c>
      <c r="C650" s="104" t="s">
        <v>2</v>
      </c>
      <c r="D650" s="104" t="s">
        <v>2</v>
      </c>
      <c r="F650">
        <v>2904</v>
      </c>
    </row>
    <row r="651" spans="1:6" x14ac:dyDescent="0.25">
      <c r="A651">
        <v>7603</v>
      </c>
      <c r="B651" s="15">
        <v>45080</v>
      </c>
      <c r="C651" s="133"/>
      <c r="D651" s="133"/>
      <c r="F651">
        <v>2905</v>
      </c>
    </row>
    <row r="652" spans="1:6" x14ac:dyDescent="0.25">
      <c r="A652">
        <v>7603</v>
      </c>
      <c r="B652" s="15">
        <v>45081</v>
      </c>
      <c r="C652" s="133"/>
      <c r="D652" s="133"/>
      <c r="F652">
        <v>2906</v>
      </c>
    </row>
    <row r="653" spans="1:6" x14ac:dyDescent="0.25">
      <c r="A653">
        <v>7603</v>
      </c>
      <c r="B653" s="15">
        <v>45082</v>
      </c>
      <c r="C653" s="111" t="s">
        <v>1</v>
      </c>
      <c r="D653" s="111">
        <v>0.79375000000000007</v>
      </c>
      <c r="F653">
        <v>2907</v>
      </c>
    </row>
    <row r="654" spans="1:6" x14ac:dyDescent="0.25">
      <c r="A654">
        <v>7603</v>
      </c>
      <c r="B654" s="15">
        <v>45083</v>
      </c>
      <c r="C654" s="111" t="s">
        <v>1</v>
      </c>
      <c r="D654" s="111" t="s">
        <v>1</v>
      </c>
      <c r="F654">
        <v>2908</v>
      </c>
    </row>
    <row r="655" spans="1:6" x14ac:dyDescent="0.25">
      <c r="A655">
        <v>7603</v>
      </c>
      <c r="B655" s="15">
        <v>45084</v>
      </c>
      <c r="C655" s="111" t="s">
        <v>1</v>
      </c>
      <c r="D655" s="111" t="s">
        <v>1</v>
      </c>
      <c r="F655">
        <v>2909</v>
      </c>
    </row>
    <row r="656" spans="1:6" x14ac:dyDescent="0.25">
      <c r="A656">
        <v>7603</v>
      </c>
      <c r="B656" s="15">
        <v>45085</v>
      </c>
      <c r="C656" s="111" t="s">
        <v>1</v>
      </c>
      <c r="D656" s="111" t="s">
        <v>1</v>
      </c>
      <c r="F656">
        <v>2910</v>
      </c>
    </row>
    <row r="657" spans="1:6" x14ac:dyDescent="0.25">
      <c r="A657">
        <v>7603</v>
      </c>
      <c r="B657" s="15">
        <v>45086</v>
      </c>
      <c r="C657" s="111" t="s">
        <v>1</v>
      </c>
      <c r="D657" s="111" t="s">
        <v>1</v>
      </c>
      <c r="F657">
        <v>2911</v>
      </c>
    </row>
    <row r="658" spans="1:6" x14ac:dyDescent="0.25">
      <c r="A658">
        <v>7603</v>
      </c>
      <c r="B658" s="15">
        <v>45087</v>
      </c>
      <c r="C658" s="133"/>
      <c r="D658" s="133"/>
      <c r="F658">
        <v>2912</v>
      </c>
    </row>
    <row r="659" spans="1:6" x14ac:dyDescent="0.25">
      <c r="A659">
        <v>7603</v>
      </c>
      <c r="B659" s="15">
        <v>45088</v>
      </c>
      <c r="C659" s="133"/>
      <c r="D659" s="133"/>
      <c r="F659">
        <v>2913</v>
      </c>
    </row>
    <row r="660" spans="1:6" x14ac:dyDescent="0.25">
      <c r="A660">
        <v>7603</v>
      </c>
      <c r="B660" s="15">
        <v>45089</v>
      </c>
      <c r="C660" s="111" t="s">
        <v>1</v>
      </c>
      <c r="D660" s="111" t="s">
        <v>1</v>
      </c>
      <c r="F660">
        <v>2914</v>
      </c>
    </row>
    <row r="661" spans="1:6" x14ac:dyDescent="0.25">
      <c r="A661">
        <v>7603</v>
      </c>
      <c r="B661" s="15">
        <v>45090</v>
      </c>
      <c r="C661" s="111" t="s">
        <v>1</v>
      </c>
      <c r="D661" s="111" t="s">
        <v>1</v>
      </c>
      <c r="F661">
        <v>2915</v>
      </c>
    </row>
    <row r="662" spans="1:6" x14ac:dyDescent="0.25">
      <c r="A662">
        <v>7603</v>
      </c>
      <c r="B662" s="15">
        <v>45091</v>
      </c>
      <c r="C662" s="111" t="s">
        <v>1</v>
      </c>
      <c r="D662" s="111" t="s">
        <v>1</v>
      </c>
      <c r="F662">
        <v>2916</v>
      </c>
    </row>
    <row r="663" spans="1:6" x14ac:dyDescent="0.25">
      <c r="A663">
        <v>7603</v>
      </c>
      <c r="B663" s="15">
        <v>45092</v>
      </c>
      <c r="C663" s="111" t="s">
        <v>1</v>
      </c>
      <c r="D663" s="111" t="s">
        <v>1</v>
      </c>
      <c r="F663">
        <v>2917</v>
      </c>
    </row>
    <row r="664" spans="1:6" x14ac:dyDescent="0.25">
      <c r="A664">
        <v>7603</v>
      </c>
      <c r="B664" s="15">
        <v>45093</v>
      </c>
      <c r="C664" s="111" t="s">
        <v>1</v>
      </c>
      <c r="D664" s="111" t="s">
        <v>1</v>
      </c>
      <c r="F664">
        <v>2918</v>
      </c>
    </row>
    <row r="665" spans="1:6" x14ac:dyDescent="0.25">
      <c r="A665">
        <v>7603</v>
      </c>
      <c r="B665" s="15">
        <v>45094</v>
      </c>
      <c r="C665" s="133"/>
      <c r="D665" s="133"/>
      <c r="F665">
        <v>2919</v>
      </c>
    </row>
    <row r="666" spans="1:6" x14ac:dyDescent="0.25">
      <c r="A666">
        <v>7603</v>
      </c>
      <c r="B666" s="15">
        <v>45095</v>
      </c>
      <c r="C666" s="133"/>
      <c r="D666" s="133"/>
      <c r="F666">
        <v>2920</v>
      </c>
    </row>
    <row r="667" spans="1:6" x14ac:dyDescent="0.25">
      <c r="A667">
        <v>7603</v>
      </c>
      <c r="B667" s="15">
        <v>45096</v>
      </c>
      <c r="C667" s="111" t="s">
        <v>1</v>
      </c>
      <c r="D667" s="111" t="s">
        <v>1</v>
      </c>
      <c r="F667">
        <v>2921</v>
      </c>
    </row>
    <row r="668" spans="1:6" x14ac:dyDescent="0.25">
      <c r="A668">
        <v>7603</v>
      </c>
      <c r="B668" s="15">
        <v>45097</v>
      </c>
      <c r="C668" s="111" t="s">
        <v>1</v>
      </c>
      <c r="D668" s="111" t="s">
        <v>1</v>
      </c>
      <c r="F668">
        <v>2922</v>
      </c>
    </row>
    <row r="669" spans="1:6" x14ac:dyDescent="0.25">
      <c r="A669">
        <v>7603</v>
      </c>
      <c r="B669" s="15">
        <v>45098</v>
      </c>
      <c r="C669" s="111" t="s">
        <v>1</v>
      </c>
      <c r="D669" s="111" t="s">
        <v>1</v>
      </c>
      <c r="F669">
        <v>2923</v>
      </c>
    </row>
    <row r="670" spans="1:6" x14ac:dyDescent="0.25">
      <c r="A670">
        <v>7603</v>
      </c>
      <c r="B670" s="15">
        <v>45099</v>
      </c>
      <c r="C670" s="111" t="s">
        <v>1</v>
      </c>
      <c r="D670" s="111" t="s">
        <v>1</v>
      </c>
      <c r="F670">
        <v>2924</v>
      </c>
    </row>
    <row r="671" spans="1:6" x14ac:dyDescent="0.25">
      <c r="A671">
        <v>7603</v>
      </c>
      <c r="B671" s="15">
        <v>45100</v>
      </c>
      <c r="C671" s="111" t="s">
        <v>1</v>
      </c>
      <c r="D671" s="111" t="s">
        <v>1</v>
      </c>
      <c r="F671">
        <v>2925</v>
      </c>
    </row>
    <row r="672" spans="1:6" x14ac:dyDescent="0.25">
      <c r="A672">
        <v>7603</v>
      </c>
      <c r="B672" s="15">
        <v>45101</v>
      </c>
      <c r="C672" s="111" t="s">
        <v>1</v>
      </c>
      <c r="D672" s="133"/>
      <c r="F672">
        <v>2926</v>
      </c>
    </row>
    <row r="673" spans="1:6" x14ac:dyDescent="0.25">
      <c r="A673">
        <v>7603</v>
      </c>
      <c r="B673" s="15">
        <v>45102</v>
      </c>
      <c r="C673" s="133"/>
      <c r="D673" s="133"/>
      <c r="F673">
        <v>2927</v>
      </c>
    </row>
    <row r="674" spans="1:6" x14ac:dyDescent="0.25">
      <c r="A674">
        <v>7603</v>
      </c>
      <c r="B674" s="15">
        <v>45103</v>
      </c>
      <c r="C674" s="111" t="s">
        <v>1</v>
      </c>
      <c r="D674" s="111" t="s">
        <v>1</v>
      </c>
      <c r="F674">
        <v>2928</v>
      </c>
    </row>
    <row r="675" spans="1:6" x14ac:dyDescent="0.25">
      <c r="A675">
        <v>7603</v>
      </c>
      <c r="B675" s="15">
        <v>45104</v>
      </c>
      <c r="C675" s="111" t="s">
        <v>1</v>
      </c>
      <c r="D675" s="111" t="s">
        <v>1</v>
      </c>
      <c r="F675">
        <v>2929</v>
      </c>
    </row>
    <row r="676" spans="1:6" x14ac:dyDescent="0.25">
      <c r="A676">
        <v>7603</v>
      </c>
      <c r="B676" s="15">
        <v>45105</v>
      </c>
      <c r="C676" s="111" t="s">
        <v>1</v>
      </c>
      <c r="D676" s="111" t="s">
        <v>1</v>
      </c>
      <c r="F676">
        <v>2930</v>
      </c>
    </row>
    <row r="677" spans="1:6" x14ac:dyDescent="0.25">
      <c r="A677">
        <v>7603</v>
      </c>
      <c r="B677" s="15">
        <v>45106</v>
      </c>
      <c r="C677" s="111" t="s">
        <v>1</v>
      </c>
      <c r="D677" s="111" t="s">
        <v>1</v>
      </c>
      <c r="F677">
        <v>2931</v>
      </c>
    </row>
    <row r="678" spans="1:6" x14ac:dyDescent="0.25">
      <c r="A678">
        <v>7603</v>
      </c>
      <c r="B678" s="15">
        <v>45107</v>
      </c>
      <c r="C678" s="111" t="s">
        <v>1</v>
      </c>
      <c r="D678" s="111" t="s">
        <v>1</v>
      </c>
      <c r="F678">
        <v>2932</v>
      </c>
    </row>
    <row r="679" spans="1:6" x14ac:dyDescent="0.25">
      <c r="A679">
        <v>7603</v>
      </c>
      <c r="B679" s="15">
        <v>45108</v>
      </c>
      <c r="C679" s="133"/>
      <c r="D679" s="133"/>
      <c r="F679">
        <v>2933</v>
      </c>
    </row>
    <row r="680" spans="1:6" x14ac:dyDescent="0.25">
      <c r="A680">
        <v>7603</v>
      </c>
      <c r="B680" s="15">
        <v>45109</v>
      </c>
      <c r="C680" s="133"/>
      <c r="D680" s="133"/>
      <c r="F680">
        <v>2934</v>
      </c>
    </row>
    <row r="681" spans="1:6" x14ac:dyDescent="0.25">
      <c r="A681">
        <v>7603</v>
      </c>
      <c r="B681" s="15">
        <v>45110</v>
      </c>
      <c r="C681" s="111" t="s">
        <v>1</v>
      </c>
      <c r="D681" s="111" t="s">
        <v>1</v>
      </c>
      <c r="F681">
        <v>2935</v>
      </c>
    </row>
    <row r="682" spans="1:6" x14ac:dyDescent="0.25">
      <c r="A682">
        <v>7603</v>
      </c>
      <c r="B682" s="15">
        <v>45111</v>
      </c>
      <c r="C682" s="105" t="s">
        <v>1</v>
      </c>
      <c r="D682" s="111" t="s">
        <v>1</v>
      </c>
      <c r="F682">
        <v>2936</v>
      </c>
    </row>
    <row r="683" spans="1:6" x14ac:dyDescent="0.25">
      <c r="A683">
        <v>7603</v>
      </c>
      <c r="B683" s="15">
        <v>45112</v>
      </c>
      <c r="C683" s="105" t="s">
        <v>1</v>
      </c>
      <c r="D683" s="111" t="s">
        <v>1</v>
      </c>
      <c r="F683">
        <v>2937</v>
      </c>
    </row>
    <row r="684" spans="1:6" x14ac:dyDescent="0.25">
      <c r="A684">
        <v>7603</v>
      </c>
      <c r="B684" s="15">
        <v>45113</v>
      </c>
      <c r="C684" s="111" t="s">
        <v>1</v>
      </c>
      <c r="D684" s="111" t="s">
        <v>1</v>
      </c>
      <c r="F684">
        <v>2938</v>
      </c>
    </row>
    <row r="685" spans="1:6" x14ac:dyDescent="0.25">
      <c r="A685">
        <v>7603</v>
      </c>
      <c r="B685" s="15">
        <v>45114</v>
      </c>
      <c r="C685" s="105" t="s">
        <v>1</v>
      </c>
      <c r="D685" s="111" t="s">
        <v>1</v>
      </c>
      <c r="F685">
        <v>2939</v>
      </c>
    </row>
    <row r="686" spans="1:6" x14ac:dyDescent="0.25">
      <c r="A686">
        <v>7603</v>
      </c>
      <c r="B686" s="15">
        <v>45115</v>
      </c>
      <c r="C686" s="133"/>
      <c r="D686" s="133"/>
      <c r="F686">
        <v>2940</v>
      </c>
    </row>
    <row r="687" spans="1:6" x14ac:dyDescent="0.25">
      <c r="A687">
        <v>7603</v>
      </c>
      <c r="B687" s="15">
        <v>45116</v>
      </c>
      <c r="C687" s="133"/>
      <c r="D687" s="133"/>
      <c r="F687">
        <v>2941</v>
      </c>
    </row>
    <row r="688" spans="1:6" x14ac:dyDescent="0.25">
      <c r="A688">
        <v>7603</v>
      </c>
      <c r="B688" s="15">
        <v>45117</v>
      </c>
      <c r="C688" s="111" t="s">
        <v>1</v>
      </c>
      <c r="D688" s="111" t="s">
        <v>1</v>
      </c>
      <c r="F688">
        <v>2942</v>
      </c>
    </row>
    <row r="689" spans="1:6" x14ac:dyDescent="0.25">
      <c r="A689">
        <v>7603</v>
      </c>
      <c r="B689" s="15">
        <v>45118</v>
      </c>
      <c r="C689" s="111" t="s">
        <v>1</v>
      </c>
      <c r="D689" s="111" t="s">
        <v>1</v>
      </c>
      <c r="F689">
        <v>2943</v>
      </c>
    </row>
    <row r="690" spans="1:6" x14ac:dyDescent="0.25">
      <c r="A690">
        <v>7603</v>
      </c>
      <c r="B690" s="15">
        <v>45119</v>
      </c>
      <c r="C690" s="111" t="s">
        <v>1</v>
      </c>
      <c r="D690" s="111" t="s">
        <v>1</v>
      </c>
      <c r="F690">
        <v>2944</v>
      </c>
    </row>
    <row r="691" spans="1:6" x14ac:dyDescent="0.25">
      <c r="A691">
        <v>7603</v>
      </c>
      <c r="B691" s="15">
        <v>45120</v>
      </c>
      <c r="C691" s="111" t="s">
        <v>1</v>
      </c>
      <c r="D691" s="111" t="s">
        <v>1</v>
      </c>
      <c r="F691">
        <v>2945</v>
      </c>
    </row>
    <row r="692" spans="1:6" x14ac:dyDescent="0.25">
      <c r="A692">
        <v>7603</v>
      </c>
      <c r="B692" s="15">
        <v>45121</v>
      </c>
      <c r="C692" s="107"/>
      <c r="D692" s="107"/>
      <c r="F692">
        <v>2946</v>
      </c>
    </row>
    <row r="693" spans="1:6" x14ac:dyDescent="0.25">
      <c r="A693">
        <v>7603</v>
      </c>
      <c r="B693" s="15">
        <v>45122</v>
      </c>
      <c r="C693" s="133"/>
      <c r="D693" s="133"/>
      <c r="F693">
        <v>2947</v>
      </c>
    </row>
    <row r="694" spans="1:6" x14ac:dyDescent="0.25">
      <c r="A694">
        <v>7603</v>
      </c>
      <c r="B694" s="15">
        <v>45123</v>
      </c>
      <c r="C694" s="133"/>
      <c r="D694" s="133"/>
      <c r="F694">
        <v>2948</v>
      </c>
    </row>
    <row r="695" spans="1:6" x14ac:dyDescent="0.25">
      <c r="A695">
        <v>7603</v>
      </c>
      <c r="B695" s="15">
        <v>45124</v>
      </c>
      <c r="C695" s="111" t="s">
        <v>1</v>
      </c>
      <c r="D695" s="111" t="s">
        <v>1</v>
      </c>
      <c r="F695">
        <v>2949</v>
      </c>
    </row>
    <row r="696" spans="1:6" x14ac:dyDescent="0.25">
      <c r="A696">
        <v>7603</v>
      </c>
      <c r="B696" s="15">
        <v>45125</v>
      </c>
      <c r="C696" s="111" t="s">
        <v>1</v>
      </c>
      <c r="D696" s="111" t="s">
        <v>1</v>
      </c>
      <c r="F696">
        <v>2950</v>
      </c>
    </row>
    <row r="697" spans="1:6" x14ac:dyDescent="0.25">
      <c r="A697">
        <v>7603</v>
      </c>
      <c r="B697" s="15">
        <v>45126</v>
      </c>
      <c r="C697" s="111" t="s">
        <v>1</v>
      </c>
      <c r="D697" s="111" t="s">
        <v>1</v>
      </c>
      <c r="F697">
        <v>2951</v>
      </c>
    </row>
    <row r="698" spans="1:6" x14ac:dyDescent="0.25">
      <c r="A698">
        <v>7603</v>
      </c>
      <c r="B698" s="15">
        <v>45127</v>
      </c>
      <c r="C698" s="111" t="s">
        <v>1</v>
      </c>
      <c r="D698" s="111" t="s">
        <v>1</v>
      </c>
      <c r="F698">
        <v>2952</v>
      </c>
    </row>
    <row r="699" spans="1:6" x14ac:dyDescent="0.25">
      <c r="A699">
        <v>7603</v>
      </c>
      <c r="B699" s="15">
        <v>45128</v>
      </c>
      <c r="C699" s="111" t="s">
        <v>1</v>
      </c>
      <c r="D699" s="111" t="s">
        <v>1</v>
      </c>
      <c r="F699">
        <v>2953</v>
      </c>
    </row>
    <row r="700" spans="1:6" x14ac:dyDescent="0.25">
      <c r="A700">
        <v>7603</v>
      </c>
      <c r="B700" s="15">
        <v>45129</v>
      </c>
      <c r="C700" s="133"/>
      <c r="D700" s="133"/>
      <c r="F700">
        <v>2954</v>
      </c>
    </row>
    <row r="701" spans="1:6" x14ac:dyDescent="0.25">
      <c r="A701">
        <v>7603</v>
      </c>
      <c r="B701" s="15">
        <v>45130</v>
      </c>
      <c r="C701" s="133"/>
      <c r="D701" s="133"/>
      <c r="F701">
        <v>2955</v>
      </c>
    </row>
    <row r="702" spans="1:6" x14ac:dyDescent="0.25">
      <c r="A702">
        <v>7603</v>
      </c>
      <c r="B702" s="15">
        <v>45131</v>
      </c>
      <c r="C702" s="105" t="s">
        <v>1</v>
      </c>
      <c r="D702" s="111" t="s">
        <v>1</v>
      </c>
      <c r="F702">
        <v>2956</v>
      </c>
    </row>
    <row r="703" spans="1:6" x14ac:dyDescent="0.25">
      <c r="A703">
        <v>7603</v>
      </c>
      <c r="B703" s="15">
        <v>45132</v>
      </c>
      <c r="C703" s="105" t="s">
        <v>1</v>
      </c>
      <c r="D703" s="111" t="s">
        <v>1</v>
      </c>
      <c r="F703">
        <v>2957</v>
      </c>
    </row>
    <row r="704" spans="1:6" x14ac:dyDescent="0.25">
      <c r="A704">
        <v>7603</v>
      </c>
      <c r="B704" s="15">
        <v>45133</v>
      </c>
      <c r="C704" s="111" t="s">
        <v>1</v>
      </c>
      <c r="D704" s="105" t="s">
        <v>1</v>
      </c>
      <c r="F704">
        <v>2958</v>
      </c>
    </row>
    <row r="705" spans="1:6" x14ac:dyDescent="0.25">
      <c r="A705">
        <v>7603</v>
      </c>
      <c r="B705" s="15">
        <v>45134</v>
      </c>
      <c r="C705" s="111" t="s">
        <v>1</v>
      </c>
      <c r="D705" s="111" t="s">
        <v>1</v>
      </c>
      <c r="F705">
        <v>2959</v>
      </c>
    </row>
    <row r="706" spans="1:6" x14ac:dyDescent="0.25">
      <c r="A706">
        <v>7603</v>
      </c>
      <c r="B706" s="15">
        <v>45135</v>
      </c>
      <c r="C706" s="105" t="s">
        <v>1</v>
      </c>
      <c r="D706" s="111" t="s">
        <v>1</v>
      </c>
      <c r="F706">
        <v>2960</v>
      </c>
    </row>
    <row r="707" spans="1:6" x14ac:dyDescent="0.25">
      <c r="A707">
        <v>7603</v>
      </c>
      <c r="B707" s="15">
        <v>45136</v>
      </c>
      <c r="C707" s="133"/>
      <c r="D707" s="133"/>
      <c r="F707">
        <v>2961</v>
      </c>
    </row>
    <row r="708" spans="1:6" x14ac:dyDescent="0.25">
      <c r="A708">
        <v>7603</v>
      </c>
      <c r="B708" s="15">
        <v>45137</v>
      </c>
      <c r="C708" s="133"/>
      <c r="D708" s="133"/>
      <c r="F708">
        <v>2962</v>
      </c>
    </row>
    <row r="709" spans="1:6" x14ac:dyDescent="0.25">
      <c r="A709">
        <v>7603</v>
      </c>
      <c r="B709" s="15">
        <v>45138</v>
      </c>
      <c r="C709" s="111" t="s">
        <v>1</v>
      </c>
      <c r="D709" s="105" t="s">
        <v>1</v>
      </c>
      <c r="F709">
        <v>2963</v>
      </c>
    </row>
    <row r="710" spans="1:6" x14ac:dyDescent="0.25">
      <c r="A710">
        <v>7603</v>
      </c>
      <c r="B710" s="15">
        <v>45139</v>
      </c>
      <c r="C710" s="111" t="s">
        <v>1</v>
      </c>
      <c r="D710" s="111" t="s">
        <v>1</v>
      </c>
      <c r="F710">
        <v>2964</v>
      </c>
    </row>
    <row r="711" spans="1:6" x14ac:dyDescent="0.25">
      <c r="A711">
        <v>7603</v>
      </c>
      <c r="B711" s="15">
        <v>45140</v>
      </c>
      <c r="C711" s="105" t="s">
        <v>1</v>
      </c>
      <c r="D711" s="111" t="s">
        <v>1</v>
      </c>
      <c r="F711">
        <v>2965</v>
      </c>
    </row>
    <row r="712" spans="1:6" x14ac:dyDescent="0.25">
      <c r="A712">
        <v>7603</v>
      </c>
      <c r="B712" s="15">
        <v>45141</v>
      </c>
      <c r="C712" s="111" t="s">
        <v>1</v>
      </c>
      <c r="D712" s="111" t="s">
        <v>1</v>
      </c>
      <c r="F712">
        <v>2966</v>
      </c>
    </row>
    <row r="713" spans="1:6" x14ac:dyDescent="0.25">
      <c r="A713">
        <v>7603</v>
      </c>
      <c r="B713" s="15">
        <v>45142</v>
      </c>
      <c r="C713" s="111" t="s">
        <v>1</v>
      </c>
      <c r="D713" s="111" t="s">
        <v>1</v>
      </c>
      <c r="F713">
        <v>2967</v>
      </c>
    </row>
    <row r="714" spans="1:6" x14ac:dyDescent="0.25">
      <c r="A714">
        <v>7603</v>
      </c>
      <c r="B714" s="15">
        <v>45143</v>
      </c>
      <c r="C714" s="133"/>
      <c r="D714" s="133"/>
      <c r="F714">
        <v>2968</v>
      </c>
    </row>
    <row r="715" spans="1:6" x14ac:dyDescent="0.25">
      <c r="A715">
        <v>7603</v>
      </c>
      <c r="B715" s="15">
        <v>45144</v>
      </c>
      <c r="C715" s="133"/>
      <c r="D715" s="133"/>
      <c r="F715">
        <v>2969</v>
      </c>
    </row>
    <row r="716" spans="1:6" x14ac:dyDescent="0.25">
      <c r="A716">
        <v>7603</v>
      </c>
      <c r="B716" s="15">
        <v>45145</v>
      </c>
      <c r="C716" s="105" t="s">
        <v>1</v>
      </c>
      <c r="D716" s="111" t="s">
        <v>1</v>
      </c>
      <c r="F716">
        <v>2970</v>
      </c>
    </row>
    <row r="717" spans="1:6" x14ac:dyDescent="0.25">
      <c r="A717">
        <v>7603</v>
      </c>
      <c r="B717" s="15">
        <v>45146</v>
      </c>
      <c r="C717" s="111" t="s">
        <v>1</v>
      </c>
      <c r="D717" s="111" t="s">
        <v>1</v>
      </c>
      <c r="F717">
        <v>2971</v>
      </c>
    </row>
    <row r="718" spans="1:6" x14ac:dyDescent="0.25">
      <c r="A718">
        <v>7603</v>
      </c>
      <c r="B718" s="15">
        <v>45147</v>
      </c>
      <c r="C718" s="111" t="s">
        <v>1</v>
      </c>
      <c r="D718" s="111" t="s">
        <v>1</v>
      </c>
      <c r="F718">
        <v>2972</v>
      </c>
    </row>
    <row r="719" spans="1:6" x14ac:dyDescent="0.25">
      <c r="A719">
        <v>7603</v>
      </c>
      <c r="B719" s="15">
        <v>45148</v>
      </c>
      <c r="C719" s="111" t="s">
        <v>1</v>
      </c>
      <c r="D719" s="111" t="s">
        <v>1</v>
      </c>
      <c r="F719">
        <v>2973</v>
      </c>
    </row>
    <row r="720" spans="1:6" x14ac:dyDescent="0.25">
      <c r="A720">
        <v>7603</v>
      </c>
      <c r="B720" s="15">
        <v>45149</v>
      </c>
      <c r="C720" s="105" t="s">
        <v>1</v>
      </c>
      <c r="D720" s="111" t="s">
        <v>1</v>
      </c>
      <c r="F720">
        <v>2974</v>
      </c>
    </row>
    <row r="721" spans="1:6" x14ac:dyDescent="0.25">
      <c r="A721">
        <v>7603</v>
      </c>
      <c r="B721" s="15">
        <v>45150</v>
      </c>
      <c r="C721" s="133"/>
      <c r="D721" s="133"/>
      <c r="F721">
        <v>2975</v>
      </c>
    </row>
    <row r="722" spans="1:6" x14ac:dyDescent="0.25">
      <c r="A722">
        <v>7603</v>
      </c>
      <c r="B722" s="15">
        <v>45151</v>
      </c>
      <c r="C722" s="133"/>
      <c r="D722" s="133"/>
      <c r="F722">
        <v>2976</v>
      </c>
    </row>
    <row r="723" spans="1:6" x14ac:dyDescent="0.25">
      <c r="A723">
        <v>7603</v>
      </c>
      <c r="B723" s="15">
        <v>45152</v>
      </c>
      <c r="C723" s="111" t="s">
        <v>1</v>
      </c>
      <c r="D723" s="111" t="s">
        <v>1</v>
      </c>
      <c r="F723">
        <v>2977</v>
      </c>
    </row>
    <row r="724" spans="1:6" x14ac:dyDescent="0.25">
      <c r="A724">
        <v>7603</v>
      </c>
      <c r="B724" s="15">
        <v>45153</v>
      </c>
      <c r="C724" s="107"/>
      <c r="D724" s="107"/>
      <c r="F724">
        <v>2978</v>
      </c>
    </row>
    <row r="725" spans="1:6" x14ac:dyDescent="0.25">
      <c r="A725">
        <v>7603</v>
      </c>
      <c r="B725" s="15">
        <v>45154</v>
      </c>
      <c r="C725" s="111" t="s">
        <v>1</v>
      </c>
      <c r="D725" s="111" t="s">
        <v>1</v>
      </c>
      <c r="F725">
        <v>2979</v>
      </c>
    </row>
    <row r="726" spans="1:6" x14ac:dyDescent="0.25">
      <c r="A726">
        <v>7603</v>
      </c>
      <c r="B726" s="15">
        <v>45155</v>
      </c>
      <c r="C726" s="111" t="s">
        <v>1</v>
      </c>
      <c r="D726" s="111" t="s">
        <v>1</v>
      </c>
      <c r="F726">
        <v>2980</v>
      </c>
    </row>
    <row r="727" spans="1:6" x14ac:dyDescent="0.25">
      <c r="A727">
        <v>7603</v>
      </c>
      <c r="B727" s="15">
        <v>45156</v>
      </c>
      <c r="C727" s="111" t="s">
        <v>1</v>
      </c>
      <c r="D727" s="111" t="s">
        <v>1</v>
      </c>
      <c r="F727">
        <v>2981</v>
      </c>
    </row>
    <row r="728" spans="1:6" x14ac:dyDescent="0.25">
      <c r="A728">
        <v>7603</v>
      </c>
      <c r="B728" s="15">
        <v>45157</v>
      </c>
      <c r="C728" s="133"/>
      <c r="D728" s="133"/>
      <c r="F728">
        <v>2982</v>
      </c>
    </row>
    <row r="729" spans="1:6" x14ac:dyDescent="0.25">
      <c r="A729">
        <v>7603</v>
      </c>
      <c r="B729" s="15">
        <v>45158</v>
      </c>
      <c r="C729" s="133"/>
      <c r="D729" s="133"/>
      <c r="F729">
        <v>2983</v>
      </c>
    </row>
    <row r="730" spans="1:6" x14ac:dyDescent="0.25">
      <c r="A730">
        <v>7603</v>
      </c>
      <c r="B730" s="15">
        <v>45159</v>
      </c>
      <c r="C730" s="105" t="s">
        <v>1</v>
      </c>
      <c r="D730" s="111" t="s">
        <v>1</v>
      </c>
      <c r="F730">
        <v>2984</v>
      </c>
    </row>
    <row r="731" spans="1:6" x14ac:dyDescent="0.25">
      <c r="A731">
        <v>7603</v>
      </c>
      <c r="B731" s="15">
        <v>45160</v>
      </c>
      <c r="C731" s="111" t="s">
        <v>1</v>
      </c>
      <c r="D731" s="111" t="s">
        <v>1</v>
      </c>
      <c r="F731">
        <v>2985</v>
      </c>
    </row>
    <row r="732" spans="1:6" x14ac:dyDescent="0.25">
      <c r="A732">
        <v>7603</v>
      </c>
      <c r="B732" s="15">
        <v>45161</v>
      </c>
      <c r="C732" s="132" t="s">
        <v>1</v>
      </c>
      <c r="D732" s="105" t="s">
        <v>1</v>
      </c>
      <c r="F732">
        <v>2986</v>
      </c>
    </row>
    <row r="733" spans="1:6" x14ac:dyDescent="0.25">
      <c r="A733">
        <v>7603</v>
      </c>
      <c r="B733" s="15">
        <v>45162</v>
      </c>
      <c r="C733" s="105" t="s">
        <v>1</v>
      </c>
      <c r="D733" s="111" t="s">
        <v>1</v>
      </c>
      <c r="F733">
        <v>2987</v>
      </c>
    </row>
    <row r="734" spans="1:6" x14ac:dyDescent="0.25">
      <c r="A734">
        <v>7603</v>
      </c>
      <c r="B734" s="15">
        <v>45163</v>
      </c>
      <c r="C734" s="111" t="s">
        <v>1</v>
      </c>
      <c r="D734" s="111" t="s">
        <v>1</v>
      </c>
      <c r="F734">
        <v>2988</v>
      </c>
    </row>
    <row r="735" spans="1:6" x14ac:dyDescent="0.25">
      <c r="A735">
        <v>7603</v>
      </c>
      <c r="B735" s="15">
        <v>45164</v>
      </c>
      <c r="C735" s="133"/>
      <c r="D735" s="133"/>
      <c r="F735">
        <v>2989</v>
      </c>
    </row>
    <row r="736" spans="1:6" x14ac:dyDescent="0.25">
      <c r="A736">
        <v>7603</v>
      </c>
      <c r="B736" s="15">
        <v>45165</v>
      </c>
      <c r="C736" s="133"/>
      <c r="D736" s="133"/>
      <c r="F736">
        <v>2990</v>
      </c>
    </row>
    <row r="737" spans="1:6" x14ac:dyDescent="0.25">
      <c r="A737">
        <v>7603</v>
      </c>
      <c r="B737" s="15">
        <v>45166</v>
      </c>
      <c r="C737" s="132" t="s">
        <v>1</v>
      </c>
      <c r="D737" s="105" t="s">
        <v>1</v>
      </c>
      <c r="F737">
        <v>2991</v>
      </c>
    </row>
    <row r="738" spans="1:6" x14ac:dyDescent="0.25">
      <c r="A738">
        <v>7603</v>
      </c>
      <c r="B738" s="15">
        <v>45167</v>
      </c>
      <c r="C738" s="105" t="s">
        <v>1</v>
      </c>
      <c r="D738" s="111" t="s">
        <v>1</v>
      </c>
      <c r="F738">
        <v>2992</v>
      </c>
    </row>
    <row r="739" spans="1:6" x14ac:dyDescent="0.25">
      <c r="A739">
        <v>7603</v>
      </c>
      <c r="B739" s="15">
        <v>45168</v>
      </c>
      <c r="C739" s="105" t="s">
        <v>171</v>
      </c>
      <c r="D739" s="111" t="s">
        <v>1</v>
      </c>
      <c r="F739">
        <v>2993</v>
      </c>
    </row>
    <row r="740" spans="1:6" x14ac:dyDescent="0.25">
      <c r="A740">
        <v>7603</v>
      </c>
      <c r="B740" s="15">
        <v>45169</v>
      </c>
      <c r="C740" s="132" t="s">
        <v>1</v>
      </c>
      <c r="D740" s="105" t="s">
        <v>1</v>
      </c>
      <c r="F740">
        <v>2994</v>
      </c>
    </row>
    <row r="741" spans="1:6" x14ac:dyDescent="0.25">
      <c r="A741">
        <v>7603</v>
      </c>
      <c r="B741" s="15">
        <v>45170</v>
      </c>
      <c r="C741" s="111" t="s">
        <v>1</v>
      </c>
      <c r="D741" s="111" t="s">
        <v>1</v>
      </c>
      <c r="F741">
        <v>2995</v>
      </c>
    </row>
    <row r="742" spans="1:6" x14ac:dyDescent="0.25">
      <c r="A742">
        <v>7603</v>
      </c>
      <c r="B742" s="15">
        <v>45171</v>
      </c>
      <c r="C742" s="133"/>
      <c r="D742" s="133"/>
      <c r="F742">
        <v>2996</v>
      </c>
    </row>
    <row r="743" spans="1:6" x14ac:dyDescent="0.25">
      <c r="A743">
        <v>7603</v>
      </c>
      <c r="B743" s="15">
        <v>45172</v>
      </c>
      <c r="C743" s="133"/>
      <c r="D743" s="133"/>
      <c r="F743">
        <v>2997</v>
      </c>
    </row>
    <row r="744" spans="1:6" x14ac:dyDescent="0.25">
      <c r="A744">
        <v>7603</v>
      </c>
      <c r="B744" s="15">
        <v>45173</v>
      </c>
      <c r="C744" s="105" t="s">
        <v>1</v>
      </c>
      <c r="D744" s="111" t="s">
        <v>1</v>
      </c>
      <c r="F744">
        <v>2998</v>
      </c>
    </row>
    <row r="745" spans="1:6" x14ac:dyDescent="0.25">
      <c r="A745">
        <v>7603</v>
      </c>
      <c r="B745" s="15">
        <v>45174</v>
      </c>
      <c r="C745" s="111" t="s">
        <v>1</v>
      </c>
      <c r="D745" s="111" t="s">
        <v>1</v>
      </c>
      <c r="F745">
        <v>2999</v>
      </c>
    </row>
    <row r="746" spans="1:6" x14ac:dyDescent="0.25">
      <c r="A746">
        <v>7603</v>
      </c>
      <c r="B746" s="15">
        <v>45175</v>
      </c>
      <c r="C746" s="111" t="s">
        <v>1</v>
      </c>
      <c r="D746" s="111" t="s">
        <v>1</v>
      </c>
      <c r="F746">
        <v>3000</v>
      </c>
    </row>
    <row r="747" spans="1:6" x14ac:dyDescent="0.25">
      <c r="A747">
        <v>7603</v>
      </c>
      <c r="B747" s="15">
        <v>45176</v>
      </c>
      <c r="C747" s="111" t="s">
        <v>1</v>
      </c>
      <c r="D747" s="111" t="s">
        <v>1</v>
      </c>
      <c r="F747">
        <v>3001</v>
      </c>
    </row>
    <row r="748" spans="1:6" x14ac:dyDescent="0.25">
      <c r="A748">
        <v>7603</v>
      </c>
      <c r="B748" s="15">
        <v>45177</v>
      </c>
      <c r="C748" s="111" t="s">
        <v>1</v>
      </c>
      <c r="D748" s="111" t="s">
        <v>1</v>
      </c>
      <c r="F748">
        <v>3002</v>
      </c>
    </row>
    <row r="749" spans="1:6" x14ac:dyDescent="0.25">
      <c r="A749">
        <v>7603</v>
      </c>
      <c r="B749" s="15">
        <v>45178</v>
      </c>
      <c r="C749" s="133"/>
      <c r="D749" s="133"/>
      <c r="F749">
        <v>3003</v>
      </c>
    </row>
    <row r="750" spans="1:6" x14ac:dyDescent="0.25">
      <c r="A750">
        <v>7603</v>
      </c>
      <c r="B750" s="15">
        <v>45179</v>
      </c>
      <c r="C750" s="133"/>
      <c r="D750" s="133"/>
      <c r="F750">
        <v>3004</v>
      </c>
    </row>
    <row r="751" spans="1:6" x14ac:dyDescent="0.25">
      <c r="A751">
        <v>7603</v>
      </c>
      <c r="B751" s="15">
        <v>45180</v>
      </c>
      <c r="C751" s="111" t="s">
        <v>1</v>
      </c>
      <c r="D751" s="111" t="s">
        <v>1</v>
      </c>
      <c r="F751">
        <v>3005</v>
      </c>
    </row>
    <row r="752" spans="1:6" x14ac:dyDescent="0.25">
      <c r="A752">
        <v>7603</v>
      </c>
      <c r="B752" s="15">
        <v>45181</v>
      </c>
      <c r="C752" s="111" t="s">
        <v>1</v>
      </c>
      <c r="D752" s="111" t="s">
        <v>1</v>
      </c>
      <c r="F752">
        <v>3006</v>
      </c>
    </row>
    <row r="753" spans="1:6" x14ac:dyDescent="0.25">
      <c r="A753">
        <v>7603</v>
      </c>
      <c r="B753" s="15">
        <v>45182</v>
      </c>
      <c r="C753" s="111" t="s">
        <v>1</v>
      </c>
      <c r="D753" s="111" t="s">
        <v>1</v>
      </c>
      <c r="F753">
        <v>3007</v>
      </c>
    </row>
    <row r="754" spans="1:6" x14ac:dyDescent="0.25">
      <c r="A754">
        <v>7603</v>
      </c>
      <c r="B754" s="15">
        <v>45183</v>
      </c>
      <c r="C754" s="111" t="s">
        <v>1</v>
      </c>
      <c r="D754" s="111" t="s">
        <v>1</v>
      </c>
      <c r="F754">
        <v>3008</v>
      </c>
    </row>
    <row r="755" spans="1:6" x14ac:dyDescent="0.25">
      <c r="A755">
        <v>7603</v>
      </c>
      <c r="B755" s="15">
        <v>45184</v>
      </c>
      <c r="C755" s="111" t="s">
        <v>1</v>
      </c>
      <c r="D755" s="111" t="s">
        <v>1</v>
      </c>
      <c r="F755">
        <v>3009</v>
      </c>
    </row>
    <row r="756" spans="1:6" x14ac:dyDescent="0.25">
      <c r="A756">
        <v>7603</v>
      </c>
      <c r="B756" s="15">
        <v>45185</v>
      </c>
      <c r="C756" s="133"/>
      <c r="D756" s="133"/>
      <c r="F756">
        <v>3010</v>
      </c>
    </row>
    <row r="757" spans="1:6" x14ac:dyDescent="0.25">
      <c r="A757">
        <v>7603</v>
      </c>
      <c r="B757" s="15">
        <v>45186</v>
      </c>
      <c r="C757" s="133"/>
      <c r="D757" s="133"/>
      <c r="F757">
        <v>3011</v>
      </c>
    </row>
    <row r="758" spans="1:6" x14ac:dyDescent="0.25">
      <c r="A758">
        <v>7603</v>
      </c>
      <c r="B758" s="15">
        <v>45187</v>
      </c>
      <c r="C758" s="114" t="s">
        <v>1</v>
      </c>
      <c r="D758" s="114" t="s">
        <v>1</v>
      </c>
      <c r="F758">
        <v>3012</v>
      </c>
    </row>
    <row r="759" spans="1:6" x14ac:dyDescent="0.25">
      <c r="A759">
        <v>7603</v>
      </c>
      <c r="B759" s="15">
        <v>45188</v>
      </c>
      <c r="C759" s="114" t="s">
        <v>1</v>
      </c>
      <c r="D759" s="114" t="s">
        <v>1</v>
      </c>
      <c r="F759">
        <v>3013</v>
      </c>
    </row>
    <row r="760" spans="1:6" x14ac:dyDescent="0.25">
      <c r="A760">
        <v>7603</v>
      </c>
      <c r="B760" s="15">
        <v>45189</v>
      </c>
      <c r="C760" s="114" t="s">
        <v>1</v>
      </c>
      <c r="D760" s="114" t="s">
        <v>1</v>
      </c>
      <c r="F760">
        <v>3014</v>
      </c>
    </row>
    <row r="761" spans="1:6" x14ac:dyDescent="0.25">
      <c r="A761">
        <v>7603</v>
      </c>
      <c r="B761" s="15">
        <v>45190</v>
      </c>
      <c r="C761" s="114" t="s">
        <v>1</v>
      </c>
      <c r="D761" s="114" t="s">
        <v>1</v>
      </c>
      <c r="F761">
        <v>3015</v>
      </c>
    </row>
    <row r="762" spans="1:6" x14ac:dyDescent="0.25">
      <c r="A762">
        <v>7603</v>
      </c>
      <c r="B762" s="15">
        <v>45191</v>
      </c>
      <c r="C762" s="114" t="s">
        <v>1</v>
      </c>
      <c r="D762" s="114" t="s">
        <v>1</v>
      </c>
      <c r="F762">
        <v>3016</v>
      </c>
    </row>
    <row r="763" spans="1:6" x14ac:dyDescent="0.25">
      <c r="A763">
        <v>7603</v>
      </c>
      <c r="B763" s="15">
        <v>45192</v>
      </c>
      <c r="C763" s="133"/>
      <c r="D763" s="133"/>
      <c r="F763">
        <v>3017</v>
      </c>
    </row>
    <row r="764" spans="1:6" x14ac:dyDescent="0.25">
      <c r="A764">
        <v>7603</v>
      </c>
      <c r="B764" s="15">
        <v>45193</v>
      </c>
      <c r="C764" s="133"/>
      <c r="D764" s="133"/>
      <c r="F764">
        <v>3018</v>
      </c>
    </row>
    <row r="765" spans="1:6" x14ac:dyDescent="0.25">
      <c r="A765">
        <v>7603</v>
      </c>
      <c r="B765" s="15">
        <v>45194</v>
      </c>
      <c r="C765" s="114" t="s">
        <v>1</v>
      </c>
      <c r="D765" s="114" t="s">
        <v>1</v>
      </c>
      <c r="F765">
        <v>3019</v>
      </c>
    </row>
    <row r="766" spans="1:6" x14ac:dyDescent="0.25">
      <c r="A766">
        <v>7603</v>
      </c>
      <c r="B766" s="15">
        <v>45195</v>
      </c>
      <c r="C766" s="114" t="s">
        <v>1</v>
      </c>
      <c r="D766" s="114" t="s">
        <v>1</v>
      </c>
      <c r="F766">
        <v>3020</v>
      </c>
    </row>
    <row r="767" spans="1:6" x14ac:dyDescent="0.25">
      <c r="A767">
        <v>7603</v>
      </c>
      <c r="B767" s="15">
        <v>45196</v>
      </c>
      <c r="C767" s="114" t="s">
        <v>1</v>
      </c>
      <c r="D767" s="114" t="s">
        <v>1</v>
      </c>
      <c r="F767">
        <v>3021</v>
      </c>
    </row>
    <row r="768" spans="1:6" x14ac:dyDescent="0.25">
      <c r="A768">
        <v>7603</v>
      </c>
      <c r="B768" s="15">
        <v>45197</v>
      </c>
      <c r="C768" s="114" t="s">
        <v>1</v>
      </c>
      <c r="D768" s="114" t="s">
        <v>1</v>
      </c>
      <c r="F768">
        <v>3022</v>
      </c>
    </row>
    <row r="769" spans="1:6" x14ac:dyDescent="0.25">
      <c r="A769">
        <v>7603</v>
      </c>
      <c r="B769" s="15">
        <v>45198</v>
      </c>
      <c r="C769" s="114" t="s">
        <v>1</v>
      </c>
      <c r="D769" s="114" t="s">
        <v>1</v>
      </c>
      <c r="F769">
        <v>3023</v>
      </c>
    </row>
    <row r="770" spans="1:6" x14ac:dyDescent="0.25">
      <c r="A770">
        <v>7603</v>
      </c>
      <c r="B770" s="15">
        <v>45199</v>
      </c>
      <c r="C770" s="133"/>
      <c r="D770" s="133"/>
      <c r="F770">
        <v>3024</v>
      </c>
    </row>
    <row r="771" spans="1:6" x14ac:dyDescent="0.25">
      <c r="A771">
        <v>7603</v>
      </c>
      <c r="B771" s="15">
        <v>45200</v>
      </c>
      <c r="C771" s="133"/>
      <c r="D771" s="133"/>
      <c r="F771">
        <v>3025</v>
      </c>
    </row>
    <row r="772" spans="1:6" x14ac:dyDescent="0.25">
      <c r="A772">
        <v>7603</v>
      </c>
      <c r="B772" s="15">
        <v>45201</v>
      </c>
      <c r="C772" s="111" t="s">
        <v>1</v>
      </c>
      <c r="D772" s="111" t="s">
        <v>1</v>
      </c>
      <c r="F772">
        <v>3026</v>
      </c>
    </row>
    <row r="773" spans="1:6" x14ac:dyDescent="0.25">
      <c r="A773">
        <v>7603</v>
      </c>
      <c r="B773" s="15">
        <v>45202</v>
      </c>
      <c r="C773" s="111" t="s">
        <v>1</v>
      </c>
      <c r="D773" s="111" t="s">
        <v>1</v>
      </c>
      <c r="F773">
        <v>3027</v>
      </c>
    </row>
    <row r="774" spans="1:6" x14ac:dyDescent="0.25">
      <c r="A774">
        <v>7603</v>
      </c>
      <c r="B774" s="15">
        <v>45203</v>
      </c>
      <c r="C774" s="111" t="s">
        <v>1</v>
      </c>
      <c r="D774" s="111" t="s">
        <v>1</v>
      </c>
      <c r="F774">
        <v>3028</v>
      </c>
    </row>
    <row r="775" spans="1:6" x14ac:dyDescent="0.25">
      <c r="A775">
        <v>7603</v>
      </c>
      <c r="B775" s="15">
        <v>45204</v>
      </c>
      <c r="C775" s="111" t="s">
        <v>1</v>
      </c>
      <c r="D775" s="111" t="s">
        <v>1</v>
      </c>
      <c r="F775">
        <v>3029</v>
      </c>
    </row>
    <row r="776" spans="1:6" x14ac:dyDescent="0.25">
      <c r="A776">
        <v>7603</v>
      </c>
      <c r="B776" s="15">
        <v>45205</v>
      </c>
      <c r="C776" s="111" t="s">
        <v>1</v>
      </c>
      <c r="D776" s="111" t="s">
        <v>1</v>
      </c>
      <c r="F776">
        <v>3030</v>
      </c>
    </row>
    <row r="777" spans="1:6" x14ac:dyDescent="0.25">
      <c r="A777">
        <v>7603</v>
      </c>
      <c r="B777" s="15">
        <v>45206</v>
      </c>
      <c r="C777" s="133"/>
      <c r="D777" s="133"/>
      <c r="F777">
        <v>3031</v>
      </c>
    </row>
    <row r="778" spans="1:6" x14ac:dyDescent="0.25">
      <c r="A778">
        <v>7603</v>
      </c>
      <c r="B778" s="15">
        <v>45207</v>
      </c>
      <c r="C778" s="133"/>
      <c r="D778" s="133"/>
      <c r="F778">
        <v>3032</v>
      </c>
    </row>
    <row r="779" spans="1:6" x14ac:dyDescent="0.25">
      <c r="A779">
        <v>7603</v>
      </c>
      <c r="B779" s="15">
        <v>45208</v>
      </c>
      <c r="C779" s="111" t="s">
        <v>1</v>
      </c>
      <c r="D779" s="111" t="s">
        <v>1</v>
      </c>
      <c r="F779">
        <v>3033</v>
      </c>
    </row>
    <row r="780" spans="1:6" x14ac:dyDescent="0.25">
      <c r="A780">
        <v>7603</v>
      </c>
      <c r="B780" s="15">
        <v>45209</v>
      </c>
      <c r="C780" s="111" t="s">
        <v>1</v>
      </c>
      <c r="D780" s="111" t="s">
        <v>1</v>
      </c>
      <c r="F780">
        <v>3034</v>
      </c>
    </row>
    <row r="781" spans="1:6" x14ac:dyDescent="0.25">
      <c r="A781">
        <v>7603</v>
      </c>
      <c r="B781" s="15">
        <v>45210</v>
      </c>
      <c r="C781" s="111" t="s">
        <v>1</v>
      </c>
      <c r="D781" s="111" t="s">
        <v>1</v>
      </c>
      <c r="F781">
        <v>3035</v>
      </c>
    </row>
    <row r="782" spans="1:6" x14ac:dyDescent="0.25">
      <c r="A782">
        <v>7603</v>
      </c>
      <c r="B782" s="15">
        <v>45211</v>
      </c>
      <c r="C782" s="111" t="s">
        <v>1</v>
      </c>
      <c r="D782" s="111" t="s">
        <v>1</v>
      </c>
      <c r="F782">
        <v>3036</v>
      </c>
    </row>
    <row r="783" spans="1:6" x14ac:dyDescent="0.25">
      <c r="A783">
        <v>7603</v>
      </c>
      <c r="B783" s="15">
        <v>45212</v>
      </c>
      <c r="C783" s="111" t="s">
        <v>1</v>
      </c>
      <c r="D783" s="111" t="s">
        <v>1</v>
      </c>
      <c r="F783">
        <v>3037</v>
      </c>
    </row>
    <row r="784" spans="1:6" x14ac:dyDescent="0.25">
      <c r="A784">
        <v>7603</v>
      </c>
      <c r="B784" s="15">
        <v>45213</v>
      </c>
      <c r="C784" s="133"/>
      <c r="D784" s="133"/>
      <c r="F784">
        <v>3038</v>
      </c>
    </row>
    <row r="785" spans="1:6" x14ac:dyDescent="0.25">
      <c r="A785">
        <v>7603</v>
      </c>
      <c r="B785" s="15">
        <v>45214</v>
      </c>
      <c r="C785" s="133"/>
      <c r="D785" s="133"/>
      <c r="F785">
        <v>3039</v>
      </c>
    </row>
    <row r="786" spans="1:6" x14ac:dyDescent="0.25">
      <c r="A786">
        <v>7603</v>
      </c>
      <c r="B786" s="15">
        <v>45215</v>
      </c>
      <c r="C786" s="111" t="s">
        <v>1</v>
      </c>
      <c r="D786" s="111" t="s">
        <v>1</v>
      </c>
      <c r="F786">
        <v>3040</v>
      </c>
    </row>
    <row r="787" spans="1:6" x14ac:dyDescent="0.25">
      <c r="A787">
        <v>7603</v>
      </c>
      <c r="B787" s="15">
        <v>45216</v>
      </c>
      <c r="C787" s="111" t="s">
        <v>1</v>
      </c>
      <c r="D787" s="111" t="s">
        <v>1</v>
      </c>
      <c r="F787">
        <v>3041</v>
      </c>
    </row>
    <row r="788" spans="1:6" x14ac:dyDescent="0.25">
      <c r="A788">
        <v>7603</v>
      </c>
      <c r="B788" s="15">
        <v>45217</v>
      </c>
      <c r="C788" s="111" t="s">
        <v>1</v>
      </c>
      <c r="D788" s="111" t="s">
        <v>1</v>
      </c>
      <c r="F788">
        <v>3042</v>
      </c>
    </row>
    <row r="789" spans="1:6" x14ac:dyDescent="0.25">
      <c r="A789">
        <v>7603</v>
      </c>
      <c r="B789" s="15">
        <v>45218</v>
      </c>
      <c r="C789" s="111" t="s">
        <v>1</v>
      </c>
      <c r="D789" s="111" t="s">
        <v>1</v>
      </c>
      <c r="F789">
        <v>3043</v>
      </c>
    </row>
    <row r="790" spans="1:6" x14ac:dyDescent="0.25">
      <c r="A790">
        <v>7603</v>
      </c>
      <c r="B790" s="15">
        <v>45219</v>
      </c>
      <c r="C790" s="111" t="s">
        <v>1</v>
      </c>
      <c r="D790" s="111" t="s">
        <v>1</v>
      </c>
      <c r="F790">
        <v>3044</v>
      </c>
    </row>
    <row r="791" spans="1:6" x14ac:dyDescent="0.25">
      <c r="A791">
        <v>7603</v>
      </c>
      <c r="B791" s="15">
        <v>45220</v>
      </c>
      <c r="C791" s="133"/>
      <c r="D791" s="133"/>
      <c r="F791">
        <v>3045</v>
      </c>
    </row>
    <row r="792" spans="1:6" x14ac:dyDescent="0.25">
      <c r="A792">
        <v>7603</v>
      </c>
      <c r="B792" s="15">
        <v>45221</v>
      </c>
      <c r="C792" s="133"/>
      <c r="D792" s="133"/>
      <c r="F792">
        <v>3046</v>
      </c>
    </row>
    <row r="793" spans="1:6" x14ac:dyDescent="0.25">
      <c r="A793">
        <v>7603</v>
      </c>
      <c r="B793" s="15">
        <v>45222</v>
      </c>
      <c r="C793" s="111" t="s">
        <v>1</v>
      </c>
      <c r="D793" s="111" t="s">
        <v>1</v>
      </c>
      <c r="F793">
        <v>3047</v>
      </c>
    </row>
    <row r="794" spans="1:6" x14ac:dyDescent="0.25">
      <c r="A794">
        <v>7603</v>
      </c>
      <c r="B794" s="15">
        <v>45223</v>
      </c>
      <c r="C794" s="111" t="s">
        <v>1</v>
      </c>
      <c r="D794" s="111" t="s">
        <v>1</v>
      </c>
      <c r="F794">
        <v>3048</v>
      </c>
    </row>
    <row r="795" spans="1:6" x14ac:dyDescent="0.25">
      <c r="A795">
        <v>7603</v>
      </c>
      <c r="B795" s="15">
        <v>45224</v>
      </c>
      <c r="C795" s="111" t="s">
        <v>1</v>
      </c>
      <c r="D795" s="111" t="s">
        <v>1</v>
      </c>
      <c r="F795">
        <v>3049</v>
      </c>
    </row>
    <row r="796" spans="1:6" x14ac:dyDescent="0.25">
      <c r="A796">
        <v>7603</v>
      </c>
      <c r="B796" s="15">
        <v>45225</v>
      </c>
      <c r="C796" s="111" t="s">
        <v>1</v>
      </c>
      <c r="D796" s="111" t="s">
        <v>1</v>
      </c>
      <c r="F796">
        <v>3050</v>
      </c>
    </row>
    <row r="797" spans="1:6" x14ac:dyDescent="0.25">
      <c r="A797">
        <v>7603</v>
      </c>
      <c r="B797" s="15">
        <v>45226</v>
      </c>
      <c r="C797" s="111" t="s">
        <v>1</v>
      </c>
      <c r="D797" s="111" t="s">
        <v>1</v>
      </c>
      <c r="F797">
        <v>3051</v>
      </c>
    </row>
    <row r="798" spans="1:6" x14ac:dyDescent="0.25">
      <c r="A798">
        <v>7603</v>
      </c>
      <c r="B798" s="15">
        <v>45227</v>
      </c>
      <c r="C798" s="133"/>
      <c r="D798" s="133"/>
      <c r="F798">
        <v>3052</v>
      </c>
    </row>
    <row r="799" spans="1:6" x14ac:dyDescent="0.25">
      <c r="A799">
        <v>7603</v>
      </c>
      <c r="B799" s="15">
        <v>45228</v>
      </c>
      <c r="C799" s="133"/>
      <c r="D799" s="133"/>
      <c r="F799">
        <v>3053</v>
      </c>
    </row>
    <row r="800" spans="1:6" x14ac:dyDescent="0.25">
      <c r="A800">
        <v>7603</v>
      </c>
      <c r="B800" s="15">
        <v>45229</v>
      </c>
      <c r="C800" s="111" t="s">
        <v>1</v>
      </c>
      <c r="D800" s="111" t="s">
        <v>1</v>
      </c>
      <c r="F800">
        <v>3054</v>
      </c>
    </row>
    <row r="801" spans="1:6" x14ac:dyDescent="0.25">
      <c r="A801">
        <v>7603</v>
      </c>
      <c r="B801" s="15">
        <v>45230</v>
      </c>
      <c r="C801" s="111" t="s">
        <v>1</v>
      </c>
      <c r="D801" s="111" t="s">
        <v>1</v>
      </c>
      <c r="F801">
        <v>3055</v>
      </c>
    </row>
    <row r="802" spans="1:6" x14ac:dyDescent="0.25">
      <c r="A802">
        <v>7603</v>
      </c>
      <c r="B802" s="15">
        <v>45231</v>
      </c>
      <c r="C802" s="111" t="s">
        <v>1</v>
      </c>
      <c r="D802" s="111" t="s">
        <v>1</v>
      </c>
      <c r="F802">
        <v>3056</v>
      </c>
    </row>
    <row r="803" spans="1:6" x14ac:dyDescent="0.25">
      <c r="A803">
        <v>7603</v>
      </c>
      <c r="B803" s="15">
        <v>45232</v>
      </c>
      <c r="C803" s="111" t="s">
        <v>1</v>
      </c>
      <c r="D803" s="111" t="s">
        <v>1</v>
      </c>
      <c r="F803">
        <v>3057</v>
      </c>
    </row>
    <row r="804" spans="1:6" x14ac:dyDescent="0.25">
      <c r="A804">
        <v>7603</v>
      </c>
      <c r="B804" s="15">
        <v>45233</v>
      </c>
      <c r="C804" s="111" t="s">
        <v>1</v>
      </c>
      <c r="D804" s="111" t="s">
        <v>1</v>
      </c>
      <c r="F804">
        <v>3058</v>
      </c>
    </row>
    <row r="805" spans="1:6" x14ac:dyDescent="0.25">
      <c r="A805">
        <v>7603</v>
      </c>
      <c r="B805" s="15">
        <v>45234</v>
      </c>
      <c r="C805" s="111" t="s">
        <v>1</v>
      </c>
      <c r="D805" s="133"/>
      <c r="F805">
        <v>3059</v>
      </c>
    </row>
    <row r="806" spans="1:6" x14ac:dyDescent="0.25">
      <c r="A806">
        <v>7603</v>
      </c>
      <c r="B806" s="15">
        <v>45235</v>
      </c>
      <c r="C806" s="133"/>
      <c r="D806" s="133"/>
      <c r="F806">
        <v>3060</v>
      </c>
    </row>
    <row r="807" spans="1:6" x14ac:dyDescent="0.25">
      <c r="A807">
        <v>7603</v>
      </c>
      <c r="B807" s="15">
        <v>45236</v>
      </c>
      <c r="C807" s="111" t="s">
        <v>1</v>
      </c>
      <c r="D807" s="111" t="s">
        <v>1</v>
      </c>
      <c r="F807">
        <v>3061</v>
      </c>
    </row>
    <row r="808" spans="1:6" x14ac:dyDescent="0.25">
      <c r="A808">
        <v>7603</v>
      </c>
      <c r="B808" s="15">
        <v>45237</v>
      </c>
      <c r="C808" s="111" t="s">
        <v>1</v>
      </c>
      <c r="D808" s="111" t="s">
        <v>1</v>
      </c>
      <c r="F808">
        <v>3062</v>
      </c>
    </row>
    <row r="809" spans="1:6" x14ac:dyDescent="0.25">
      <c r="A809">
        <v>7603</v>
      </c>
      <c r="B809" s="15">
        <v>45238</v>
      </c>
      <c r="C809" s="111" t="s">
        <v>1</v>
      </c>
      <c r="D809" s="111" t="s">
        <v>1</v>
      </c>
      <c r="F809">
        <v>3063</v>
      </c>
    </row>
    <row r="810" spans="1:6" x14ac:dyDescent="0.25">
      <c r="A810">
        <v>7603</v>
      </c>
      <c r="B810" s="15">
        <v>45239</v>
      </c>
      <c r="C810" s="111" t="s">
        <v>1</v>
      </c>
      <c r="D810" s="111" t="s">
        <v>1</v>
      </c>
      <c r="F810">
        <v>3064</v>
      </c>
    </row>
    <row r="811" spans="1:6" x14ac:dyDescent="0.25">
      <c r="A811">
        <v>7603</v>
      </c>
      <c r="B811" s="15">
        <v>45240</v>
      </c>
      <c r="C811" s="114" t="s">
        <v>1</v>
      </c>
      <c r="D811" s="114" t="s">
        <v>1</v>
      </c>
      <c r="F811">
        <v>3065</v>
      </c>
    </row>
    <row r="812" spans="1:6" x14ac:dyDescent="0.25">
      <c r="A812">
        <v>7603</v>
      </c>
      <c r="B812" s="15">
        <v>45241</v>
      </c>
      <c r="C812" s="133"/>
      <c r="D812" s="133"/>
      <c r="F812">
        <v>3066</v>
      </c>
    </row>
    <row r="813" spans="1:6" x14ac:dyDescent="0.25">
      <c r="A813">
        <v>7603</v>
      </c>
      <c r="B813" s="15">
        <v>45242</v>
      </c>
      <c r="C813" s="133"/>
      <c r="D813" s="133"/>
      <c r="F813">
        <v>3067</v>
      </c>
    </row>
    <row r="814" spans="1:6" x14ac:dyDescent="0.25">
      <c r="A814">
        <v>7603</v>
      </c>
      <c r="B814" s="15">
        <v>45243</v>
      </c>
      <c r="C814" s="114" t="s">
        <v>1</v>
      </c>
      <c r="D814" s="114" t="s">
        <v>1</v>
      </c>
      <c r="F814">
        <v>3068</v>
      </c>
    </row>
    <row r="815" spans="1:6" x14ac:dyDescent="0.25">
      <c r="A815">
        <v>7603</v>
      </c>
      <c r="B815" s="15">
        <v>45244</v>
      </c>
      <c r="C815" s="114" t="s">
        <v>1</v>
      </c>
      <c r="D815" s="114" t="s">
        <v>1</v>
      </c>
      <c r="F815">
        <v>3069</v>
      </c>
    </row>
    <row r="816" spans="1:6" x14ac:dyDescent="0.25">
      <c r="A816">
        <v>7603</v>
      </c>
      <c r="B816" s="15">
        <v>45245</v>
      </c>
      <c r="C816" s="114" t="s">
        <v>1</v>
      </c>
      <c r="D816" s="114" t="s">
        <v>1</v>
      </c>
      <c r="F816">
        <v>3070</v>
      </c>
    </row>
    <row r="817" spans="1:6" x14ac:dyDescent="0.25">
      <c r="A817">
        <v>7603</v>
      </c>
      <c r="B817" s="15">
        <v>45246</v>
      </c>
      <c r="C817" s="114" t="s">
        <v>1</v>
      </c>
      <c r="D817" s="114" t="s">
        <v>1</v>
      </c>
      <c r="F817">
        <v>3071</v>
      </c>
    </row>
    <row r="818" spans="1:6" x14ac:dyDescent="0.25">
      <c r="A818">
        <v>7603</v>
      </c>
      <c r="B818" s="15">
        <v>45247</v>
      </c>
      <c r="C818" s="114" t="s">
        <v>1</v>
      </c>
      <c r="D818" s="114" t="s">
        <v>1</v>
      </c>
      <c r="F818">
        <v>3072</v>
      </c>
    </row>
    <row r="819" spans="1:6" x14ac:dyDescent="0.25">
      <c r="A819">
        <v>7603</v>
      </c>
      <c r="B819" s="15">
        <v>45248</v>
      </c>
      <c r="C819" s="133"/>
      <c r="D819" s="133"/>
      <c r="F819">
        <v>3073</v>
      </c>
    </row>
    <row r="820" spans="1:6" x14ac:dyDescent="0.25">
      <c r="A820">
        <v>7603</v>
      </c>
      <c r="B820" s="15">
        <v>45249</v>
      </c>
      <c r="C820" s="133"/>
      <c r="D820" s="133"/>
      <c r="F820">
        <v>3074</v>
      </c>
    </row>
    <row r="821" spans="1:6" x14ac:dyDescent="0.25">
      <c r="A821">
        <v>7603</v>
      </c>
      <c r="B821" s="15">
        <v>45250</v>
      </c>
      <c r="C821" s="114" t="s">
        <v>1</v>
      </c>
      <c r="D821" s="114" t="s">
        <v>1</v>
      </c>
      <c r="F821">
        <v>3075</v>
      </c>
    </row>
    <row r="822" spans="1:6" x14ac:dyDescent="0.25">
      <c r="A822">
        <v>7603</v>
      </c>
      <c r="B822" s="15">
        <v>45251</v>
      </c>
      <c r="C822" s="114" t="s">
        <v>1</v>
      </c>
      <c r="D822" s="114" t="s">
        <v>1</v>
      </c>
      <c r="F822">
        <v>3076</v>
      </c>
    </row>
    <row r="823" spans="1:6" x14ac:dyDescent="0.25">
      <c r="A823">
        <v>7603</v>
      </c>
      <c r="B823" s="15">
        <v>45252</v>
      </c>
      <c r="C823" s="114" t="s">
        <v>1</v>
      </c>
      <c r="D823" s="114" t="s">
        <v>1</v>
      </c>
      <c r="F823">
        <v>3077</v>
      </c>
    </row>
    <row r="824" spans="1:6" x14ac:dyDescent="0.25">
      <c r="A824">
        <v>7603</v>
      </c>
      <c r="B824" s="15">
        <v>45253</v>
      </c>
      <c r="C824" s="114" t="s">
        <v>1</v>
      </c>
      <c r="D824" s="114" t="s">
        <v>1</v>
      </c>
      <c r="F824">
        <v>3078</v>
      </c>
    </row>
    <row r="825" spans="1:6" x14ac:dyDescent="0.25">
      <c r="A825">
        <v>7603</v>
      </c>
      <c r="B825" s="15">
        <v>45254</v>
      </c>
      <c r="C825" s="114" t="s">
        <v>1</v>
      </c>
      <c r="D825" s="114" t="s">
        <v>1</v>
      </c>
      <c r="F825">
        <v>3079</v>
      </c>
    </row>
    <row r="826" spans="1:6" x14ac:dyDescent="0.25">
      <c r="A826">
        <v>7603</v>
      </c>
      <c r="B826" s="15">
        <v>45255</v>
      </c>
      <c r="C826" s="133"/>
      <c r="D826" s="133"/>
      <c r="F826">
        <v>3080</v>
      </c>
    </row>
    <row r="827" spans="1:6" x14ac:dyDescent="0.25">
      <c r="A827">
        <v>7603</v>
      </c>
      <c r="B827" s="15">
        <v>45256</v>
      </c>
      <c r="C827" s="133"/>
      <c r="D827" s="133"/>
      <c r="F827">
        <v>3081</v>
      </c>
    </row>
    <row r="828" spans="1:6" x14ac:dyDescent="0.25">
      <c r="A828">
        <v>7603</v>
      </c>
      <c r="B828" s="15">
        <v>45257</v>
      </c>
      <c r="C828" s="114" t="s">
        <v>1</v>
      </c>
      <c r="D828" s="114" t="s">
        <v>1</v>
      </c>
      <c r="F828">
        <v>3082</v>
      </c>
    </row>
    <row r="829" spans="1:6" x14ac:dyDescent="0.25">
      <c r="A829">
        <v>7603</v>
      </c>
      <c r="B829" s="15">
        <v>45258</v>
      </c>
      <c r="C829" s="114" t="s">
        <v>1</v>
      </c>
      <c r="D829" s="114" t="s">
        <v>1</v>
      </c>
      <c r="F829">
        <v>3083</v>
      </c>
    </row>
    <row r="830" spans="1:6" x14ac:dyDescent="0.25">
      <c r="A830">
        <v>7603</v>
      </c>
      <c r="B830" s="15">
        <v>45259</v>
      </c>
      <c r="C830" s="114" t="s">
        <v>1</v>
      </c>
      <c r="D830" s="114" t="s">
        <v>1</v>
      </c>
      <c r="F830">
        <v>3084</v>
      </c>
    </row>
    <row r="831" spans="1:6" x14ac:dyDescent="0.25">
      <c r="A831">
        <v>7603</v>
      </c>
      <c r="B831" s="15">
        <v>45260</v>
      </c>
      <c r="C831" s="114" t="s">
        <v>1</v>
      </c>
      <c r="D831" s="114" t="s">
        <v>1</v>
      </c>
      <c r="F831">
        <v>3085</v>
      </c>
    </row>
    <row r="832" spans="1:6" x14ac:dyDescent="0.25">
      <c r="A832">
        <v>7603</v>
      </c>
      <c r="B832" s="15">
        <v>45261</v>
      </c>
      <c r="C832" s="114" t="s">
        <v>1</v>
      </c>
      <c r="D832" s="114" t="s">
        <v>1</v>
      </c>
      <c r="F832">
        <v>3086</v>
      </c>
    </row>
    <row r="833" spans="1:6" x14ac:dyDescent="0.25">
      <c r="A833">
        <v>7603</v>
      </c>
      <c r="B833" s="15">
        <v>45262</v>
      </c>
      <c r="C833" s="133"/>
      <c r="D833" s="133"/>
      <c r="F833">
        <v>3087</v>
      </c>
    </row>
    <row r="834" spans="1:6" x14ac:dyDescent="0.25">
      <c r="A834">
        <v>7603</v>
      </c>
      <c r="B834" s="15">
        <v>45263</v>
      </c>
      <c r="C834" s="133"/>
      <c r="D834" s="133"/>
      <c r="F834">
        <v>3088</v>
      </c>
    </row>
    <row r="835" spans="1:6" x14ac:dyDescent="0.25">
      <c r="A835">
        <v>7603</v>
      </c>
      <c r="B835" s="15">
        <v>45264</v>
      </c>
      <c r="C835" s="114" t="s">
        <v>1</v>
      </c>
      <c r="D835" s="114" t="s">
        <v>1</v>
      </c>
      <c r="F835">
        <v>3089</v>
      </c>
    </row>
    <row r="836" spans="1:6" x14ac:dyDescent="0.25">
      <c r="A836">
        <v>7603</v>
      </c>
      <c r="B836" s="15">
        <v>45265</v>
      </c>
      <c r="C836" s="114" t="s">
        <v>1</v>
      </c>
      <c r="D836" s="114" t="s">
        <v>1</v>
      </c>
      <c r="F836">
        <v>3090</v>
      </c>
    </row>
    <row r="837" spans="1:6" x14ac:dyDescent="0.25">
      <c r="A837">
        <v>7603</v>
      </c>
      <c r="B837" s="15">
        <v>45266</v>
      </c>
      <c r="C837" s="114" t="s">
        <v>1</v>
      </c>
      <c r="D837" s="114" t="s">
        <v>1</v>
      </c>
      <c r="F837">
        <v>3091</v>
      </c>
    </row>
    <row r="838" spans="1:6" x14ac:dyDescent="0.25">
      <c r="A838">
        <v>7603</v>
      </c>
      <c r="B838" s="15">
        <v>45267</v>
      </c>
      <c r="C838" s="114" t="s">
        <v>1</v>
      </c>
      <c r="D838" s="114" t="s">
        <v>1</v>
      </c>
      <c r="F838">
        <v>3092</v>
      </c>
    </row>
    <row r="839" spans="1:6" x14ac:dyDescent="0.25">
      <c r="A839">
        <v>7603</v>
      </c>
      <c r="B839" s="15">
        <v>45268</v>
      </c>
      <c r="C839" s="114" t="s">
        <v>1</v>
      </c>
      <c r="D839" s="114" t="s">
        <v>1</v>
      </c>
      <c r="F839">
        <v>3093</v>
      </c>
    </row>
    <row r="840" spans="1:6" x14ac:dyDescent="0.25">
      <c r="A840">
        <v>7603</v>
      </c>
      <c r="B840" s="15">
        <v>45269</v>
      </c>
      <c r="C840" s="133"/>
      <c r="D840" s="133"/>
      <c r="F840">
        <v>3094</v>
      </c>
    </row>
    <row r="841" spans="1:6" x14ac:dyDescent="0.25">
      <c r="A841">
        <v>7603</v>
      </c>
      <c r="B841" s="15">
        <v>45270</v>
      </c>
      <c r="C841" s="133"/>
      <c r="D841" s="133"/>
      <c r="F841">
        <v>3095</v>
      </c>
    </row>
    <row r="842" spans="1:6" x14ac:dyDescent="0.25">
      <c r="A842">
        <v>7603</v>
      </c>
      <c r="B842" s="15">
        <v>45271</v>
      </c>
      <c r="C842" s="114" t="s">
        <v>1</v>
      </c>
      <c r="D842" s="114" t="s">
        <v>1</v>
      </c>
      <c r="F842">
        <v>3096</v>
      </c>
    </row>
    <row r="843" spans="1:6" x14ac:dyDescent="0.25">
      <c r="A843">
        <v>7603</v>
      </c>
      <c r="B843" s="15">
        <v>45272</v>
      </c>
      <c r="C843" s="114" t="s">
        <v>1</v>
      </c>
      <c r="D843" s="114" t="s">
        <v>1</v>
      </c>
      <c r="F843">
        <v>3097</v>
      </c>
    </row>
    <row r="844" spans="1:6" x14ac:dyDescent="0.25">
      <c r="A844">
        <v>7603</v>
      </c>
      <c r="B844" s="15">
        <v>45273</v>
      </c>
      <c r="C844" s="114" t="s">
        <v>1</v>
      </c>
      <c r="D844" s="114" t="s">
        <v>1</v>
      </c>
      <c r="F844">
        <v>3098</v>
      </c>
    </row>
    <row r="845" spans="1:6" x14ac:dyDescent="0.25">
      <c r="A845">
        <v>7603</v>
      </c>
      <c r="B845" s="15">
        <v>45274</v>
      </c>
      <c r="C845" s="114" t="s">
        <v>1</v>
      </c>
      <c r="D845" s="114" t="s">
        <v>1</v>
      </c>
      <c r="F845">
        <v>3099</v>
      </c>
    </row>
    <row r="846" spans="1:6" x14ac:dyDescent="0.25">
      <c r="A846">
        <v>7603</v>
      </c>
      <c r="B846" s="15">
        <v>45275</v>
      </c>
      <c r="C846" s="114" t="s">
        <v>1</v>
      </c>
      <c r="D846" s="114" t="s">
        <v>1</v>
      </c>
      <c r="F846">
        <v>3100</v>
      </c>
    </row>
    <row r="847" spans="1:6" x14ac:dyDescent="0.25">
      <c r="A847">
        <v>7603</v>
      </c>
      <c r="B847" s="15">
        <v>45276</v>
      </c>
      <c r="C847" s="133"/>
      <c r="D847" s="133"/>
      <c r="F847">
        <v>3101</v>
      </c>
    </row>
    <row r="848" spans="1:6" x14ac:dyDescent="0.25">
      <c r="A848">
        <v>7603</v>
      </c>
      <c r="B848" s="15">
        <v>45277</v>
      </c>
      <c r="C848" s="133"/>
      <c r="D848" s="133"/>
      <c r="F848">
        <v>3102</v>
      </c>
    </row>
    <row r="849" spans="1:6" x14ac:dyDescent="0.25">
      <c r="A849">
        <v>7603</v>
      </c>
      <c r="B849" s="15">
        <v>45278</v>
      </c>
      <c r="C849" s="114" t="s">
        <v>1</v>
      </c>
      <c r="D849" s="114" t="s">
        <v>1</v>
      </c>
      <c r="F849">
        <v>3103</v>
      </c>
    </row>
    <row r="850" spans="1:6" x14ac:dyDescent="0.25">
      <c r="A850">
        <v>7603</v>
      </c>
      <c r="B850" s="15">
        <v>45279</v>
      </c>
      <c r="C850" s="114" t="s">
        <v>1</v>
      </c>
      <c r="D850" s="114" t="s">
        <v>1</v>
      </c>
      <c r="F850">
        <v>3104</v>
      </c>
    </row>
    <row r="851" spans="1:6" x14ac:dyDescent="0.25">
      <c r="A851">
        <v>7603</v>
      </c>
      <c r="B851" s="15">
        <v>45280</v>
      </c>
      <c r="C851" s="114" t="s">
        <v>1</v>
      </c>
      <c r="D851" s="114" t="s">
        <v>1</v>
      </c>
      <c r="F851">
        <v>3105</v>
      </c>
    </row>
    <row r="852" spans="1:6" x14ac:dyDescent="0.25">
      <c r="A852">
        <v>7603</v>
      </c>
      <c r="B852" s="15">
        <v>45281</v>
      </c>
      <c r="C852" s="114" t="s">
        <v>1</v>
      </c>
      <c r="D852" s="114" t="s">
        <v>1</v>
      </c>
      <c r="F852">
        <v>3106</v>
      </c>
    </row>
    <row r="853" spans="1:6" x14ac:dyDescent="0.25">
      <c r="A853">
        <v>7603</v>
      </c>
      <c r="B853" s="15">
        <v>45282</v>
      </c>
      <c r="C853" s="114" t="s">
        <v>1</v>
      </c>
      <c r="D853" s="114" t="s">
        <v>1</v>
      </c>
      <c r="F853">
        <v>3107</v>
      </c>
    </row>
    <row r="854" spans="1:6" x14ac:dyDescent="0.25">
      <c r="A854">
        <v>7603</v>
      </c>
      <c r="B854" s="15">
        <v>45283</v>
      </c>
      <c r="C854" s="133"/>
      <c r="D854" s="133"/>
      <c r="F854">
        <v>3108</v>
      </c>
    </row>
    <row r="855" spans="1:6" x14ac:dyDescent="0.25">
      <c r="A855">
        <v>7603</v>
      </c>
      <c r="B855" s="15">
        <v>45284</v>
      </c>
      <c r="C855" s="133"/>
      <c r="D855" s="133"/>
      <c r="F855">
        <v>3109</v>
      </c>
    </row>
    <row r="856" spans="1:6" x14ac:dyDescent="0.25">
      <c r="A856">
        <v>7603</v>
      </c>
      <c r="B856" s="15">
        <v>45285</v>
      </c>
      <c r="C856" s="133"/>
      <c r="D856" s="133"/>
      <c r="F856">
        <v>3110</v>
      </c>
    </row>
    <row r="857" spans="1:6" x14ac:dyDescent="0.25">
      <c r="A857">
        <v>7603</v>
      </c>
      <c r="B857" s="15">
        <v>45286</v>
      </c>
      <c r="C857" s="114" t="s">
        <v>1</v>
      </c>
      <c r="D857" s="114" t="s">
        <v>1</v>
      </c>
      <c r="F857">
        <v>3111</v>
      </c>
    </row>
    <row r="858" spans="1:6" x14ac:dyDescent="0.25">
      <c r="A858">
        <v>7603</v>
      </c>
      <c r="B858" s="15">
        <v>45287</v>
      </c>
      <c r="C858" s="114" t="s">
        <v>1</v>
      </c>
      <c r="D858" s="114" t="s">
        <v>1</v>
      </c>
      <c r="F858">
        <v>3112</v>
      </c>
    </row>
    <row r="859" spans="1:6" x14ac:dyDescent="0.25">
      <c r="A859">
        <v>7603</v>
      </c>
      <c r="B859" s="15">
        <v>45288</v>
      </c>
      <c r="C859" s="114" t="s">
        <v>1</v>
      </c>
      <c r="D859" s="114" t="s">
        <v>1</v>
      </c>
      <c r="F859">
        <v>3113</v>
      </c>
    </row>
    <row r="860" spans="1:6" x14ac:dyDescent="0.25">
      <c r="A860">
        <v>7603</v>
      </c>
      <c r="B860" s="15">
        <v>45289</v>
      </c>
      <c r="C860" s="114" t="s">
        <v>1</v>
      </c>
      <c r="D860" s="114" t="s">
        <v>1</v>
      </c>
      <c r="F860">
        <v>3114</v>
      </c>
    </row>
    <row r="861" spans="1:6" x14ac:dyDescent="0.25">
      <c r="A861">
        <v>7603</v>
      </c>
      <c r="B861" s="15">
        <v>45290</v>
      </c>
      <c r="C861" s="114" t="s">
        <v>1</v>
      </c>
      <c r="D861" s="114" t="s">
        <v>1</v>
      </c>
      <c r="F861">
        <v>3115</v>
      </c>
    </row>
    <row r="862" spans="1:6" x14ac:dyDescent="0.25">
      <c r="A862">
        <v>7603</v>
      </c>
      <c r="B862" s="15">
        <v>45291</v>
      </c>
      <c r="C862" s="133"/>
      <c r="D862" s="133"/>
      <c r="F862">
        <v>3116</v>
      </c>
    </row>
    <row r="863" spans="1:6" x14ac:dyDescent="0.25">
      <c r="A863">
        <v>7603</v>
      </c>
      <c r="B863" s="15">
        <v>45292</v>
      </c>
      <c r="C863" s="133"/>
      <c r="D863" s="133"/>
      <c r="F863">
        <v>3117</v>
      </c>
    </row>
    <row r="864" spans="1:6" x14ac:dyDescent="0.25">
      <c r="A864">
        <v>7603</v>
      </c>
      <c r="B864" s="15">
        <v>45293</v>
      </c>
      <c r="C864" s="114" t="s">
        <v>1</v>
      </c>
      <c r="D864" s="114" t="s">
        <v>1</v>
      </c>
      <c r="F864">
        <v>3118</v>
      </c>
    </row>
    <row r="865" spans="1:6" x14ac:dyDescent="0.25">
      <c r="A865">
        <v>7603</v>
      </c>
      <c r="B865" s="15">
        <v>45294</v>
      </c>
      <c r="C865" s="114" t="s">
        <v>1</v>
      </c>
      <c r="D865" s="114" t="s">
        <v>1</v>
      </c>
      <c r="F865">
        <v>3119</v>
      </c>
    </row>
    <row r="866" spans="1:6" x14ac:dyDescent="0.25">
      <c r="A866">
        <v>7603</v>
      </c>
      <c r="B866" s="15">
        <v>45295</v>
      </c>
      <c r="C866" s="114" t="s">
        <v>1</v>
      </c>
      <c r="D866" s="114" t="s">
        <v>1</v>
      </c>
      <c r="F866">
        <v>3120</v>
      </c>
    </row>
    <row r="867" spans="1:6" x14ac:dyDescent="0.25">
      <c r="A867">
        <v>7603</v>
      </c>
      <c r="B867" s="15">
        <v>45296</v>
      </c>
      <c r="C867" s="114" t="s">
        <v>1</v>
      </c>
      <c r="D867" s="114" t="s">
        <v>1</v>
      </c>
      <c r="F867">
        <v>3121</v>
      </c>
    </row>
    <row r="868" spans="1:6" x14ac:dyDescent="0.25">
      <c r="A868">
        <v>7603</v>
      </c>
      <c r="B868" s="15">
        <v>45297</v>
      </c>
      <c r="C868" s="133"/>
      <c r="D868" s="133"/>
      <c r="F868">
        <v>3122</v>
      </c>
    </row>
    <row r="869" spans="1:6" x14ac:dyDescent="0.25">
      <c r="A869">
        <v>7603</v>
      </c>
      <c r="B869" s="15">
        <v>45298</v>
      </c>
      <c r="C869" s="133"/>
      <c r="D869" s="133"/>
      <c r="F869">
        <v>3123</v>
      </c>
    </row>
    <row r="870" spans="1:6" x14ac:dyDescent="0.25">
      <c r="A870">
        <v>7603</v>
      </c>
      <c r="B870" s="15">
        <v>45299</v>
      </c>
      <c r="C870" s="114" t="s">
        <v>1</v>
      </c>
      <c r="D870" s="114" t="s">
        <v>1</v>
      </c>
      <c r="F870">
        <v>3124</v>
      </c>
    </row>
    <row r="871" spans="1:6" x14ac:dyDescent="0.25">
      <c r="A871">
        <v>7603</v>
      </c>
      <c r="B871" s="15">
        <v>45300</v>
      </c>
      <c r="C871" s="114" t="s">
        <v>1</v>
      </c>
      <c r="D871" s="114" t="s">
        <v>1</v>
      </c>
      <c r="F871">
        <v>3125</v>
      </c>
    </row>
    <row r="872" spans="1:6" x14ac:dyDescent="0.25">
      <c r="A872">
        <v>7603</v>
      </c>
      <c r="B872" s="15">
        <v>45301</v>
      </c>
      <c r="C872" s="114" t="s">
        <v>1</v>
      </c>
      <c r="D872" s="114" t="s">
        <v>1</v>
      </c>
      <c r="F872">
        <v>3126</v>
      </c>
    </row>
    <row r="873" spans="1:6" x14ac:dyDescent="0.25">
      <c r="A873">
        <v>7603</v>
      </c>
      <c r="B873" s="15">
        <v>45302</v>
      </c>
      <c r="C873" s="114" t="s">
        <v>1</v>
      </c>
      <c r="D873" s="114" t="s">
        <v>1</v>
      </c>
      <c r="F873">
        <v>3127</v>
      </c>
    </row>
    <row r="874" spans="1:6" x14ac:dyDescent="0.25">
      <c r="A874">
        <v>7603</v>
      </c>
      <c r="B874" s="15">
        <v>45303</v>
      </c>
      <c r="C874" s="114" t="s">
        <v>1</v>
      </c>
      <c r="D874" s="114" t="s">
        <v>1</v>
      </c>
      <c r="F874">
        <v>3128</v>
      </c>
    </row>
    <row r="875" spans="1:6" x14ac:dyDescent="0.25">
      <c r="A875">
        <v>7603</v>
      </c>
      <c r="B875" s="15">
        <v>45304</v>
      </c>
      <c r="C875" s="133"/>
      <c r="D875" s="133"/>
      <c r="F875">
        <v>3129</v>
      </c>
    </row>
    <row r="876" spans="1:6" x14ac:dyDescent="0.25">
      <c r="A876">
        <v>7603</v>
      </c>
      <c r="B876" s="15">
        <v>45305</v>
      </c>
      <c r="C876" s="133"/>
      <c r="D876" s="133"/>
      <c r="F876">
        <v>3130</v>
      </c>
    </row>
    <row r="877" spans="1:6" x14ac:dyDescent="0.25">
      <c r="A877">
        <v>7603</v>
      </c>
      <c r="B877" s="15">
        <v>45306</v>
      </c>
      <c r="C877" s="105">
        <v>0.35416666666666669</v>
      </c>
      <c r="D877" s="106">
        <v>0.70000000000000007</v>
      </c>
      <c r="F877">
        <v>3131</v>
      </c>
    </row>
    <row r="878" spans="1:6" x14ac:dyDescent="0.25">
      <c r="A878">
        <v>7603</v>
      </c>
      <c r="B878" s="15">
        <v>45307</v>
      </c>
      <c r="C878" s="106">
        <v>0.375</v>
      </c>
      <c r="D878" s="108">
        <v>0.72083333333333333</v>
      </c>
      <c r="F878">
        <v>3132</v>
      </c>
    </row>
    <row r="879" spans="1:6" x14ac:dyDescent="0.25">
      <c r="A879">
        <v>7603</v>
      </c>
      <c r="B879" s="15">
        <v>45308</v>
      </c>
      <c r="C879" s="105">
        <v>0.35416666666666669</v>
      </c>
      <c r="D879" s="106">
        <v>0.70000000000000007</v>
      </c>
      <c r="F879">
        <v>3133</v>
      </c>
    </row>
    <row r="880" spans="1:6" x14ac:dyDescent="0.25">
      <c r="A880">
        <v>7603</v>
      </c>
      <c r="B880" s="15">
        <v>45309</v>
      </c>
      <c r="C880" s="106">
        <v>0.375</v>
      </c>
      <c r="D880" s="108">
        <v>0.72083333333333333</v>
      </c>
      <c r="F880">
        <v>3134</v>
      </c>
    </row>
    <row r="881" spans="1:6" x14ac:dyDescent="0.25">
      <c r="A881">
        <v>7603</v>
      </c>
      <c r="B881" s="15">
        <v>45310</v>
      </c>
      <c r="C881" s="106">
        <v>0.375</v>
      </c>
      <c r="D881" s="108">
        <v>0.72083333333333333</v>
      </c>
      <c r="F881">
        <v>3135</v>
      </c>
    </row>
    <row r="882" spans="1:6" x14ac:dyDescent="0.25">
      <c r="A882">
        <v>7603</v>
      </c>
      <c r="B882" s="15">
        <v>45311</v>
      </c>
      <c r="C882" s="133"/>
      <c r="D882" s="133"/>
      <c r="F882">
        <v>3136</v>
      </c>
    </row>
    <row r="883" spans="1:6" x14ac:dyDescent="0.25">
      <c r="A883">
        <v>7603</v>
      </c>
      <c r="B883" s="15">
        <v>45312</v>
      </c>
      <c r="C883" s="133"/>
      <c r="D883" s="133"/>
      <c r="F883">
        <v>3137</v>
      </c>
    </row>
    <row r="884" spans="1:6" x14ac:dyDescent="0.25">
      <c r="A884">
        <v>7603</v>
      </c>
      <c r="B884" s="15">
        <v>45313</v>
      </c>
      <c r="C884" s="106">
        <v>0.375</v>
      </c>
      <c r="D884" s="108">
        <v>0.72083333333333333</v>
      </c>
      <c r="F884">
        <v>3138</v>
      </c>
    </row>
    <row r="885" spans="1:6" x14ac:dyDescent="0.25">
      <c r="A885">
        <v>7603</v>
      </c>
      <c r="B885" s="15">
        <v>45314</v>
      </c>
      <c r="C885" s="105">
        <v>0.35416666666666669</v>
      </c>
      <c r="D885" s="106">
        <v>0.70000000000000007</v>
      </c>
      <c r="F885">
        <v>3139</v>
      </c>
    </row>
    <row r="886" spans="1:6" x14ac:dyDescent="0.25">
      <c r="A886">
        <v>7603</v>
      </c>
      <c r="B886" s="15">
        <v>45315</v>
      </c>
      <c r="C886" s="132">
        <v>0.44791666666666669</v>
      </c>
      <c r="D886" s="105">
        <v>0.79375000000000007</v>
      </c>
      <c r="F886">
        <v>3140</v>
      </c>
    </row>
    <row r="887" spans="1:6" x14ac:dyDescent="0.25">
      <c r="A887">
        <v>7603</v>
      </c>
      <c r="B887" s="15">
        <v>45316</v>
      </c>
      <c r="C887" s="106">
        <v>0.375</v>
      </c>
      <c r="D887" s="108">
        <v>0.72083333333333333</v>
      </c>
      <c r="F887">
        <v>3141</v>
      </c>
    </row>
    <row r="888" spans="1:6" x14ac:dyDescent="0.25">
      <c r="A888">
        <v>7603</v>
      </c>
      <c r="B888" s="15">
        <v>45317</v>
      </c>
      <c r="C888" s="106">
        <v>0.375</v>
      </c>
      <c r="D888" s="108">
        <v>0.72083333333333333</v>
      </c>
      <c r="F888">
        <v>3142</v>
      </c>
    </row>
    <row r="889" spans="1:6" x14ac:dyDescent="0.25">
      <c r="A889">
        <v>7603</v>
      </c>
      <c r="B889" s="15">
        <v>45318</v>
      </c>
      <c r="C889" s="133"/>
      <c r="D889" s="133"/>
      <c r="F889">
        <v>3143</v>
      </c>
    </row>
    <row r="890" spans="1:6" x14ac:dyDescent="0.25">
      <c r="A890">
        <v>7603</v>
      </c>
      <c r="B890" s="15">
        <v>45319</v>
      </c>
      <c r="C890" s="133"/>
      <c r="D890" s="133"/>
      <c r="F890">
        <v>3144</v>
      </c>
    </row>
    <row r="891" spans="1:6" x14ac:dyDescent="0.25">
      <c r="A891">
        <v>7603</v>
      </c>
      <c r="B891" s="15">
        <v>45320</v>
      </c>
      <c r="C891" s="105">
        <v>0.35416666666666669</v>
      </c>
      <c r="D891" s="106">
        <v>0.70000000000000007</v>
      </c>
      <c r="F891">
        <v>3145</v>
      </c>
    </row>
    <row r="892" spans="1:6" x14ac:dyDescent="0.25">
      <c r="A892">
        <v>7603</v>
      </c>
      <c r="B892" s="15">
        <v>45321</v>
      </c>
      <c r="C892" s="106">
        <v>0.375</v>
      </c>
      <c r="D892" s="108">
        <v>0.72083333333333333</v>
      </c>
      <c r="F892">
        <v>3146</v>
      </c>
    </row>
    <row r="893" spans="1:6" x14ac:dyDescent="0.25">
      <c r="A893">
        <v>7603</v>
      </c>
      <c r="B893" s="15">
        <v>45322</v>
      </c>
      <c r="C893" s="106">
        <v>0.375</v>
      </c>
      <c r="D893" s="108">
        <v>0.72083333333333333</v>
      </c>
      <c r="F893">
        <v>3147</v>
      </c>
    </row>
    <row r="894" spans="1:6" x14ac:dyDescent="0.25">
      <c r="A894">
        <v>7603</v>
      </c>
      <c r="B894" s="15">
        <v>45323</v>
      </c>
      <c r="C894" s="105">
        <v>0.35416666666666669</v>
      </c>
      <c r="D894" s="106">
        <v>0.70000000000000007</v>
      </c>
      <c r="F894">
        <v>3148</v>
      </c>
    </row>
    <row r="895" spans="1:6" x14ac:dyDescent="0.25">
      <c r="A895">
        <v>7603</v>
      </c>
      <c r="B895" s="15">
        <v>45324</v>
      </c>
      <c r="C895" s="106">
        <v>0.375</v>
      </c>
      <c r="D895" s="108">
        <v>0.72083333333333333</v>
      </c>
      <c r="F895">
        <v>3149</v>
      </c>
    </row>
    <row r="896" spans="1:6" x14ac:dyDescent="0.25">
      <c r="A896">
        <v>7603</v>
      </c>
      <c r="B896" s="15">
        <v>45325</v>
      </c>
      <c r="C896" s="133"/>
      <c r="D896" s="133"/>
      <c r="F896">
        <v>3150</v>
      </c>
    </row>
    <row r="897" spans="1:6" x14ac:dyDescent="0.25">
      <c r="A897">
        <v>7603</v>
      </c>
      <c r="B897" s="15">
        <v>45326</v>
      </c>
      <c r="C897" s="133"/>
      <c r="D897" s="133"/>
      <c r="F897">
        <v>3151</v>
      </c>
    </row>
    <row r="898" spans="1:6" x14ac:dyDescent="0.25">
      <c r="A898">
        <v>7603</v>
      </c>
      <c r="B898" s="15">
        <v>45327</v>
      </c>
      <c r="C898" s="106">
        <v>0.375</v>
      </c>
      <c r="D898" s="108">
        <v>0.72083333333333333</v>
      </c>
      <c r="F898">
        <v>3152</v>
      </c>
    </row>
    <row r="899" spans="1:6" x14ac:dyDescent="0.25">
      <c r="A899">
        <v>7603</v>
      </c>
      <c r="B899" s="15">
        <v>45328</v>
      </c>
      <c r="C899" s="105">
        <v>0.35416666666666669</v>
      </c>
      <c r="D899" s="106">
        <v>0.70000000000000007</v>
      </c>
      <c r="F899">
        <v>3153</v>
      </c>
    </row>
    <row r="900" spans="1:6" x14ac:dyDescent="0.25">
      <c r="A900">
        <v>7603</v>
      </c>
      <c r="B900" s="15">
        <v>45329</v>
      </c>
      <c r="C900" s="132">
        <v>0.44791666666666669</v>
      </c>
      <c r="D900" s="105">
        <v>0.79375000000000007</v>
      </c>
      <c r="F900">
        <v>3154</v>
      </c>
    </row>
    <row r="901" spans="1:6" x14ac:dyDescent="0.25">
      <c r="A901">
        <v>7603</v>
      </c>
      <c r="B901" s="15">
        <v>45330</v>
      </c>
      <c r="C901" s="106">
        <v>0.375</v>
      </c>
      <c r="D901" s="108">
        <v>0.72083333333333333</v>
      </c>
      <c r="F901">
        <v>3155</v>
      </c>
    </row>
    <row r="902" spans="1:6" x14ac:dyDescent="0.25">
      <c r="A902">
        <v>7603</v>
      </c>
      <c r="B902" s="15">
        <v>45331</v>
      </c>
      <c r="C902" s="105">
        <v>0.35416666666666669</v>
      </c>
      <c r="D902" s="106">
        <v>0.70000000000000007</v>
      </c>
      <c r="F902">
        <v>3156</v>
      </c>
    </row>
    <row r="903" spans="1:6" x14ac:dyDescent="0.25">
      <c r="A903">
        <v>7603</v>
      </c>
      <c r="B903" s="15">
        <v>45332</v>
      </c>
      <c r="C903" s="133"/>
      <c r="D903" s="133"/>
      <c r="F903">
        <v>3157</v>
      </c>
    </row>
    <row r="904" spans="1:6" x14ac:dyDescent="0.25">
      <c r="A904">
        <v>7603</v>
      </c>
      <c r="B904" s="15">
        <v>45333</v>
      </c>
      <c r="C904" s="133"/>
      <c r="D904" s="133"/>
      <c r="F904">
        <v>3158</v>
      </c>
    </row>
    <row r="905" spans="1:6" x14ac:dyDescent="0.25">
      <c r="A905">
        <v>7603</v>
      </c>
      <c r="B905" s="15">
        <v>45334</v>
      </c>
      <c r="C905" s="105">
        <v>0.35416666666666669</v>
      </c>
      <c r="D905" s="106">
        <v>0.70000000000000007</v>
      </c>
      <c r="F905">
        <v>3159</v>
      </c>
    </row>
    <row r="906" spans="1:6" x14ac:dyDescent="0.25">
      <c r="A906">
        <v>7603</v>
      </c>
      <c r="B906" s="15">
        <v>45335</v>
      </c>
      <c r="C906" s="106">
        <v>0.375</v>
      </c>
      <c r="D906" s="108">
        <v>0.72083333333333333</v>
      </c>
      <c r="F906">
        <v>3160</v>
      </c>
    </row>
    <row r="907" spans="1:6" x14ac:dyDescent="0.25">
      <c r="A907">
        <v>7603</v>
      </c>
      <c r="B907" s="15">
        <v>45336</v>
      </c>
      <c r="C907" s="105">
        <v>0.35416666666666669</v>
      </c>
      <c r="D907" s="106">
        <v>0.70000000000000007</v>
      </c>
      <c r="F907">
        <v>3161</v>
      </c>
    </row>
    <row r="908" spans="1:6" x14ac:dyDescent="0.25">
      <c r="A908">
        <v>7603</v>
      </c>
      <c r="B908" s="15">
        <v>45337</v>
      </c>
      <c r="C908" s="106">
        <v>0.375</v>
      </c>
      <c r="D908" s="108">
        <v>0.72083333333333333</v>
      </c>
      <c r="F908">
        <v>3162</v>
      </c>
    </row>
    <row r="909" spans="1:6" x14ac:dyDescent="0.25">
      <c r="A909">
        <v>7603</v>
      </c>
      <c r="B909" s="15">
        <v>45338</v>
      </c>
      <c r="C909" s="106">
        <v>0.375</v>
      </c>
      <c r="D909" s="108">
        <v>0.72083333333333333</v>
      </c>
      <c r="F909">
        <v>3163</v>
      </c>
    </row>
    <row r="910" spans="1:6" x14ac:dyDescent="0.25">
      <c r="A910">
        <v>7603</v>
      </c>
      <c r="B910" s="15">
        <v>45339</v>
      </c>
      <c r="C910" s="133"/>
      <c r="D910" s="133"/>
      <c r="F910">
        <v>3164</v>
      </c>
    </row>
    <row r="911" spans="1:6" x14ac:dyDescent="0.25">
      <c r="A911">
        <v>7603</v>
      </c>
      <c r="B911" s="15">
        <v>45340</v>
      </c>
      <c r="C911" s="133"/>
      <c r="D911" s="133"/>
      <c r="F911">
        <v>3165</v>
      </c>
    </row>
    <row r="912" spans="1:6" x14ac:dyDescent="0.25">
      <c r="A912">
        <v>7603</v>
      </c>
      <c r="B912" s="15">
        <v>45341</v>
      </c>
      <c r="C912" s="106">
        <v>0.375</v>
      </c>
      <c r="D912" s="108">
        <v>0.72083333333333333</v>
      </c>
      <c r="F912">
        <v>3166</v>
      </c>
    </row>
    <row r="913" spans="1:6" x14ac:dyDescent="0.25">
      <c r="A913">
        <v>7603</v>
      </c>
      <c r="B913" s="15">
        <v>45342</v>
      </c>
      <c r="C913" s="105">
        <v>0.35416666666666669</v>
      </c>
      <c r="D913" s="106">
        <v>0.70000000000000007</v>
      </c>
      <c r="F913">
        <v>3167</v>
      </c>
    </row>
    <row r="914" spans="1:6" x14ac:dyDescent="0.25">
      <c r="A914">
        <v>7603</v>
      </c>
      <c r="B914" s="15">
        <v>45343</v>
      </c>
      <c r="C914" s="132">
        <v>0.44791666666666669</v>
      </c>
      <c r="D914" s="105">
        <v>0.79375000000000007</v>
      </c>
      <c r="F914">
        <v>3168</v>
      </c>
    </row>
    <row r="915" spans="1:6" x14ac:dyDescent="0.25">
      <c r="A915">
        <v>7603</v>
      </c>
      <c r="B915" s="15">
        <v>45344</v>
      </c>
      <c r="C915" s="106">
        <v>0.375</v>
      </c>
      <c r="D915" s="108">
        <v>0.72083333333333333</v>
      </c>
      <c r="F915">
        <v>3169</v>
      </c>
    </row>
    <row r="916" spans="1:6" x14ac:dyDescent="0.25">
      <c r="A916">
        <v>7603</v>
      </c>
      <c r="B916" s="15">
        <v>45345</v>
      </c>
      <c r="C916" s="106">
        <v>0.375</v>
      </c>
      <c r="D916" s="108">
        <v>0.72083333333333333</v>
      </c>
      <c r="F916">
        <v>3170</v>
      </c>
    </row>
    <row r="917" spans="1:6" x14ac:dyDescent="0.25">
      <c r="A917">
        <v>7603</v>
      </c>
      <c r="B917" s="15">
        <v>45346</v>
      </c>
      <c r="C917" s="133"/>
      <c r="D917" s="133"/>
      <c r="F917">
        <v>3171</v>
      </c>
    </row>
    <row r="918" spans="1:6" x14ac:dyDescent="0.25">
      <c r="A918">
        <v>7603</v>
      </c>
      <c r="B918" s="15">
        <v>45347</v>
      </c>
      <c r="C918" s="133"/>
      <c r="D918" s="133"/>
      <c r="F918">
        <v>3172</v>
      </c>
    </row>
    <row r="919" spans="1:6" x14ac:dyDescent="0.25">
      <c r="A919">
        <v>7603</v>
      </c>
      <c r="B919" s="15">
        <v>45348</v>
      </c>
      <c r="C919" s="105">
        <v>0.35416666666666669</v>
      </c>
      <c r="D919" s="106">
        <v>0.70000000000000007</v>
      </c>
      <c r="F919">
        <v>3173</v>
      </c>
    </row>
    <row r="920" spans="1:6" x14ac:dyDescent="0.25">
      <c r="A920">
        <v>7603</v>
      </c>
      <c r="B920" s="15">
        <v>45349</v>
      </c>
      <c r="C920" s="106">
        <v>0.375</v>
      </c>
      <c r="D920" s="108">
        <v>0.72083333333333333</v>
      </c>
      <c r="F920">
        <v>3174</v>
      </c>
    </row>
    <row r="921" spans="1:6" x14ac:dyDescent="0.25">
      <c r="A921">
        <v>7603</v>
      </c>
      <c r="B921" s="15">
        <v>45350</v>
      </c>
      <c r="C921" s="106">
        <v>0.375</v>
      </c>
      <c r="D921" s="108">
        <v>0.72083333333333333</v>
      </c>
      <c r="F921">
        <v>3175</v>
      </c>
    </row>
    <row r="922" spans="1:6" x14ac:dyDescent="0.25">
      <c r="A922">
        <v>7603</v>
      </c>
      <c r="B922" s="15">
        <v>45351</v>
      </c>
      <c r="C922" s="105">
        <v>0.35416666666666669</v>
      </c>
      <c r="D922" s="106">
        <v>0.70000000000000007</v>
      </c>
      <c r="F922">
        <v>3176</v>
      </c>
    </row>
    <row r="923" spans="1:6" x14ac:dyDescent="0.25">
      <c r="A923">
        <v>7603</v>
      </c>
      <c r="B923" s="15">
        <v>45352</v>
      </c>
      <c r="C923" s="106">
        <v>0.375</v>
      </c>
      <c r="D923" s="108">
        <v>0.72083333333333333</v>
      </c>
      <c r="F923">
        <v>3177</v>
      </c>
    </row>
    <row r="924" spans="1:6" x14ac:dyDescent="0.25">
      <c r="A924">
        <v>7603</v>
      </c>
      <c r="B924" s="15">
        <v>45353</v>
      </c>
      <c r="C924" s="133"/>
      <c r="D924" s="133"/>
      <c r="F924">
        <v>3178</v>
      </c>
    </row>
    <row r="925" spans="1:6" x14ac:dyDescent="0.25">
      <c r="A925">
        <v>7603</v>
      </c>
      <c r="B925" s="15">
        <v>45354</v>
      </c>
      <c r="C925" s="133"/>
      <c r="D925" s="133"/>
      <c r="F925">
        <v>3179</v>
      </c>
    </row>
    <row r="926" spans="1:6" x14ac:dyDescent="0.25">
      <c r="A926">
        <v>7603</v>
      </c>
      <c r="B926" s="15">
        <v>45355</v>
      </c>
      <c r="C926" s="106">
        <v>0.375</v>
      </c>
      <c r="D926" s="108">
        <v>0.72083333333333333</v>
      </c>
      <c r="F926">
        <v>3180</v>
      </c>
    </row>
    <row r="927" spans="1:6" x14ac:dyDescent="0.25">
      <c r="A927">
        <v>7603</v>
      </c>
      <c r="B927" s="15">
        <v>45356</v>
      </c>
      <c r="C927" s="105">
        <v>0.35416666666666669</v>
      </c>
      <c r="D927" s="106">
        <v>0.70000000000000007</v>
      </c>
      <c r="F927">
        <v>3181</v>
      </c>
    </row>
    <row r="928" spans="1:6" x14ac:dyDescent="0.25">
      <c r="A928">
        <v>7603</v>
      </c>
      <c r="B928" s="15">
        <v>45357</v>
      </c>
      <c r="C928" s="132">
        <v>0.44791666666666669</v>
      </c>
      <c r="D928" s="105">
        <v>0.79375000000000007</v>
      </c>
      <c r="F928">
        <v>3182</v>
      </c>
    </row>
    <row r="929" spans="1:6" x14ac:dyDescent="0.25">
      <c r="A929">
        <v>7603</v>
      </c>
      <c r="B929" s="15">
        <v>45358</v>
      </c>
      <c r="C929" s="106">
        <v>0.375</v>
      </c>
      <c r="D929" s="108">
        <v>0.72083333333333333</v>
      </c>
      <c r="F929">
        <v>3183</v>
      </c>
    </row>
    <row r="930" spans="1:6" x14ac:dyDescent="0.25">
      <c r="A930">
        <v>7603</v>
      </c>
      <c r="B930" s="15">
        <v>45359</v>
      </c>
      <c r="C930" s="105">
        <v>0.35416666666666669</v>
      </c>
      <c r="D930" s="106">
        <v>0.70000000000000007</v>
      </c>
      <c r="F930">
        <v>3184</v>
      </c>
    </row>
    <row r="931" spans="1:6" x14ac:dyDescent="0.25">
      <c r="A931">
        <v>7603</v>
      </c>
      <c r="B931" s="15">
        <v>45360</v>
      </c>
      <c r="C931" s="133"/>
      <c r="D931" s="133"/>
      <c r="F931">
        <v>3185</v>
      </c>
    </row>
    <row r="932" spans="1:6" x14ac:dyDescent="0.25">
      <c r="A932">
        <v>7603</v>
      </c>
      <c r="B932" s="15">
        <v>45361</v>
      </c>
      <c r="C932" s="133"/>
      <c r="D932" s="133"/>
      <c r="F932">
        <v>3186</v>
      </c>
    </row>
    <row r="933" spans="1:6" x14ac:dyDescent="0.25">
      <c r="A933">
        <v>7603</v>
      </c>
      <c r="B933" s="15">
        <v>45362</v>
      </c>
      <c r="C933" s="105">
        <v>0.35416666666666669</v>
      </c>
      <c r="D933" s="106">
        <v>0.70000000000000007</v>
      </c>
      <c r="F933">
        <v>3187</v>
      </c>
    </row>
    <row r="934" spans="1:6" x14ac:dyDescent="0.25">
      <c r="A934">
        <v>7603</v>
      </c>
      <c r="B934" s="15">
        <v>45363</v>
      </c>
      <c r="C934" s="106">
        <v>0.375</v>
      </c>
      <c r="D934" s="108">
        <v>0.72083333333333333</v>
      </c>
      <c r="F934">
        <v>3188</v>
      </c>
    </row>
    <row r="935" spans="1:6" x14ac:dyDescent="0.25">
      <c r="A935">
        <v>7603</v>
      </c>
      <c r="B935" s="15">
        <v>45364</v>
      </c>
      <c r="C935" s="105">
        <v>0.35416666666666669</v>
      </c>
      <c r="D935" s="106">
        <v>0.70000000000000007</v>
      </c>
      <c r="F935">
        <v>3189</v>
      </c>
    </row>
    <row r="936" spans="1:6" x14ac:dyDescent="0.25">
      <c r="A936">
        <v>7603</v>
      </c>
      <c r="B936" s="15">
        <v>45365</v>
      </c>
      <c r="C936" s="106">
        <v>0.375</v>
      </c>
      <c r="D936" s="108">
        <v>0.72083333333333333</v>
      </c>
      <c r="F936">
        <v>3190</v>
      </c>
    </row>
    <row r="937" spans="1:6" x14ac:dyDescent="0.25">
      <c r="A937">
        <v>7603</v>
      </c>
      <c r="B937" s="15">
        <v>45366</v>
      </c>
      <c r="C937" s="106">
        <v>0.375</v>
      </c>
      <c r="D937" s="108">
        <v>0.72083333333333333</v>
      </c>
      <c r="F937">
        <v>3191</v>
      </c>
    </row>
    <row r="938" spans="1:6" x14ac:dyDescent="0.25">
      <c r="A938">
        <v>7603</v>
      </c>
      <c r="B938" s="15">
        <v>45367</v>
      </c>
      <c r="C938" s="133"/>
      <c r="D938" s="133"/>
      <c r="F938">
        <v>3192</v>
      </c>
    </row>
    <row r="939" spans="1:6" x14ac:dyDescent="0.25">
      <c r="A939">
        <v>7603</v>
      </c>
      <c r="B939" s="15">
        <v>45368</v>
      </c>
      <c r="C939" s="133"/>
      <c r="D939" s="133"/>
      <c r="F939">
        <v>3193</v>
      </c>
    </row>
    <row r="940" spans="1:6" x14ac:dyDescent="0.25">
      <c r="A940">
        <v>7603</v>
      </c>
      <c r="B940" s="15">
        <v>45369</v>
      </c>
      <c r="C940" s="106">
        <v>0.375</v>
      </c>
      <c r="D940" s="108">
        <v>0.72083333333333333</v>
      </c>
      <c r="F940">
        <v>3194</v>
      </c>
    </row>
    <row r="941" spans="1:6" x14ac:dyDescent="0.25">
      <c r="A941">
        <v>7603</v>
      </c>
      <c r="B941" s="15">
        <v>45370</v>
      </c>
      <c r="C941" s="105">
        <v>0.35416666666666669</v>
      </c>
      <c r="D941" s="106">
        <v>0.70000000000000007</v>
      </c>
      <c r="F941">
        <v>3195</v>
      </c>
    </row>
    <row r="942" spans="1:6" x14ac:dyDescent="0.25">
      <c r="A942">
        <v>7603</v>
      </c>
      <c r="B942" s="15">
        <v>45371</v>
      </c>
      <c r="C942" s="132">
        <v>0.44791666666666669</v>
      </c>
      <c r="D942" s="105">
        <v>0.79375000000000007</v>
      </c>
      <c r="F942">
        <v>3196</v>
      </c>
    </row>
    <row r="943" spans="1:6" x14ac:dyDescent="0.25">
      <c r="A943">
        <v>7603</v>
      </c>
      <c r="B943" s="15">
        <v>45372</v>
      </c>
      <c r="C943" s="106">
        <v>0.375</v>
      </c>
      <c r="D943" s="108">
        <v>0.72083333333333333</v>
      </c>
      <c r="F943">
        <v>3197</v>
      </c>
    </row>
    <row r="944" spans="1:6" x14ac:dyDescent="0.25">
      <c r="A944">
        <v>7603</v>
      </c>
      <c r="B944" s="15">
        <v>45373</v>
      </c>
      <c r="C944" s="106">
        <v>0.375</v>
      </c>
      <c r="D944" s="108">
        <v>0.72083333333333333</v>
      </c>
      <c r="F944">
        <v>3198</v>
      </c>
    </row>
    <row r="945" spans="1:6" x14ac:dyDescent="0.25">
      <c r="A945">
        <v>7603</v>
      </c>
      <c r="B945" s="15">
        <v>45374</v>
      </c>
      <c r="C945" s="133"/>
      <c r="D945" s="133"/>
      <c r="F945">
        <v>3199</v>
      </c>
    </row>
    <row r="946" spans="1:6" x14ac:dyDescent="0.25">
      <c r="A946">
        <v>7603</v>
      </c>
      <c r="B946" s="15">
        <v>45375</v>
      </c>
      <c r="C946" s="133"/>
      <c r="D946" s="133"/>
      <c r="F946">
        <v>3200</v>
      </c>
    </row>
    <row r="947" spans="1:6" x14ac:dyDescent="0.25">
      <c r="A947">
        <v>7603</v>
      </c>
      <c r="B947" s="15">
        <v>45376</v>
      </c>
      <c r="C947" s="105">
        <v>0.35416666666666669</v>
      </c>
      <c r="D947" s="106">
        <v>0.70000000000000007</v>
      </c>
      <c r="F947">
        <v>3201</v>
      </c>
    </row>
    <row r="948" spans="1:6" x14ac:dyDescent="0.25">
      <c r="A948">
        <v>7603</v>
      </c>
      <c r="B948" s="15">
        <v>45377</v>
      </c>
      <c r="C948" s="106">
        <v>0.375</v>
      </c>
      <c r="D948" s="108">
        <v>0.72083333333333333</v>
      </c>
      <c r="F948">
        <v>3202</v>
      </c>
    </row>
    <row r="949" spans="1:6" x14ac:dyDescent="0.25">
      <c r="A949">
        <v>7603</v>
      </c>
      <c r="B949" s="15">
        <v>45378</v>
      </c>
      <c r="C949" s="106">
        <v>0.375</v>
      </c>
      <c r="D949" s="108">
        <v>0.72083333333333333</v>
      </c>
      <c r="F949">
        <v>3203</v>
      </c>
    </row>
    <row r="950" spans="1:6" x14ac:dyDescent="0.25">
      <c r="A950">
        <v>7603</v>
      </c>
      <c r="B950" s="15">
        <v>45379</v>
      </c>
      <c r="C950" s="105">
        <v>0.35416666666666669</v>
      </c>
      <c r="D950" s="106">
        <v>0.70000000000000007</v>
      </c>
      <c r="F950">
        <v>3204</v>
      </c>
    </row>
    <row r="951" spans="1:6" x14ac:dyDescent="0.25">
      <c r="A951">
        <v>7603</v>
      </c>
      <c r="B951" s="15">
        <v>45380</v>
      </c>
      <c r="C951" s="106">
        <v>0.375</v>
      </c>
      <c r="D951" s="108">
        <v>0.72083333333333333</v>
      </c>
      <c r="F951">
        <v>3205</v>
      </c>
    </row>
    <row r="952" spans="1:6" x14ac:dyDescent="0.25">
      <c r="A952">
        <v>7603</v>
      </c>
      <c r="B952" s="15">
        <v>45381</v>
      </c>
      <c r="C952" s="133"/>
      <c r="D952" s="133"/>
      <c r="F952">
        <v>3206</v>
      </c>
    </row>
    <row r="953" spans="1:6" x14ac:dyDescent="0.25">
      <c r="A953">
        <v>7603</v>
      </c>
      <c r="B953" s="15">
        <v>45382</v>
      </c>
      <c r="C953" s="133"/>
      <c r="D953" s="133"/>
      <c r="F953">
        <v>3207</v>
      </c>
    </row>
    <row r="954" spans="1:6" x14ac:dyDescent="0.25">
      <c r="A954">
        <v>7603</v>
      </c>
      <c r="B954" s="15">
        <v>45383</v>
      </c>
      <c r="C954" s="133"/>
      <c r="D954" s="133"/>
      <c r="F954">
        <v>3208</v>
      </c>
    </row>
    <row r="955" spans="1:6" x14ac:dyDescent="0.25">
      <c r="A955">
        <v>7603</v>
      </c>
      <c r="B955" s="15">
        <v>45384</v>
      </c>
      <c r="C955" s="105">
        <v>0.35416666666666669</v>
      </c>
      <c r="D955" s="106">
        <v>0.70000000000000007</v>
      </c>
      <c r="F955">
        <v>3209</v>
      </c>
    </row>
    <row r="956" spans="1:6" x14ac:dyDescent="0.25">
      <c r="A956">
        <v>7603</v>
      </c>
      <c r="B956" s="15">
        <v>45385</v>
      </c>
      <c r="C956" s="132">
        <v>0.44791666666666669</v>
      </c>
      <c r="D956" s="105">
        <v>0.79375000000000007</v>
      </c>
      <c r="F956">
        <v>3210</v>
      </c>
    </row>
    <row r="957" spans="1:6" x14ac:dyDescent="0.25">
      <c r="A957">
        <v>7603</v>
      </c>
      <c r="B957" s="15">
        <v>45386</v>
      </c>
      <c r="C957" s="106">
        <v>0.375</v>
      </c>
      <c r="D957" s="108">
        <v>0.72083333333333333</v>
      </c>
      <c r="F957">
        <v>3211</v>
      </c>
    </row>
    <row r="958" spans="1:6" x14ac:dyDescent="0.25">
      <c r="A958">
        <v>7603</v>
      </c>
      <c r="B958" s="15">
        <v>45387</v>
      </c>
      <c r="C958" s="105">
        <v>0.35416666666666669</v>
      </c>
      <c r="D958" s="106">
        <v>0.70000000000000007</v>
      </c>
      <c r="F958">
        <v>3212</v>
      </c>
    </row>
    <row r="959" spans="1:6" x14ac:dyDescent="0.25">
      <c r="A959">
        <v>7603</v>
      </c>
      <c r="B959" s="15">
        <v>45388</v>
      </c>
      <c r="C959" s="133"/>
      <c r="D959" s="133"/>
      <c r="F959">
        <v>3213</v>
      </c>
    </row>
    <row r="960" spans="1:6" x14ac:dyDescent="0.25">
      <c r="A960">
        <v>7603</v>
      </c>
      <c r="B960" s="15">
        <v>45389</v>
      </c>
      <c r="C960" s="133"/>
      <c r="D960" s="133"/>
      <c r="F960">
        <v>3214</v>
      </c>
    </row>
    <row r="961" spans="1:6" x14ac:dyDescent="0.25">
      <c r="A961">
        <v>7603</v>
      </c>
      <c r="B961" s="15">
        <v>45390</v>
      </c>
      <c r="C961" s="105">
        <v>0.35416666666666669</v>
      </c>
      <c r="D961" s="106">
        <v>0.70000000000000007</v>
      </c>
      <c r="F961">
        <v>3215</v>
      </c>
    </row>
    <row r="962" spans="1:6" x14ac:dyDescent="0.25">
      <c r="A962">
        <v>7603</v>
      </c>
      <c r="B962" s="15">
        <v>45391</v>
      </c>
      <c r="C962" s="106">
        <v>0.375</v>
      </c>
      <c r="D962" s="108">
        <v>0.72083333333333333</v>
      </c>
      <c r="F962">
        <v>3216</v>
      </c>
    </row>
    <row r="963" spans="1:6" x14ac:dyDescent="0.25">
      <c r="A963">
        <v>7603</v>
      </c>
      <c r="B963" s="15">
        <v>45392</v>
      </c>
      <c r="C963" s="105">
        <v>0.35416666666666669</v>
      </c>
      <c r="D963" s="106">
        <v>0.70000000000000007</v>
      </c>
      <c r="F963">
        <v>3217</v>
      </c>
    </row>
    <row r="964" spans="1:6" x14ac:dyDescent="0.25">
      <c r="A964">
        <v>7603</v>
      </c>
      <c r="B964" s="15">
        <v>45393</v>
      </c>
      <c r="C964" s="106">
        <v>0.375</v>
      </c>
      <c r="D964" s="108">
        <v>0.72083333333333333</v>
      </c>
      <c r="F964">
        <v>3218</v>
      </c>
    </row>
    <row r="965" spans="1:6" x14ac:dyDescent="0.25">
      <c r="A965">
        <v>7603</v>
      </c>
      <c r="B965" s="15">
        <v>45394</v>
      </c>
      <c r="C965" s="106">
        <v>0.375</v>
      </c>
      <c r="D965" s="108">
        <v>0.72083333333333333</v>
      </c>
      <c r="F965">
        <v>3219</v>
      </c>
    </row>
    <row r="966" spans="1:6" x14ac:dyDescent="0.25">
      <c r="A966">
        <v>7603</v>
      </c>
      <c r="B966" s="15">
        <v>45395</v>
      </c>
      <c r="C966" s="133"/>
      <c r="D966" s="133"/>
      <c r="F966">
        <v>3220</v>
      </c>
    </row>
    <row r="967" spans="1:6" x14ac:dyDescent="0.25">
      <c r="A967">
        <v>7603</v>
      </c>
      <c r="B967" s="15">
        <v>45396</v>
      </c>
      <c r="C967" s="133"/>
      <c r="D967" s="133"/>
      <c r="F967">
        <v>3221</v>
      </c>
    </row>
    <row r="968" spans="1:6" x14ac:dyDescent="0.25">
      <c r="A968">
        <v>7603</v>
      </c>
      <c r="B968" s="15">
        <v>45397</v>
      </c>
      <c r="C968" s="106">
        <v>0.375</v>
      </c>
      <c r="D968" s="108">
        <v>0.72083333333333333</v>
      </c>
      <c r="F968">
        <v>3222</v>
      </c>
    </row>
    <row r="969" spans="1:6" x14ac:dyDescent="0.25">
      <c r="A969">
        <v>7603</v>
      </c>
      <c r="B969" s="15">
        <v>45398</v>
      </c>
      <c r="C969" s="105">
        <v>0.35416666666666669</v>
      </c>
      <c r="D969" s="106">
        <v>0.70000000000000007</v>
      </c>
      <c r="F969">
        <v>3223</v>
      </c>
    </row>
    <row r="970" spans="1:6" x14ac:dyDescent="0.25">
      <c r="A970">
        <v>7603</v>
      </c>
      <c r="B970" s="15">
        <v>45399</v>
      </c>
      <c r="C970" s="132">
        <v>0.44791666666666669</v>
      </c>
      <c r="D970" s="105">
        <v>0.79375000000000007</v>
      </c>
      <c r="F970">
        <v>3224</v>
      </c>
    </row>
    <row r="971" spans="1:6" x14ac:dyDescent="0.25">
      <c r="A971">
        <v>7603</v>
      </c>
      <c r="B971" s="15">
        <v>45400</v>
      </c>
      <c r="C971" s="106">
        <v>0.375</v>
      </c>
      <c r="D971" s="108">
        <v>0.72083333333333333</v>
      </c>
      <c r="F971">
        <v>3225</v>
      </c>
    </row>
    <row r="972" spans="1:6" x14ac:dyDescent="0.25">
      <c r="A972">
        <v>7603</v>
      </c>
      <c r="B972" s="15">
        <v>45401</v>
      </c>
      <c r="C972" s="106">
        <v>0.375</v>
      </c>
      <c r="D972" s="108">
        <v>0.72083333333333333</v>
      </c>
      <c r="F972">
        <v>3226</v>
      </c>
    </row>
    <row r="973" spans="1:6" x14ac:dyDescent="0.25">
      <c r="A973">
        <v>7603</v>
      </c>
      <c r="B973" s="15">
        <v>45402</v>
      </c>
      <c r="C973" s="133"/>
      <c r="D973" s="133"/>
      <c r="F973">
        <v>3227</v>
      </c>
    </row>
    <row r="974" spans="1:6" x14ac:dyDescent="0.25">
      <c r="A974">
        <v>7603</v>
      </c>
      <c r="B974" s="15">
        <v>45403</v>
      </c>
      <c r="C974" s="133"/>
      <c r="D974" s="133"/>
      <c r="F974">
        <v>3228</v>
      </c>
    </row>
    <row r="975" spans="1:6" x14ac:dyDescent="0.25">
      <c r="A975">
        <v>7603</v>
      </c>
      <c r="B975" s="15">
        <v>45404</v>
      </c>
      <c r="C975" s="105">
        <v>0.35416666666666669</v>
      </c>
      <c r="D975" s="106">
        <v>0.70000000000000007</v>
      </c>
      <c r="F975">
        <v>3229</v>
      </c>
    </row>
    <row r="976" spans="1:6" x14ac:dyDescent="0.25">
      <c r="A976">
        <v>7603</v>
      </c>
      <c r="B976" s="15">
        <v>45405</v>
      </c>
      <c r="C976" s="106">
        <v>0.375</v>
      </c>
      <c r="D976" s="108">
        <v>0.72083333333333333</v>
      </c>
      <c r="F976">
        <v>3230</v>
      </c>
    </row>
    <row r="977" spans="1:6" x14ac:dyDescent="0.25">
      <c r="A977">
        <v>7603</v>
      </c>
      <c r="B977" s="15">
        <v>45406</v>
      </c>
      <c r="C977" s="106">
        <v>0.375</v>
      </c>
      <c r="D977" s="108">
        <v>0.72083333333333333</v>
      </c>
      <c r="F977">
        <v>3231</v>
      </c>
    </row>
    <row r="978" spans="1:6" x14ac:dyDescent="0.25">
      <c r="A978">
        <v>7603</v>
      </c>
      <c r="B978" s="15">
        <v>45407</v>
      </c>
      <c r="C978" s="105">
        <v>0.35416666666666669</v>
      </c>
      <c r="D978" s="106">
        <v>0.70000000000000007</v>
      </c>
      <c r="F978">
        <v>3232</v>
      </c>
    </row>
    <row r="979" spans="1:6" x14ac:dyDescent="0.25">
      <c r="A979">
        <v>7603</v>
      </c>
      <c r="B979" s="15">
        <v>45408</v>
      </c>
      <c r="C979" s="106">
        <v>0.375</v>
      </c>
      <c r="D979" s="108">
        <v>0.72083333333333333</v>
      </c>
      <c r="F979">
        <v>3233</v>
      </c>
    </row>
    <row r="980" spans="1:6" x14ac:dyDescent="0.25">
      <c r="A980">
        <v>7603</v>
      </c>
      <c r="B980" s="15">
        <v>45409</v>
      </c>
      <c r="C980" s="133"/>
      <c r="D980" s="133"/>
      <c r="F980">
        <v>3234</v>
      </c>
    </row>
    <row r="981" spans="1:6" x14ac:dyDescent="0.25">
      <c r="A981">
        <v>7603</v>
      </c>
      <c r="B981" s="15">
        <v>45410</v>
      </c>
      <c r="C981" s="133"/>
      <c r="D981" s="133"/>
      <c r="F981">
        <v>3235</v>
      </c>
    </row>
    <row r="982" spans="1:6" x14ac:dyDescent="0.25">
      <c r="A982">
        <v>7603</v>
      </c>
      <c r="B982" s="15">
        <v>45411</v>
      </c>
      <c r="C982" s="106">
        <v>0.375</v>
      </c>
      <c r="D982" s="108">
        <v>0.72083333333333333</v>
      </c>
      <c r="F982">
        <v>3236</v>
      </c>
    </row>
    <row r="983" spans="1:6" x14ac:dyDescent="0.25">
      <c r="A983">
        <v>7603</v>
      </c>
      <c r="B983" s="15">
        <v>45412</v>
      </c>
      <c r="C983" s="105">
        <v>0.35416666666666669</v>
      </c>
      <c r="D983" s="106">
        <v>0.70000000000000007</v>
      </c>
      <c r="F983">
        <v>3237</v>
      </c>
    </row>
    <row r="984" spans="1:6" x14ac:dyDescent="0.25">
      <c r="A984">
        <v>7603</v>
      </c>
      <c r="B984" s="15">
        <v>45413</v>
      </c>
      <c r="C984" s="119"/>
      <c r="D984" s="119"/>
      <c r="F984">
        <v>3238</v>
      </c>
    </row>
    <row r="985" spans="1:6" x14ac:dyDescent="0.25">
      <c r="A985">
        <v>7603</v>
      </c>
      <c r="B985" s="15">
        <v>45414</v>
      </c>
      <c r="C985" s="106">
        <v>0.375</v>
      </c>
      <c r="D985" s="108">
        <v>0.72083333333333333</v>
      </c>
      <c r="F985">
        <v>3239</v>
      </c>
    </row>
    <row r="986" spans="1:6" x14ac:dyDescent="0.25">
      <c r="A986">
        <v>7603</v>
      </c>
      <c r="B986" s="15">
        <v>45415</v>
      </c>
      <c r="C986" s="105">
        <v>0.35416666666666669</v>
      </c>
      <c r="D986" s="106">
        <v>0.70000000000000007</v>
      </c>
      <c r="F986">
        <v>3240</v>
      </c>
    </row>
    <row r="987" spans="1:6" x14ac:dyDescent="0.25">
      <c r="A987">
        <v>7603</v>
      </c>
      <c r="B987" s="15">
        <v>45416</v>
      </c>
      <c r="C987" s="133"/>
      <c r="D987" s="133"/>
      <c r="F987">
        <v>3241</v>
      </c>
    </row>
    <row r="988" spans="1:6" x14ac:dyDescent="0.25">
      <c r="A988">
        <v>7603</v>
      </c>
      <c r="B988" s="15">
        <v>45417</v>
      </c>
      <c r="C988" s="133"/>
      <c r="D988" s="133"/>
      <c r="F988">
        <v>3242</v>
      </c>
    </row>
    <row r="989" spans="1:6" x14ac:dyDescent="0.25">
      <c r="A989">
        <v>7603</v>
      </c>
      <c r="B989" s="15">
        <v>45418</v>
      </c>
      <c r="C989" s="105">
        <v>0.35416666666666669</v>
      </c>
      <c r="D989" s="106">
        <v>0.70000000000000007</v>
      </c>
      <c r="F989">
        <v>3243</v>
      </c>
    </row>
    <row r="990" spans="1:6" x14ac:dyDescent="0.25">
      <c r="A990">
        <v>7603</v>
      </c>
      <c r="B990" s="15">
        <v>45419</v>
      </c>
      <c r="C990" s="106">
        <v>0.375</v>
      </c>
      <c r="D990" s="108">
        <v>0.72083333333333333</v>
      </c>
      <c r="F990">
        <v>3244</v>
      </c>
    </row>
    <row r="991" spans="1:6" x14ac:dyDescent="0.25">
      <c r="A991">
        <v>7603</v>
      </c>
      <c r="B991" s="15">
        <v>45420</v>
      </c>
      <c r="C991" s="119"/>
      <c r="D991" s="119"/>
      <c r="F991">
        <v>3245</v>
      </c>
    </row>
    <row r="992" spans="1:6" x14ac:dyDescent="0.25">
      <c r="A992">
        <v>7603</v>
      </c>
      <c r="B992" s="15">
        <v>45421</v>
      </c>
      <c r="C992" s="106">
        <v>0.375</v>
      </c>
      <c r="D992" s="108">
        <v>0.72083333333333333</v>
      </c>
      <c r="F992">
        <v>3246</v>
      </c>
    </row>
    <row r="993" spans="1:6" x14ac:dyDescent="0.25">
      <c r="A993">
        <v>7603</v>
      </c>
      <c r="B993" s="15">
        <v>45422</v>
      </c>
      <c r="C993" s="106">
        <v>0.375</v>
      </c>
      <c r="D993" s="108">
        <v>0.72083333333333333</v>
      </c>
      <c r="F993">
        <v>3247</v>
      </c>
    </row>
    <row r="994" spans="1:6" x14ac:dyDescent="0.25">
      <c r="A994">
        <v>7603</v>
      </c>
      <c r="B994" s="15">
        <v>45423</v>
      </c>
      <c r="C994" s="133"/>
      <c r="D994" s="133"/>
      <c r="F994">
        <v>3248</v>
      </c>
    </row>
    <row r="995" spans="1:6" x14ac:dyDescent="0.25">
      <c r="A995">
        <v>7603</v>
      </c>
      <c r="B995" s="15">
        <v>45424</v>
      </c>
      <c r="C995" s="133"/>
      <c r="D995" s="133"/>
      <c r="F995">
        <v>3249</v>
      </c>
    </row>
    <row r="996" spans="1:6" x14ac:dyDescent="0.25">
      <c r="A996">
        <v>7603</v>
      </c>
      <c r="B996" s="15">
        <v>45425</v>
      </c>
      <c r="C996" s="106">
        <v>0.375</v>
      </c>
      <c r="D996" s="108">
        <v>0.72083333333333333</v>
      </c>
      <c r="F996">
        <v>3250</v>
      </c>
    </row>
    <row r="997" spans="1:6" x14ac:dyDescent="0.25">
      <c r="A997">
        <v>7603</v>
      </c>
      <c r="B997" s="15">
        <v>45426</v>
      </c>
      <c r="C997" s="105">
        <v>0.35416666666666669</v>
      </c>
      <c r="D997" s="106">
        <v>0.70000000000000007</v>
      </c>
      <c r="F997">
        <v>3251</v>
      </c>
    </row>
    <row r="998" spans="1:6" x14ac:dyDescent="0.25">
      <c r="A998">
        <v>7603</v>
      </c>
      <c r="B998" s="15">
        <v>45427</v>
      </c>
      <c r="C998" s="132">
        <v>0.44791666666666669</v>
      </c>
      <c r="D998" s="105">
        <v>0.79375000000000007</v>
      </c>
      <c r="F998">
        <v>3252</v>
      </c>
    </row>
    <row r="999" spans="1:6" x14ac:dyDescent="0.25">
      <c r="A999">
        <v>7603</v>
      </c>
      <c r="B999" s="15">
        <v>45428</v>
      </c>
      <c r="C999" s="106">
        <v>0.375</v>
      </c>
      <c r="D999" s="108">
        <v>0.72083333333333333</v>
      </c>
      <c r="F999">
        <v>3253</v>
      </c>
    </row>
    <row r="1000" spans="1:6" x14ac:dyDescent="0.25">
      <c r="A1000">
        <v>7603</v>
      </c>
      <c r="B1000" s="15">
        <v>45429</v>
      </c>
      <c r="C1000" s="106">
        <v>0.375</v>
      </c>
      <c r="D1000" s="108">
        <v>0.72083333333333333</v>
      </c>
      <c r="F1000">
        <v>3254</v>
      </c>
    </row>
    <row r="1001" spans="1:6" x14ac:dyDescent="0.25">
      <c r="A1001">
        <v>7603</v>
      </c>
      <c r="B1001" s="15">
        <v>45430</v>
      </c>
      <c r="C1001" s="133"/>
      <c r="D1001" s="133"/>
      <c r="F1001">
        <v>3255</v>
      </c>
    </row>
    <row r="1002" spans="1:6" x14ac:dyDescent="0.25">
      <c r="A1002">
        <v>7603</v>
      </c>
      <c r="B1002" s="15">
        <v>45431</v>
      </c>
      <c r="C1002" s="133"/>
      <c r="D1002" s="133"/>
      <c r="F1002">
        <v>3256</v>
      </c>
    </row>
    <row r="1003" spans="1:6" x14ac:dyDescent="0.25">
      <c r="A1003">
        <v>7603</v>
      </c>
      <c r="B1003" s="15">
        <v>45432</v>
      </c>
      <c r="C1003" s="105">
        <v>0.35416666666666669</v>
      </c>
      <c r="D1003" s="106">
        <v>0.70000000000000007</v>
      </c>
      <c r="F1003">
        <v>3257</v>
      </c>
    </row>
    <row r="1004" spans="1:6" x14ac:dyDescent="0.25">
      <c r="A1004">
        <v>7603</v>
      </c>
      <c r="B1004" s="15">
        <v>45433</v>
      </c>
      <c r="C1004" s="106">
        <v>0.375</v>
      </c>
      <c r="D1004" s="108">
        <v>0.72083333333333333</v>
      </c>
      <c r="F1004">
        <v>3258</v>
      </c>
    </row>
    <row r="1005" spans="1:6" x14ac:dyDescent="0.25">
      <c r="A1005">
        <v>7603</v>
      </c>
      <c r="B1005" s="15">
        <v>45434</v>
      </c>
      <c r="C1005" s="106">
        <v>0.375</v>
      </c>
      <c r="D1005" s="108">
        <v>0.72083333333333333</v>
      </c>
      <c r="F1005">
        <v>3259</v>
      </c>
    </row>
    <row r="1006" spans="1:6" x14ac:dyDescent="0.25">
      <c r="A1006">
        <v>7603</v>
      </c>
      <c r="B1006" s="15">
        <v>45435</v>
      </c>
      <c r="C1006" s="105">
        <v>0.35416666666666669</v>
      </c>
      <c r="D1006" s="106">
        <v>0.70000000000000007</v>
      </c>
      <c r="F1006">
        <v>3260</v>
      </c>
    </row>
    <row r="1007" spans="1:6" x14ac:dyDescent="0.25">
      <c r="A1007">
        <v>7603</v>
      </c>
      <c r="B1007" s="15">
        <v>45436</v>
      </c>
      <c r="C1007" s="106">
        <v>0.375</v>
      </c>
      <c r="D1007" s="108">
        <v>0.72083333333333333</v>
      </c>
      <c r="F1007">
        <v>3261</v>
      </c>
    </row>
    <row r="1008" spans="1:6" x14ac:dyDescent="0.25">
      <c r="A1008">
        <v>7603</v>
      </c>
      <c r="B1008" s="15">
        <v>45437</v>
      </c>
      <c r="C1008" s="133"/>
      <c r="D1008" s="133"/>
      <c r="F1008">
        <v>3262</v>
      </c>
    </row>
    <row r="1009" spans="1:6" x14ac:dyDescent="0.25">
      <c r="A1009">
        <v>7603</v>
      </c>
      <c r="B1009" s="15">
        <v>45438</v>
      </c>
      <c r="C1009" s="133"/>
      <c r="D1009" s="133"/>
      <c r="F1009">
        <v>3263</v>
      </c>
    </row>
    <row r="1010" spans="1:6" x14ac:dyDescent="0.25">
      <c r="A1010">
        <v>7603</v>
      </c>
      <c r="B1010" s="15">
        <v>45439</v>
      </c>
      <c r="C1010" s="106">
        <v>0.375</v>
      </c>
      <c r="D1010" s="108">
        <v>0.72083333333333333</v>
      </c>
      <c r="F1010">
        <v>3264</v>
      </c>
    </row>
    <row r="1011" spans="1:6" x14ac:dyDescent="0.25">
      <c r="A1011">
        <v>7603</v>
      </c>
      <c r="B1011" s="15">
        <v>45440</v>
      </c>
      <c r="C1011" s="105">
        <v>0.35416666666666669</v>
      </c>
      <c r="D1011" s="106">
        <v>0.70000000000000007</v>
      </c>
      <c r="F1011">
        <v>3265</v>
      </c>
    </row>
    <row r="1012" spans="1:6" x14ac:dyDescent="0.25">
      <c r="A1012">
        <v>7603</v>
      </c>
      <c r="B1012" s="15">
        <v>45441</v>
      </c>
      <c r="C1012" s="132">
        <v>0.44791666666666669</v>
      </c>
      <c r="D1012" s="105">
        <v>0.79375000000000007</v>
      </c>
      <c r="F1012">
        <v>3266</v>
      </c>
    </row>
    <row r="1013" spans="1:6" x14ac:dyDescent="0.25">
      <c r="A1013">
        <v>7603</v>
      </c>
      <c r="B1013" s="15">
        <v>45442</v>
      </c>
      <c r="C1013" s="106">
        <v>0.375</v>
      </c>
      <c r="D1013" s="108">
        <v>0.72083333333333333</v>
      </c>
      <c r="F1013">
        <v>3267</v>
      </c>
    </row>
    <row r="1014" spans="1:6" x14ac:dyDescent="0.25">
      <c r="A1014">
        <v>7603</v>
      </c>
      <c r="B1014" s="15">
        <v>45443</v>
      </c>
      <c r="C1014" s="105">
        <v>0.35416666666666669</v>
      </c>
      <c r="D1014" s="106">
        <v>0.70000000000000007</v>
      </c>
      <c r="F1014">
        <v>3268</v>
      </c>
    </row>
    <row r="1015" spans="1:6" x14ac:dyDescent="0.25">
      <c r="A1015">
        <v>7603</v>
      </c>
      <c r="B1015" s="15">
        <v>45444</v>
      </c>
      <c r="C1015" s="133"/>
      <c r="D1015" s="133"/>
      <c r="F1015">
        <v>3269</v>
      </c>
    </row>
    <row r="1016" spans="1:6" x14ac:dyDescent="0.25">
      <c r="A1016">
        <v>7603</v>
      </c>
      <c r="B1016" s="15">
        <v>45445</v>
      </c>
      <c r="C1016" s="133"/>
      <c r="D1016" s="133"/>
      <c r="F1016">
        <v>3270</v>
      </c>
    </row>
    <row r="1017" spans="1:6" x14ac:dyDescent="0.25">
      <c r="A1017">
        <v>7603</v>
      </c>
      <c r="B1017" s="15">
        <v>45446</v>
      </c>
      <c r="C1017" s="105">
        <v>0.35416666666666669</v>
      </c>
      <c r="D1017" s="106">
        <v>0.70000000000000007</v>
      </c>
      <c r="F1017">
        <v>3271</v>
      </c>
    </row>
    <row r="1018" spans="1:6" x14ac:dyDescent="0.25">
      <c r="A1018">
        <v>7603</v>
      </c>
      <c r="B1018" s="15">
        <v>45447</v>
      </c>
      <c r="C1018" s="106">
        <v>0.375</v>
      </c>
      <c r="D1018" s="108">
        <v>0.72083333333333333</v>
      </c>
      <c r="F1018">
        <v>3272</v>
      </c>
    </row>
    <row r="1019" spans="1:6" x14ac:dyDescent="0.25">
      <c r="A1019">
        <v>7603</v>
      </c>
      <c r="B1019" s="15">
        <v>45448</v>
      </c>
      <c r="C1019" s="105">
        <v>0.35416666666666669</v>
      </c>
      <c r="D1019" s="106">
        <v>0.70000000000000007</v>
      </c>
      <c r="F1019">
        <v>3273</v>
      </c>
    </row>
    <row r="1020" spans="1:6" x14ac:dyDescent="0.25">
      <c r="A1020">
        <v>7603</v>
      </c>
      <c r="B1020" s="15">
        <v>45449</v>
      </c>
      <c r="C1020" s="106">
        <v>0.375</v>
      </c>
      <c r="D1020" s="108">
        <v>0.72083333333333333</v>
      </c>
      <c r="F1020">
        <v>3274</v>
      </c>
    </row>
    <row r="1021" spans="1:6" x14ac:dyDescent="0.25">
      <c r="A1021">
        <v>7603</v>
      </c>
      <c r="B1021" s="15">
        <v>45450</v>
      </c>
      <c r="C1021" s="106">
        <v>0.375</v>
      </c>
      <c r="D1021" s="108">
        <v>0.72083333333333333</v>
      </c>
      <c r="F1021">
        <v>3275</v>
      </c>
    </row>
    <row r="1022" spans="1:6" x14ac:dyDescent="0.25">
      <c r="A1022">
        <v>7603</v>
      </c>
      <c r="B1022" s="15">
        <v>45451</v>
      </c>
      <c r="C1022" s="133"/>
      <c r="D1022" s="133"/>
      <c r="F1022">
        <v>3276</v>
      </c>
    </row>
    <row r="1023" spans="1:6" x14ac:dyDescent="0.25">
      <c r="A1023">
        <v>7603</v>
      </c>
      <c r="B1023" s="15">
        <v>45452</v>
      </c>
      <c r="C1023" s="133"/>
      <c r="D1023" s="133"/>
      <c r="F1023">
        <v>3277</v>
      </c>
    </row>
    <row r="1024" spans="1:6" x14ac:dyDescent="0.25">
      <c r="A1024">
        <v>7603</v>
      </c>
      <c r="B1024" s="15">
        <v>45453</v>
      </c>
      <c r="C1024" s="106">
        <v>0.375</v>
      </c>
      <c r="D1024" s="108">
        <v>0.72083333333333333</v>
      </c>
      <c r="F1024">
        <v>3278</v>
      </c>
    </row>
    <row r="1025" spans="1:6" x14ac:dyDescent="0.25">
      <c r="A1025">
        <v>7603</v>
      </c>
      <c r="B1025" s="15">
        <v>45454</v>
      </c>
      <c r="C1025" s="105">
        <v>0.35416666666666669</v>
      </c>
      <c r="D1025" s="106">
        <v>0.70000000000000007</v>
      </c>
      <c r="F1025">
        <v>3279</v>
      </c>
    </row>
    <row r="1026" spans="1:6" x14ac:dyDescent="0.25">
      <c r="A1026">
        <v>7603</v>
      </c>
      <c r="B1026" s="15">
        <v>45455</v>
      </c>
      <c r="C1026" s="132">
        <v>0.44791666666666669</v>
      </c>
      <c r="D1026" s="105">
        <v>0.79375000000000007</v>
      </c>
      <c r="F1026">
        <v>3280</v>
      </c>
    </row>
    <row r="1027" spans="1:6" x14ac:dyDescent="0.25">
      <c r="A1027">
        <v>7603</v>
      </c>
      <c r="B1027" s="15">
        <v>45456</v>
      </c>
      <c r="C1027" s="106">
        <v>0.375</v>
      </c>
      <c r="D1027" s="108">
        <v>0.72083333333333333</v>
      </c>
      <c r="F1027">
        <v>3281</v>
      </c>
    </row>
    <row r="1028" spans="1:6" x14ac:dyDescent="0.25">
      <c r="A1028">
        <v>7603</v>
      </c>
      <c r="B1028" s="15">
        <v>45457</v>
      </c>
      <c r="C1028" s="106">
        <v>0.375</v>
      </c>
      <c r="D1028" s="108">
        <v>0.72083333333333333</v>
      </c>
      <c r="F1028">
        <v>3282</v>
      </c>
    </row>
    <row r="1029" spans="1:6" x14ac:dyDescent="0.25">
      <c r="A1029">
        <v>7603</v>
      </c>
      <c r="B1029" s="15">
        <v>45458</v>
      </c>
      <c r="C1029" s="133"/>
      <c r="D1029" s="133"/>
      <c r="F1029">
        <v>3283</v>
      </c>
    </row>
    <row r="1030" spans="1:6" x14ac:dyDescent="0.25">
      <c r="A1030">
        <v>7603</v>
      </c>
      <c r="B1030" s="15">
        <v>45459</v>
      </c>
      <c r="C1030" s="133"/>
      <c r="D1030" s="133"/>
      <c r="F1030">
        <v>3284</v>
      </c>
    </row>
    <row r="1031" spans="1:6" x14ac:dyDescent="0.25">
      <c r="A1031">
        <v>7603</v>
      </c>
      <c r="B1031" s="15">
        <v>45460</v>
      </c>
      <c r="C1031" s="105">
        <v>0.35416666666666669</v>
      </c>
      <c r="D1031" s="106">
        <v>0.70000000000000007</v>
      </c>
      <c r="F1031">
        <v>3285</v>
      </c>
    </row>
    <row r="1032" spans="1:6" x14ac:dyDescent="0.25">
      <c r="A1032">
        <v>7603</v>
      </c>
      <c r="B1032" s="15">
        <v>45461</v>
      </c>
      <c r="C1032" s="106">
        <v>0.375</v>
      </c>
      <c r="D1032" s="108">
        <v>0.72083333333333333</v>
      </c>
      <c r="F1032">
        <v>3286</v>
      </c>
    </row>
    <row r="1033" spans="1:6" x14ac:dyDescent="0.25">
      <c r="A1033">
        <v>7603</v>
      </c>
      <c r="B1033" s="15">
        <v>45462</v>
      </c>
      <c r="C1033" s="106">
        <v>0.375</v>
      </c>
      <c r="D1033" s="108">
        <v>0.72083333333333333</v>
      </c>
      <c r="F1033">
        <v>3287</v>
      </c>
    </row>
    <row r="1034" spans="1:6" x14ac:dyDescent="0.25">
      <c r="A1034">
        <v>7603</v>
      </c>
      <c r="B1034" s="15">
        <v>45463</v>
      </c>
      <c r="C1034" s="105">
        <v>0.35416666666666669</v>
      </c>
      <c r="D1034" s="106">
        <v>0.70000000000000007</v>
      </c>
      <c r="F1034">
        <v>3288</v>
      </c>
    </row>
    <row r="1035" spans="1:6" x14ac:dyDescent="0.25">
      <c r="A1035">
        <v>7603</v>
      </c>
      <c r="B1035" s="15">
        <v>45464</v>
      </c>
      <c r="C1035" s="106">
        <v>0.375</v>
      </c>
      <c r="D1035" s="108">
        <v>0.72083333333333333</v>
      </c>
      <c r="F1035">
        <v>3289</v>
      </c>
    </row>
    <row r="1036" spans="1:6" x14ac:dyDescent="0.25">
      <c r="A1036">
        <v>7603</v>
      </c>
      <c r="B1036" s="15">
        <v>45465</v>
      </c>
      <c r="C1036" s="133"/>
      <c r="D1036" s="133"/>
      <c r="F1036">
        <v>3290</v>
      </c>
    </row>
    <row r="1037" spans="1:6" x14ac:dyDescent="0.25">
      <c r="A1037">
        <v>7603</v>
      </c>
      <c r="B1037" s="15">
        <v>45466</v>
      </c>
      <c r="C1037" s="133"/>
      <c r="D1037" s="133"/>
      <c r="F1037">
        <v>3291</v>
      </c>
    </row>
    <row r="1038" spans="1:6" x14ac:dyDescent="0.25">
      <c r="A1038">
        <v>7603</v>
      </c>
      <c r="B1038" s="15">
        <v>45467</v>
      </c>
      <c r="C1038" s="106">
        <v>0.375</v>
      </c>
      <c r="D1038" s="108">
        <v>0.72083333333333333</v>
      </c>
      <c r="F1038">
        <v>3292</v>
      </c>
    </row>
    <row r="1039" spans="1:6" x14ac:dyDescent="0.25">
      <c r="A1039">
        <v>7603</v>
      </c>
      <c r="B1039" s="15">
        <v>45468</v>
      </c>
      <c r="C1039" s="105">
        <v>0.35416666666666669</v>
      </c>
      <c r="D1039" s="106">
        <v>0.70000000000000007</v>
      </c>
      <c r="F1039">
        <v>3293</v>
      </c>
    </row>
    <row r="1040" spans="1:6" x14ac:dyDescent="0.25">
      <c r="A1040">
        <v>7603</v>
      </c>
      <c r="B1040" s="15">
        <v>45469</v>
      </c>
      <c r="C1040" s="132">
        <v>0.44791666666666669</v>
      </c>
      <c r="D1040" s="105">
        <v>0.79375000000000007</v>
      </c>
      <c r="F1040">
        <v>3294</v>
      </c>
    </row>
    <row r="1041" spans="1:6" x14ac:dyDescent="0.25">
      <c r="A1041">
        <v>7603</v>
      </c>
      <c r="B1041" s="15">
        <v>45470</v>
      </c>
      <c r="C1041" s="106">
        <v>0.375</v>
      </c>
      <c r="D1041" s="108">
        <v>0.72083333333333333</v>
      </c>
      <c r="F1041">
        <v>3295</v>
      </c>
    </row>
    <row r="1042" spans="1:6" x14ac:dyDescent="0.25">
      <c r="A1042">
        <v>7603</v>
      </c>
      <c r="B1042" s="15">
        <v>45471</v>
      </c>
      <c r="C1042" s="105">
        <v>0.35416666666666669</v>
      </c>
      <c r="D1042" s="106">
        <v>0.70000000000000007</v>
      </c>
      <c r="F1042">
        <v>3296</v>
      </c>
    </row>
    <row r="1043" spans="1:6" x14ac:dyDescent="0.25">
      <c r="A1043">
        <v>7603</v>
      </c>
      <c r="B1043" s="15">
        <v>45472</v>
      </c>
      <c r="C1043" s="133"/>
      <c r="D1043" s="133"/>
      <c r="F1043">
        <v>3297</v>
      </c>
    </row>
    <row r="1044" spans="1:6" x14ac:dyDescent="0.25">
      <c r="A1044">
        <v>7603</v>
      </c>
      <c r="B1044" s="15">
        <v>45473</v>
      </c>
      <c r="C1044" s="133"/>
      <c r="D1044" s="133"/>
      <c r="F1044">
        <v>3298</v>
      </c>
    </row>
    <row r="1045" spans="1:6" x14ac:dyDescent="0.25">
      <c r="A1045">
        <v>7603</v>
      </c>
      <c r="B1045" s="15">
        <v>45474</v>
      </c>
      <c r="C1045" s="105">
        <v>0.35416666666666669</v>
      </c>
      <c r="D1045" s="106">
        <v>0.70000000000000007</v>
      </c>
      <c r="F1045">
        <v>3299</v>
      </c>
    </row>
    <row r="1046" spans="1:6" x14ac:dyDescent="0.25">
      <c r="A1046">
        <v>7603</v>
      </c>
      <c r="B1046" s="15">
        <v>45475</v>
      </c>
      <c r="C1046" s="106">
        <v>0.375</v>
      </c>
      <c r="D1046" s="108">
        <v>0.72083333333333333</v>
      </c>
      <c r="F1046">
        <v>3300</v>
      </c>
    </row>
    <row r="1047" spans="1:6" x14ac:dyDescent="0.25">
      <c r="A1047">
        <v>7603</v>
      </c>
      <c r="B1047" s="15">
        <v>45476</v>
      </c>
      <c r="C1047" s="105">
        <v>0.35416666666666669</v>
      </c>
      <c r="D1047" s="106">
        <v>0.70000000000000007</v>
      </c>
      <c r="F1047">
        <v>3301</v>
      </c>
    </row>
    <row r="1048" spans="1:6" x14ac:dyDescent="0.25">
      <c r="A1048">
        <v>7603</v>
      </c>
      <c r="B1048" s="15">
        <v>45477</v>
      </c>
      <c r="C1048" s="106">
        <v>0.375</v>
      </c>
      <c r="D1048" s="108">
        <v>0.72083333333333333</v>
      </c>
      <c r="F1048">
        <v>3302</v>
      </c>
    </row>
    <row r="1049" spans="1:6" x14ac:dyDescent="0.25">
      <c r="A1049">
        <v>7603</v>
      </c>
      <c r="B1049" s="15">
        <v>45478</v>
      </c>
      <c r="C1049" s="106">
        <v>0.375</v>
      </c>
      <c r="D1049" s="108">
        <v>0.72083333333333333</v>
      </c>
      <c r="F1049">
        <v>3303</v>
      </c>
    </row>
    <row r="1050" spans="1:6" x14ac:dyDescent="0.25">
      <c r="A1050">
        <v>7603</v>
      </c>
      <c r="B1050" s="15">
        <v>45479</v>
      </c>
      <c r="C1050" s="133"/>
      <c r="D1050" s="133"/>
      <c r="F1050">
        <v>3304</v>
      </c>
    </row>
    <row r="1051" spans="1:6" x14ac:dyDescent="0.25">
      <c r="A1051">
        <v>7603</v>
      </c>
      <c r="B1051" s="15">
        <v>45480</v>
      </c>
      <c r="C1051" s="133"/>
      <c r="D1051" s="133"/>
      <c r="F1051">
        <v>3305</v>
      </c>
    </row>
    <row r="1052" spans="1:6" x14ac:dyDescent="0.25">
      <c r="A1052">
        <v>7603</v>
      </c>
      <c r="B1052" s="15">
        <v>45481</v>
      </c>
      <c r="C1052" s="106">
        <v>0.375</v>
      </c>
      <c r="D1052" s="108">
        <v>0.72083333333333333</v>
      </c>
      <c r="F1052">
        <v>3306</v>
      </c>
    </row>
    <row r="1053" spans="1:6" x14ac:dyDescent="0.25">
      <c r="A1053">
        <v>7603</v>
      </c>
      <c r="B1053" s="15">
        <v>45482</v>
      </c>
      <c r="C1053" s="105">
        <v>0.35416666666666669</v>
      </c>
      <c r="D1053" s="106">
        <v>0.70000000000000007</v>
      </c>
      <c r="F1053">
        <v>3307</v>
      </c>
    </row>
    <row r="1054" spans="1:6" x14ac:dyDescent="0.25">
      <c r="A1054">
        <v>7603</v>
      </c>
      <c r="B1054" s="15">
        <v>45483</v>
      </c>
      <c r="C1054" s="132">
        <v>0.44791666666666669</v>
      </c>
      <c r="D1054" s="105">
        <v>0.79375000000000007</v>
      </c>
      <c r="F1054">
        <v>3308</v>
      </c>
    </row>
    <row r="1055" spans="1:6" x14ac:dyDescent="0.25">
      <c r="A1055">
        <v>7603</v>
      </c>
      <c r="B1055" s="15">
        <v>45484</v>
      </c>
      <c r="C1055" s="106">
        <v>0.375</v>
      </c>
      <c r="D1055" s="108">
        <v>0.72083333333333333</v>
      </c>
      <c r="F1055">
        <v>3309</v>
      </c>
    </row>
    <row r="1056" spans="1:6" x14ac:dyDescent="0.25">
      <c r="A1056">
        <v>7603</v>
      </c>
      <c r="B1056" s="15">
        <v>45485</v>
      </c>
      <c r="C1056" s="106">
        <v>0.375</v>
      </c>
      <c r="D1056" s="108">
        <v>0.72083333333333333</v>
      </c>
      <c r="F1056">
        <v>3310</v>
      </c>
    </row>
    <row r="1057" spans="1:6" x14ac:dyDescent="0.25">
      <c r="A1057">
        <v>7603</v>
      </c>
      <c r="B1057" s="15">
        <v>45486</v>
      </c>
      <c r="C1057" s="133"/>
      <c r="D1057" s="133"/>
      <c r="F1057">
        <v>3311</v>
      </c>
    </row>
    <row r="1058" spans="1:6" x14ac:dyDescent="0.25">
      <c r="A1058">
        <v>7603</v>
      </c>
      <c r="B1058" s="15">
        <v>45487</v>
      </c>
      <c r="C1058" s="133"/>
      <c r="D1058" s="133"/>
      <c r="F1058">
        <v>3312</v>
      </c>
    </row>
    <row r="1059" spans="1:6" x14ac:dyDescent="0.25">
      <c r="A1059">
        <v>7603</v>
      </c>
      <c r="B1059" s="15">
        <v>45488</v>
      </c>
      <c r="C1059" s="105">
        <v>0.35416666666666669</v>
      </c>
      <c r="D1059" s="106">
        <v>0.70000000000000007</v>
      </c>
      <c r="F1059">
        <v>3313</v>
      </c>
    </row>
    <row r="1060" spans="1:6" x14ac:dyDescent="0.25">
      <c r="A1060">
        <v>7603</v>
      </c>
      <c r="B1060" s="15">
        <v>45489</v>
      </c>
      <c r="C1060" s="106">
        <v>0.375</v>
      </c>
      <c r="D1060" s="108">
        <v>0.72083333333333333</v>
      </c>
      <c r="F1060">
        <v>3314</v>
      </c>
    </row>
    <row r="1061" spans="1:6" x14ac:dyDescent="0.25">
      <c r="A1061">
        <v>7603</v>
      </c>
      <c r="B1061" s="15">
        <v>45490</v>
      </c>
      <c r="C1061" s="106">
        <v>0.375</v>
      </c>
      <c r="D1061" s="108">
        <v>0.72083333333333333</v>
      </c>
      <c r="F1061">
        <v>3315</v>
      </c>
    </row>
    <row r="1062" spans="1:6" x14ac:dyDescent="0.25">
      <c r="A1062">
        <v>7603</v>
      </c>
      <c r="B1062" s="15">
        <v>45491</v>
      </c>
      <c r="C1062" s="105">
        <v>0.35416666666666669</v>
      </c>
      <c r="D1062" s="106">
        <v>0.70000000000000007</v>
      </c>
      <c r="F1062">
        <v>3316</v>
      </c>
    </row>
    <row r="1063" spans="1:6" x14ac:dyDescent="0.25">
      <c r="A1063">
        <v>7603</v>
      </c>
      <c r="B1063" s="15">
        <v>45492</v>
      </c>
      <c r="C1063" s="106">
        <v>0.375</v>
      </c>
      <c r="D1063" s="108">
        <v>0.72083333333333333</v>
      </c>
      <c r="F1063">
        <v>3317</v>
      </c>
    </row>
    <row r="1064" spans="1:6" x14ac:dyDescent="0.25">
      <c r="A1064">
        <v>7603</v>
      </c>
      <c r="B1064" s="15">
        <v>45493</v>
      </c>
      <c r="C1064" s="133"/>
      <c r="D1064" s="133"/>
      <c r="F1064">
        <v>3318</v>
      </c>
    </row>
    <row r="1065" spans="1:6" x14ac:dyDescent="0.25">
      <c r="A1065">
        <v>7603</v>
      </c>
      <c r="B1065" s="15">
        <v>45494</v>
      </c>
      <c r="C1065" s="133"/>
      <c r="D1065" s="133"/>
      <c r="F1065">
        <v>3319</v>
      </c>
    </row>
    <row r="1066" spans="1:6" x14ac:dyDescent="0.25">
      <c r="A1066">
        <v>7603</v>
      </c>
      <c r="B1066" s="15">
        <v>45495</v>
      </c>
      <c r="C1066" s="106">
        <v>0.375</v>
      </c>
      <c r="D1066" s="108">
        <v>0.72083333333333333</v>
      </c>
      <c r="F1066">
        <v>3320</v>
      </c>
    </row>
    <row r="1067" spans="1:6" x14ac:dyDescent="0.25">
      <c r="A1067">
        <v>7603</v>
      </c>
      <c r="B1067" s="15">
        <v>45496</v>
      </c>
      <c r="C1067" s="105">
        <v>0.35416666666666669</v>
      </c>
      <c r="D1067" s="106">
        <v>0.70000000000000007</v>
      </c>
      <c r="F1067">
        <v>3321</v>
      </c>
    </row>
    <row r="1068" spans="1:6" x14ac:dyDescent="0.25">
      <c r="A1068">
        <v>7603</v>
      </c>
      <c r="B1068" s="15">
        <v>45497</v>
      </c>
      <c r="C1068" s="132">
        <v>0.44791666666666669</v>
      </c>
      <c r="D1068" s="105">
        <v>0.79375000000000007</v>
      </c>
      <c r="F1068">
        <v>3322</v>
      </c>
    </row>
    <row r="1069" spans="1:6" x14ac:dyDescent="0.25">
      <c r="A1069">
        <v>7603</v>
      </c>
      <c r="B1069" s="15">
        <v>45498</v>
      </c>
      <c r="C1069" s="106">
        <v>0.375</v>
      </c>
      <c r="D1069" s="108">
        <v>0.72083333333333333</v>
      </c>
      <c r="F1069">
        <v>3323</v>
      </c>
    </row>
    <row r="1070" spans="1:6" x14ac:dyDescent="0.25">
      <c r="A1070">
        <v>7603</v>
      </c>
      <c r="B1070" s="15">
        <v>45499</v>
      </c>
      <c r="C1070" s="105">
        <v>0.35416666666666669</v>
      </c>
      <c r="D1070" s="106">
        <v>0.70000000000000007</v>
      </c>
      <c r="F1070">
        <v>3324</v>
      </c>
    </row>
    <row r="1071" spans="1:6" x14ac:dyDescent="0.25">
      <c r="A1071">
        <v>7603</v>
      </c>
      <c r="B1071" s="15">
        <v>45500</v>
      </c>
      <c r="C1071" s="133"/>
      <c r="D1071" s="133"/>
      <c r="F1071">
        <v>3325</v>
      </c>
    </row>
    <row r="1072" spans="1:6" x14ac:dyDescent="0.25">
      <c r="A1072">
        <v>7603</v>
      </c>
      <c r="B1072" s="15">
        <v>45501</v>
      </c>
      <c r="C1072" s="133"/>
      <c r="D1072" s="133"/>
      <c r="F1072">
        <v>3326</v>
      </c>
    </row>
    <row r="1073" spans="1:6" x14ac:dyDescent="0.25">
      <c r="A1073">
        <v>7603</v>
      </c>
      <c r="B1073" s="15">
        <v>45502</v>
      </c>
      <c r="C1073" s="105">
        <v>0.35416666666666669</v>
      </c>
      <c r="D1073" s="106">
        <v>0.70000000000000007</v>
      </c>
      <c r="F1073">
        <v>3327</v>
      </c>
    </row>
    <row r="1074" spans="1:6" x14ac:dyDescent="0.25">
      <c r="A1074">
        <v>7603</v>
      </c>
      <c r="B1074" s="15">
        <v>45503</v>
      </c>
      <c r="C1074" s="106">
        <v>0.375</v>
      </c>
      <c r="D1074" s="108">
        <v>0.72083333333333333</v>
      </c>
      <c r="F1074">
        <v>3328</v>
      </c>
    </row>
    <row r="1075" spans="1:6" x14ac:dyDescent="0.25">
      <c r="A1075">
        <v>7603</v>
      </c>
      <c r="B1075" s="15">
        <v>45504</v>
      </c>
      <c r="C1075" s="105">
        <v>0.35416666666666669</v>
      </c>
      <c r="D1075" s="106">
        <v>0.70000000000000007</v>
      </c>
      <c r="F1075">
        <v>3329</v>
      </c>
    </row>
    <row r="1076" spans="1:6" x14ac:dyDescent="0.25">
      <c r="A1076">
        <v>7603</v>
      </c>
      <c r="B1076" s="15">
        <v>45505</v>
      </c>
      <c r="C1076" s="106">
        <v>0.375</v>
      </c>
      <c r="D1076" s="108">
        <v>0.72083333333333333</v>
      </c>
      <c r="F1076">
        <v>3330</v>
      </c>
    </row>
    <row r="1077" spans="1:6" x14ac:dyDescent="0.25">
      <c r="A1077">
        <v>7603</v>
      </c>
      <c r="B1077" s="15">
        <v>45506</v>
      </c>
      <c r="C1077" s="106">
        <v>0.375</v>
      </c>
      <c r="D1077" s="108">
        <v>0.72083333333333333</v>
      </c>
      <c r="F1077">
        <v>3331</v>
      </c>
    </row>
    <row r="1078" spans="1:6" x14ac:dyDescent="0.25">
      <c r="A1078">
        <v>7603</v>
      </c>
      <c r="B1078" s="15">
        <v>45507</v>
      </c>
      <c r="C1078" s="133"/>
      <c r="D1078" s="133"/>
      <c r="F1078">
        <v>3332</v>
      </c>
    </row>
    <row r="1079" spans="1:6" x14ac:dyDescent="0.25">
      <c r="A1079">
        <v>7603</v>
      </c>
      <c r="B1079" s="15">
        <v>45508</v>
      </c>
      <c r="C1079" s="133"/>
      <c r="D1079" s="133"/>
      <c r="F1079">
        <v>3333</v>
      </c>
    </row>
    <row r="1080" spans="1:6" x14ac:dyDescent="0.25">
      <c r="A1080">
        <v>7603</v>
      </c>
      <c r="B1080" s="15">
        <v>45509</v>
      </c>
      <c r="C1080" s="106">
        <v>0.375</v>
      </c>
      <c r="D1080" s="108">
        <v>0.72083333333333333</v>
      </c>
      <c r="F1080">
        <v>3334</v>
      </c>
    </row>
    <row r="1081" spans="1:6" x14ac:dyDescent="0.25">
      <c r="A1081">
        <v>7603</v>
      </c>
      <c r="B1081" s="15">
        <v>45510</v>
      </c>
      <c r="C1081" s="105">
        <v>0.35416666666666669</v>
      </c>
      <c r="D1081" s="106">
        <v>0.70000000000000007</v>
      </c>
      <c r="F1081">
        <v>3335</v>
      </c>
    </row>
    <row r="1082" spans="1:6" x14ac:dyDescent="0.25">
      <c r="A1082">
        <v>7603</v>
      </c>
      <c r="B1082" s="15">
        <v>45511</v>
      </c>
      <c r="C1082" s="132">
        <v>0.44791666666666669</v>
      </c>
      <c r="D1082" s="105">
        <v>0.79375000000000007</v>
      </c>
      <c r="F1082">
        <v>3336</v>
      </c>
    </row>
    <row r="1083" spans="1:6" x14ac:dyDescent="0.25">
      <c r="A1083">
        <v>7603</v>
      </c>
      <c r="B1083" s="15">
        <v>45512</v>
      </c>
      <c r="C1083" s="106">
        <v>0.375</v>
      </c>
      <c r="D1083" s="108">
        <v>0.72083333333333333</v>
      </c>
      <c r="F1083">
        <v>3337</v>
      </c>
    </row>
    <row r="1084" spans="1:6" x14ac:dyDescent="0.25">
      <c r="A1084">
        <v>7603</v>
      </c>
      <c r="B1084" s="15">
        <v>45513</v>
      </c>
      <c r="C1084" s="106">
        <v>0.375</v>
      </c>
      <c r="D1084" s="108">
        <v>0.72083333333333333</v>
      </c>
      <c r="F1084">
        <v>3338</v>
      </c>
    </row>
    <row r="1085" spans="1:6" x14ac:dyDescent="0.25">
      <c r="A1085">
        <v>7603</v>
      </c>
      <c r="B1085" s="15">
        <v>45514</v>
      </c>
      <c r="C1085" s="133"/>
      <c r="D1085" s="133"/>
      <c r="F1085">
        <v>3339</v>
      </c>
    </row>
    <row r="1086" spans="1:6" x14ac:dyDescent="0.25">
      <c r="A1086">
        <v>7603</v>
      </c>
      <c r="B1086" s="15">
        <v>45515</v>
      </c>
      <c r="C1086" s="133"/>
      <c r="D1086" s="133"/>
      <c r="F1086">
        <v>3340</v>
      </c>
    </row>
    <row r="1087" spans="1:6" x14ac:dyDescent="0.25">
      <c r="A1087">
        <v>7603</v>
      </c>
      <c r="B1087" s="15">
        <v>45516</v>
      </c>
      <c r="C1087" s="105">
        <v>0.35416666666666669</v>
      </c>
      <c r="D1087" s="106">
        <v>0.70000000000000007</v>
      </c>
      <c r="F1087">
        <v>3341</v>
      </c>
    </row>
    <row r="1088" spans="1:6" x14ac:dyDescent="0.25">
      <c r="A1088">
        <v>7603</v>
      </c>
      <c r="B1088" s="15">
        <v>45517</v>
      </c>
      <c r="C1088" s="106">
        <v>0.375</v>
      </c>
      <c r="D1088" s="108">
        <v>0.72083333333333333</v>
      </c>
      <c r="F1088">
        <v>3342</v>
      </c>
    </row>
    <row r="1089" spans="1:6" x14ac:dyDescent="0.25">
      <c r="A1089">
        <v>7603</v>
      </c>
      <c r="B1089" s="15">
        <v>45518</v>
      </c>
      <c r="C1089" s="106">
        <v>0.375</v>
      </c>
      <c r="D1089" s="108">
        <v>0.72083333333333333</v>
      </c>
      <c r="F1089">
        <v>3343</v>
      </c>
    </row>
    <row r="1090" spans="1:6" x14ac:dyDescent="0.25">
      <c r="A1090">
        <v>7603</v>
      </c>
      <c r="B1090" s="15">
        <v>45519</v>
      </c>
      <c r="C1090" s="105">
        <v>0.35416666666666669</v>
      </c>
      <c r="D1090" s="106">
        <v>0.70000000000000007</v>
      </c>
      <c r="F1090">
        <v>3344</v>
      </c>
    </row>
    <row r="1091" spans="1:6" x14ac:dyDescent="0.25">
      <c r="A1091">
        <v>7603</v>
      </c>
      <c r="B1091" s="15">
        <v>45520</v>
      </c>
      <c r="C1091" s="106">
        <v>0.375</v>
      </c>
      <c r="D1091" s="108">
        <v>0.72083333333333333</v>
      </c>
      <c r="F1091">
        <v>3345</v>
      </c>
    </row>
    <row r="1092" spans="1:6" x14ac:dyDescent="0.25">
      <c r="A1092">
        <v>7603</v>
      </c>
      <c r="B1092" s="15">
        <v>45521</v>
      </c>
      <c r="C1092" s="133"/>
      <c r="D1092" s="133"/>
      <c r="F1092">
        <v>3346</v>
      </c>
    </row>
    <row r="1093" spans="1:6" x14ac:dyDescent="0.25">
      <c r="A1093">
        <v>7603</v>
      </c>
      <c r="B1093" s="15">
        <v>45522</v>
      </c>
      <c r="C1093" s="133"/>
      <c r="D1093" s="133"/>
      <c r="F1093">
        <v>3347</v>
      </c>
    </row>
    <row r="1094" spans="1:6" x14ac:dyDescent="0.25">
      <c r="A1094">
        <v>7603</v>
      </c>
      <c r="B1094" s="15">
        <v>45523</v>
      </c>
      <c r="C1094" s="106">
        <v>0.375</v>
      </c>
      <c r="D1094" s="108">
        <v>0.72083333333333333</v>
      </c>
      <c r="F1094">
        <v>3348</v>
      </c>
    </row>
    <row r="1095" spans="1:6" x14ac:dyDescent="0.25">
      <c r="A1095">
        <v>7603</v>
      </c>
      <c r="B1095" s="15">
        <v>45524</v>
      </c>
      <c r="C1095" s="105">
        <v>0.35416666666666669</v>
      </c>
      <c r="D1095" s="106">
        <v>0.70000000000000007</v>
      </c>
      <c r="F1095">
        <v>3349</v>
      </c>
    </row>
    <row r="1096" spans="1:6" x14ac:dyDescent="0.25">
      <c r="A1096">
        <v>7603</v>
      </c>
      <c r="B1096" s="15">
        <v>45525</v>
      </c>
      <c r="C1096" s="132">
        <v>0.44791666666666669</v>
      </c>
      <c r="D1096" s="105">
        <v>0.79375000000000007</v>
      </c>
      <c r="F1096">
        <v>3350</v>
      </c>
    </row>
    <row r="1097" spans="1:6" x14ac:dyDescent="0.25">
      <c r="A1097">
        <v>7603</v>
      </c>
      <c r="B1097" s="15">
        <v>45526</v>
      </c>
      <c r="C1097" s="106">
        <v>0.375</v>
      </c>
      <c r="D1097" s="108">
        <v>0.72083333333333333</v>
      </c>
      <c r="F1097">
        <v>3351</v>
      </c>
    </row>
    <row r="1098" spans="1:6" x14ac:dyDescent="0.25">
      <c r="A1098">
        <v>7603</v>
      </c>
      <c r="B1098" s="15">
        <v>45527</v>
      </c>
      <c r="C1098" s="105">
        <v>0.35416666666666669</v>
      </c>
      <c r="D1098" s="106">
        <v>0.70000000000000007</v>
      </c>
      <c r="F1098">
        <v>3352</v>
      </c>
    </row>
    <row r="1099" spans="1:6" x14ac:dyDescent="0.25">
      <c r="A1099">
        <v>7603</v>
      </c>
      <c r="B1099" s="15">
        <v>45528</v>
      </c>
      <c r="C1099" s="133"/>
      <c r="D1099" s="133"/>
      <c r="F1099">
        <v>3353</v>
      </c>
    </row>
    <row r="1100" spans="1:6" x14ac:dyDescent="0.25">
      <c r="A1100">
        <v>7603</v>
      </c>
      <c r="B1100" s="15">
        <v>45529</v>
      </c>
      <c r="C1100" s="133"/>
      <c r="D1100" s="133"/>
      <c r="F1100">
        <v>3354</v>
      </c>
    </row>
    <row r="1101" spans="1:6" x14ac:dyDescent="0.25">
      <c r="A1101">
        <v>7603</v>
      </c>
      <c r="B1101" s="15">
        <v>45530</v>
      </c>
      <c r="C1101" s="105">
        <v>0.35416666666666669</v>
      </c>
      <c r="D1101" s="106">
        <v>0.70000000000000007</v>
      </c>
      <c r="F1101">
        <v>3355</v>
      </c>
    </row>
    <row r="1102" spans="1:6" x14ac:dyDescent="0.25">
      <c r="A1102">
        <v>7603</v>
      </c>
      <c r="B1102" s="15">
        <v>45531</v>
      </c>
      <c r="C1102" s="106">
        <v>0.375</v>
      </c>
      <c r="D1102" s="108">
        <v>0.72083333333333333</v>
      </c>
      <c r="F1102">
        <v>3356</v>
      </c>
    </row>
    <row r="1103" spans="1:6" x14ac:dyDescent="0.25">
      <c r="A1103">
        <v>7603</v>
      </c>
      <c r="B1103" s="15">
        <v>45532</v>
      </c>
      <c r="C1103" s="105">
        <v>0.35416666666666669</v>
      </c>
      <c r="D1103" s="106">
        <v>0.70000000000000007</v>
      </c>
      <c r="F1103">
        <v>3357</v>
      </c>
    </row>
    <row r="1104" spans="1:6" x14ac:dyDescent="0.25">
      <c r="A1104">
        <v>7603</v>
      </c>
      <c r="B1104" s="15">
        <v>45533</v>
      </c>
      <c r="C1104" s="106">
        <v>0.375</v>
      </c>
      <c r="D1104" s="108">
        <v>0.72083333333333333</v>
      </c>
      <c r="F1104">
        <v>3358</v>
      </c>
    </row>
    <row r="1105" spans="1:6" x14ac:dyDescent="0.25">
      <c r="A1105">
        <v>7603</v>
      </c>
      <c r="B1105" s="15">
        <v>45534</v>
      </c>
      <c r="C1105" s="106">
        <v>0.375</v>
      </c>
      <c r="D1105" s="108">
        <v>0.72083333333333333</v>
      </c>
      <c r="F1105">
        <v>3359</v>
      </c>
    </row>
    <row r="1106" spans="1:6" x14ac:dyDescent="0.25">
      <c r="A1106">
        <v>7603</v>
      </c>
      <c r="B1106" s="15">
        <v>45535</v>
      </c>
      <c r="C1106" s="133"/>
      <c r="D1106" s="133"/>
      <c r="F1106">
        <v>3360</v>
      </c>
    </row>
    <row r="1107" spans="1:6" x14ac:dyDescent="0.25">
      <c r="A1107">
        <v>7603</v>
      </c>
      <c r="B1107" s="15">
        <v>45536</v>
      </c>
      <c r="C1107" s="133"/>
      <c r="D1107" s="133"/>
      <c r="F1107">
        <v>3361</v>
      </c>
    </row>
    <row r="1108" spans="1:6" x14ac:dyDescent="0.25">
      <c r="A1108">
        <v>7603</v>
      </c>
      <c r="B1108" s="15">
        <v>45537</v>
      </c>
      <c r="C1108" s="106">
        <v>0.375</v>
      </c>
      <c r="D1108" s="108">
        <v>0.72083333333333333</v>
      </c>
      <c r="F1108">
        <v>3362</v>
      </c>
    </row>
    <row r="1109" spans="1:6" x14ac:dyDescent="0.25">
      <c r="A1109">
        <v>7603</v>
      </c>
      <c r="B1109" s="15">
        <v>45538</v>
      </c>
      <c r="C1109" s="105">
        <v>0.35416666666666669</v>
      </c>
      <c r="D1109" s="106">
        <v>0.70000000000000007</v>
      </c>
      <c r="F1109">
        <v>3363</v>
      </c>
    </row>
    <row r="1110" spans="1:6" x14ac:dyDescent="0.25">
      <c r="A1110">
        <v>7603</v>
      </c>
      <c r="B1110" s="15">
        <v>45539</v>
      </c>
      <c r="C1110" s="132">
        <v>0.44791666666666669</v>
      </c>
      <c r="D1110" s="105">
        <v>0.79375000000000007</v>
      </c>
      <c r="F1110">
        <v>3364</v>
      </c>
    </row>
    <row r="1111" spans="1:6" x14ac:dyDescent="0.25">
      <c r="A1111">
        <v>7603</v>
      </c>
      <c r="B1111" s="15">
        <v>45540</v>
      </c>
      <c r="C1111" s="106">
        <v>0.375</v>
      </c>
      <c r="D1111" s="108">
        <v>0.72083333333333333</v>
      </c>
      <c r="F1111">
        <v>3365</v>
      </c>
    </row>
    <row r="1112" spans="1:6" x14ac:dyDescent="0.25">
      <c r="A1112">
        <v>7603</v>
      </c>
      <c r="B1112" s="15">
        <v>45541</v>
      </c>
      <c r="C1112" s="106">
        <v>0.375</v>
      </c>
      <c r="D1112" s="108">
        <v>0.72083333333333333</v>
      </c>
      <c r="F1112">
        <v>3366</v>
      </c>
    </row>
    <row r="1113" spans="1:6" x14ac:dyDescent="0.25">
      <c r="A1113">
        <v>7603</v>
      </c>
      <c r="B1113" s="15">
        <v>45542</v>
      </c>
      <c r="C1113" s="133"/>
      <c r="D1113" s="133"/>
      <c r="F1113">
        <v>3367</v>
      </c>
    </row>
    <row r="1114" spans="1:6" x14ac:dyDescent="0.25">
      <c r="A1114">
        <v>7603</v>
      </c>
      <c r="B1114" s="15">
        <v>45543</v>
      </c>
      <c r="C1114" s="133"/>
      <c r="D1114" s="133"/>
      <c r="F1114">
        <v>3368</v>
      </c>
    </row>
    <row r="1115" spans="1:6" x14ac:dyDescent="0.25">
      <c r="A1115">
        <v>7603</v>
      </c>
      <c r="B1115" s="15">
        <v>45544</v>
      </c>
      <c r="C1115" s="105">
        <v>0.35416666666666669</v>
      </c>
      <c r="D1115" s="106">
        <v>0.70000000000000007</v>
      </c>
      <c r="F1115">
        <v>3369</v>
      </c>
    </row>
    <row r="1116" spans="1:6" x14ac:dyDescent="0.25">
      <c r="A1116">
        <v>7603</v>
      </c>
      <c r="B1116" s="15">
        <v>45545</v>
      </c>
      <c r="C1116" s="106">
        <v>0.375</v>
      </c>
      <c r="D1116" s="108">
        <v>0.72083333333333333</v>
      </c>
      <c r="F1116">
        <v>3370</v>
      </c>
    </row>
    <row r="1117" spans="1:6" x14ac:dyDescent="0.25">
      <c r="A1117">
        <v>7603</v>
      </c>
      <c r="B1117" s="15">
        <v>45546</v>
      </c>
      <c r="C1117" s="106">
        <v>0.375</v>
      </c>
      <c r="D1117" s="108">
        <v>0.72083333333333333</v>
      </c>
      <c r="F1117">
        <v>3371</v>
      </c>
    </row>
    <row r="1118" spans="1:6" x14ac:dyDescent="0.25">
      <c r="A1118">
        <v>7603</v>
      </c>
      <c r="B1118" s="15">
        <v>45547</v>
      </c>
      <c r="C1118" s="105">
        <v>0.35416666666666669</v>
      </c>
      <c r="D1118" s="106">
        <v>0.70000000000000007</v>
      </c>
      <c r="F1118">
        <v>3372</v>
      </c>
    </row>
    <row r="1119" spans="1:6" x14ac:dyDescent="0.25">
      <c r="A1119">
        <v>7603</v>
      </c>
      <c r="B1119" s="15">
        <v>45548</v>
      </c>
      <c r="C1119" s="106">
        <v>0.375</v>
      </c>
      <c r="D1119" s="108">
        <v>0.72083333333333333</v>
      </c>
      <c r="F1119">
        <v>3373</v>
      </c>
    </row>
    <row r="1120" spans="1:6" x14ac:dyDescent="0.25">
      <c r="A1120">
        <v>7603</v>
      </c>
      <c r="B1120" s="15">
        <v>45549</v>
      </c>
      <c r="C1120" s="133"/>
      <c r="D1120" s="133"/>
      <c r="F1120">
        <v>3374</v>
      </c>
    </row>
    <row r="1121" spans="1:6" x14ac:dyDescent="0.25">
      <c r="A1121">
        <v>7603</v>
      </c>
      <c r="B1121" s="15">
        <v>45550</v>
      </c>
      <c r="C1121" s="133"/>
      <c r="D1121" s="133"/>
      <c r="F1121">
        <v>3375</v>
      </c>
    </row>
    <row r="1122" spans="1:6" x14ac:dyDescent="0.25">
      <c r="A1122">
        <v>7603</v>
      </c>
      <c r="B1122" s="15">
        <v>45551</v>
      </c>
      <c r="C1122" s="106">
        <v>0.375</v>
      </c>
      <c r="D1122" s="108">
        <v>0.72083333333333333</v>
      </c>
      <c r="F1122">
        <v>3376</v>
      </c>
    </row>
    <row r="1123" spans="1:6" x14ac:dyDescent="0.25">
      <c r="A1123">
        <v>7603</v>
      </c>
      <c r="B1123" s="15">
        <v>45552</v>
      </c>
      <c r="C1123" s="105">
        <v>0.35416666666666669</v>
      </c>
      <c r="D1123" s="106">
        <v>0.70000000000000007</v>
      </c>
      <c r="F1123">
        <v>3377</v>
      </c>
    </row>
    <row r="1124" spans="1:6" x14ac:dyDescent="0.25">
      <c r="A1124">
        <v>7603</v>
      </c>
      <c r="B1124" s="15">
        <v>45553</v>
      </c>
      <c r="C1124" s="132">
        <v>0.44791666666666669</v>
      </c>
      <c r="D1124" s="105">
        <v>0.79375000000000007</v>
      </c>
      <c r="F1124">
        <v>3378</v>
      </c>
    </row>
    <row r="1125" spans="1:6" x14ac:dyDescent="0.25">
      <c r="A1125">
        <v>7603</v>
      </c>
      <c r="B1125" s="15">
        <v>45554</v>
      </c>
      <c r="C1125" s="106">
        <v>0.375</v>
      </c>
      <c r="D1125" s="108">
        <v>0.72083333333333333</v>
      </c>
      <c r="F1125">
        <v>3379</v>
      </c>
    </row>
    <row r="1126" spans="1:6" x14ac:dyDescent="0.25">
      <c r="A1126">
        <v>7603</v>
      </c>
      <c r="B1126" s="15">
        <v>45555</v>
      </c>
      <c r="C1126" s="105">
        <v>0.35416666666666669</v>
      </c>
      <c r="D1126" s="106">
        <v>0.70000000000000007</v>
      </c>
      <c r="F1126">
        <v>3380</v>
      </c>
    </row>
    <row r="1127" spans="1:6" x14ac:dyDescent="0.25">
      <c r="A1127">
        <v>7603</v>
      </c>
      <c r="B1127" s="15">
        <v>45556</v>
      </c>
      <c r="C1127" s="133"/>
      <c r="D1127" s="133"/>
      <c r="F1127">
        <v>3381</v>
      </c>
    </row>
    <row r="1128" spans="1:6" x14ac:dyDescent="0.25">
      <c r="A1128">
        <v>7603</v>
      </c>
      <c r="B1128" s="15">
        <v>45557</v>
      </c>
      <c r="C1128" s="133"/>
      <c r="D1128" s="133"/>
      <c r="F1128">
        <v>3382</v>
      </c>
    </row>
    <row r="1129" spans="1:6" x14ac:dyDescent="0.25">
      <c r="A1129">
        <v>7603</v>
      </c>
      <c r="B1129" s="15">
        <v>45558</v>
      </c>
      <c r="C1129" s="105">
        <v>0.35416666666666669</v>
      </c>
      <c r="D1129" s="106">
        <v>0.70000000000000007</v>
      </c>
      <c r="F1129">
        <v>3383</v>
      </c>
    </row>
    <row r="1130" spans="1:6" x14ac:dyDescent="0.25">
      <c r="A1130">
        <v>7603</v>
      </c>
      <c r="B1130" s="15">
        <v>45559</v>
      </c>
      <c r="C1130" s="106">
        <v>0.375</v>
      </c>
      <c r="D1130" s="108">
        <v>0.72083333333333333</v>
      </c>
      <c r="F1130">
        <v>3384</v>
      </c>
    </row>
    <row r="1131" spans="1:6" x14ac:dyDescent="0.25">
      <c r="A1131">
        <v>7603</v>
      </c>
      <c r="B1131" s="15">
        <v>45560</v>
      </c>
      <c r="C1131" s="105">
        <v>0.35416666666666669</v>
      </c>
      <c r="D1131" s="106">
        <v>0.70000000000000007</v>
      </c>
      <c r="F1131">
        <v>3385</v>
      </c>
    </row>
    <row r="1132" spans="1:6" x14ac:dyDescent="0.25">
      <c r="A1132">
        <v>7603</v>
      </c>
      <c r="B1132" s="15">
        <v>45561</v>
      </c>
      <c r="C1132" s="106">
        <v>0.375</v>
      </c>
      <c r="D1132" s="108">
        <v>0.72083333333333333</v>
      </c>
      <c r="F1132">
        <v>3386</v>
      </c>
    </row>
    <row r="1133" spans="1:6" x14ac:dyDescent="0.25">
      <c r="A1133">
        <v>7603</v>
      </c>
      <c r="B1133" s="15">
        <v>45562</v>
      </c>
      <c r="C1133" s="106">
        <v>0.375</v>
      </c>
      <c r="D1133" s="108">
        <v>0.72083333333333333</v>
      </c>
      <c r="F1133">
        <v>3387</v>
      </c>
    </row>
    <row r="1134" spans="1:6" x14ac:dyDescent="0.25">
      <c r="A1134">
        <v>7603</v>
      </c>
      <c r="B1134" s="15">
        <v>45563</v>
      </c>
      <c r="C1134" s="133"/>
      <c r="D1134" s="133"/>
      <c r="F1134">
        <v>3388</v>
      </c>
    </row>
    <row r="1135" spans="1:6" x14ac:dyDescent="0.25">
      <c r="A1135">
        <v>7603</v>
      </c>
      <c r="B1135" s="15">
        <v>45564</v>
      </c>
      <c r="C1135" s="133"/>
      <c r="D1135" s="133"/>
      <c r="F1135">
        <v>3389</v>
      </c>
    </row>
    <row r="1136" spans="1:6" x14ac:dyDescent="0.25">
      <c r="A1136">
        <v>7603</v>
      </c>
      <c r="B1136" s="15">
        <v>45565</v>
      </c>
      <c r="C1136" s="106">
        <v>0.375</v>
      </c>
      <c r="D1136" s="108">
        <v>0.72083333333333333</v>
      </c>
      <c r="F1136">
        <v>3390</v>
      </c>
    </row>
    <row r="1137" spans="1:6" x14ac:dyDescent="0.25">
      <c r="A1137">
        <v>7603</v>
      </c>
      <c r="B1137" s="15">
        <v>45566</v>
      </c>
      <c r="C1137" s="105">
        <v>0.35416666666666669</v>
      </c>
      <c r="D1137" s="106">
        <v>0.70000000000000007</v>
      </c>
      <c r="F1137">
        <v>3391</v>
      </c>
    </row>
    <row r="1138" spans="1:6" x14ac:dyDescent="0.25">
      <c r="A1138">
        <v>7603</v>
      </c>
      <c r="B1138" s="15">
        <v>45567</v>
      </c>
      <c r="C1138" s="132">
        <v>0.44791666666666669</v>
      </c>
      <c r="D1138" s="105">
        <v>0.79375000000000007</v>
      </c>
      <c r="F1138">
        <v>3392</v>
      </c>
    </row>
    <row r="1139" spans="1:6" x14ac:dyDescent="0.25">
      <c r="A1139">
        <v>7603</v>
      </c>
      <c r="B1139" s="15">
        <v>45568</v>
      </c>
      <c r="C1139" s="106">
        <v>0.375</v>
      </c>
      <c r="D1139" s="108">
        <v>0.72083333333333333</v>
      </c>
      <c r="F1139">
        <v>3393</v>
      </c>
    </row>
    <row r="1140" spans="1:6" x14ac:dyDescent="0.25">
      <c r="A1140">
        <v>7603</v>
      </c>
      <c r="B1140" s="15">
        <v>45569</v>
      </c>
      <c r="C1140" s="106">
        <v>0.375</v>
      </c>
      <c r="D1140" s="108">
        <v>0.72083333333333333</v>
      </c>
      <c r="F1140">
        <v>3394</v>
      </c>
    </row>
    <row r="1141" spans="1:6" x14ac:dyDescent="0.25">
      <c r="A1141">
        <v>7603</v>
      </c>
      <c r="B1141" s="15">
        <v>45570</v>
      </c>
      <c r="C1141" s="133"/>
      <c r="D1141" s="133"/>
      <c r="F1141">
        <v>3395</v>
      </c>
    </row>
    <row r="1142" spans="1:6" x14ac:dyDescent="0.25">
      <c r="A1142">
        <v>7603</v>
      </c>
      <c r="B1142" s="15">
        <v>45571</v>
      </c>
      <c r="C1142" s="133"/>
      <c r="D1142" s="133"/>
      <c r="F1142">
        <v>3396</v>
      </c>
    </row>
    <row r="1143" spans="1:6" x14ac:dyDescent="0.25">
      <c r="A1143">
        <v>7603</v>
      </c>
      <c r="B1143" s="15">
        <v>45572</v>
      </c>
      <c r="C1143" s="105">
        <v>0.35416666666666669</v>
      </c>
      <c r="D1143" s="106">
        <v>0.70000000000000007</v>
      </c>
      <c r="F1143">
        <v>3397</v>
      </c>
    </row>
    <row r="1144" spans="1:6" x14ac:dyDescent="0.25">
      <c r="A1144">
        <v>7603</v>
      </c>
      <c r="B1144" s="15">
        <v>45573</v>
      </c>
      <c r="C1144" s="106">
        <v>0.375</v>
      </c>
      <c r="D1144" s="108">
        <v>0.72083333333333333</v>
      </c>
      <c r="F1144">
        <v>3398</v>
      </c>
    </row>
    <row r="1145" spans="1:6" x14ac:dyDescent="0.25">
      <c r="A1145">
        <v>7603</v>
      </c>
      <c r="B1145" s="15">
        <v>45574</v>
      </c>
      <c r="C1145" s="106">
        <v>0.375</v>
      </c>
      <c r="D1145" s="108">
        <v>0.72083333333333333</v>
      </c>
      <c r="F1145">
        <v>3399</v>
      </c>
    </row>
    <row r="1146" spans="1:6" x14ac:dyDescent="0.25">
      <c r="A1146">
        <v>7603</v>
      </c>
      <c r="B1146" s="15">
        <v>45575</v>
      </c>
      <c r="C1146" s="105">
        <v>0.35416666666666669</v>
      </c>
      <c r="D1146" s="106">
        <v>0.70000000000000007</v>
      </c>
      <c r="F1146">
        <v>3400</v>
      </c>
    </row>
    <row r="1147" spans="1:6" x14ac:dyDescent="0.25">
      <c r="A1147">
        <v>7603</v>
      </c>
      <c r="B1147" s="15">
        <v>45576</v>
      </c>
      <c r="C1147" s="106">
        <v>0.375</v>
      </c>
      <c r="D1147" s="108">
        <v>0.72083333333333333</v>
      </c>
      <c r="F1147">
        <v>3401</v>
      </c>
    </row>
    <row r="1148" spans="1:6" x14ac:dyDescent="0.25">
      <c r="A1148">
        <v>7603</v>
      </c>
      <c r="B1148" s="15">
        <v>45577</v>
      </c>
      <c r="C1148" s="133"/>
      <c r="D1148" s="133"/>
      <c r="F1148">
        <v>3402</v>
      </c>
    </row>
    <row r="1149" spans="1:6" x14ac:dyDescent="0.25">
      <c r="A1149">
        <v>7603</v>
      </c>
      <c r="B1149" s="15">
        <v>45578</v>
      </c>
      <c r="C1149" s="133"/>
      <c r="D1149" s="133"/>
      <c r="F1149">
        <v>3403</v>
      </c>
    </row>
    <row r="1150" spans="1:6" x14ac:dyDescent="0.25">
      <c r="A1150">
        <v>7603</v>
      </c>
      <c r="B1150" s="15">
        <v>45579</v>
      </c>
      <c r="C1150" s="106">
        <v>0.375</v>
      </c>
      <c r="D1150" s="108">
        <v>0.72083333333333333</v>
      </c>
      <c r="F1150">
        <v>3404</v>
      </c>
    </row>
    <row r="1151" spans="1:6" x14ac:dyDescent="0.25">
      <c r="A1151">
        <v>7603</v>
      </c>
      <c r="B1151" s="15">
        <v>45580</v>
      </c>
      <c r="C1151" s="105">
        <v>0.35416666666666669</v>
      </c>
      <c r="D1151" s="106">
        <v>0.70000000000000007</v>
      </c>
      <c r="F1151">
        <v>3405</v>
      </c>
    </row>
    <row r="1152" spans="1:6" x14ac:dyDescent="0.25">
      <c r="A1152">
        <v>7603</v>
      </c>
      <c r="B1152" s="15">
        <v>45581</v>
      </c>
      <c r="C1152" s="132">
        <v>0.44791666666666669</v>
      </c>
      <c r="D1152" s="105">
        <v>0.79375000000000007</v>
      </c>
      <c r="F1152">
        <v>3406</v>
      </c>
    </row>
    <row r="1153" spans="1:6" x14ac:dyDescent="0.25">
      <c r="A1153">
        <v>7603</v>
      </c>
      <c r="B1153" s="15">
        <v>45582</v>
      </c>
      <c r="C1153" s="106">
        <v>0.375</v>
      </c>
      <c r="D1153" s="108">
        <v>0.72083333333333333</v>
      </c>
      <c r="F1153">
        <v>3407</v>
      </c>
    </row>
    <row r="1154" spans="1:6" x14ac:dyDescent="0.25">
      <c r="A1154">
        <v>7603</v>
      </c>
      <c r="B1154" s="15">
        <v>45583</v>
      </c>
      <c r="C1154" s="105">
        <v>0.35416666666666669</v>
      </c>
      <c r="D1154" s="106">
        <v>0.70000000000000007</v>
      </c>
      <c r="F1154">
        <v>3408</v>
      </c>
    </row>
    <row r="1155" spans="1:6" x14ac:dyDescent="0.25">
      <c r="A1155">
        <v>7603</v>
      </c>
      <c r="B1155" s="15">
        <v>45584</v>
      </c>
      <c r="C1155" s="133"/>
      <c r="D1155" s="133"/>
      <c r="F1155">
        <v>3409</v>
      </c>
    </row>
    <row r="1156" spans="1:6" x14ac:dyDescent="0.25">
      <c r="A1156">
        <v>7603</v>
      </c>
      <c r="B1156" s="15">
        <v>45585</v>
      </c>
      <c r="C1156" s="133"/>
      <c r="D1156" s="133"/>
      <c r="F1156">
        <v>3410</v>
      </c>
    </row>
    <row r="1157" spans="1:6" x14ac:dyDescent="0.25">
      <c r="A1157">
        <v>7603</v>
      </c>
      <c r="B1157" s="15">
        <v>45586</v>
      </c>
      <c r="C1157" s="105">
        <v>0.35416666666666669</v>
      </c>
      <c r="D1157" s="106">
        <v>0.70000000000000007</v>
      </c>
      <c r="F1157">
        <v>3411</v>
      </c>
    </row>
    <row r="1158" spans="1:6" x14ac:dyDescent="0.25">
      <c r="A1158">
        <v>7603</v>
      </c>
      <c r="B1158" s="15">
        <v>45587</v>
      </c>
      <c r="C1158" s="106">
        <v>0.375</v>
      </c>
      <c r="D1158" s="108">
        <v>0.72083333333333333</v>
      </c>
      <c r="F1158">
        <v>3412</v>
      </c>
    </row>
    <row r="1159" spans="1:6" x14ac:dyDescent="0.25">
      <c r="A1159">
        <v>7603</v>
      </c>
      <c r="B1159" s="15">
        <v>45588</v>
      </c>
      <c r="C1159" s="105">
        <v>0.35416666666666669</v>
      </c>
      <c r="D1159" s="106">
        <v>0.70000000000000007</v>
      </c>
      <c r="F1159">
        <v>3413</v>
      </c>
    </row>
    <row r="1160" spans="1:6" x14ac:dyDescent="0.25">
      <c r="A1160">
        <v>7603</v>
      </c>
      <c r="B1160" s="15">
        <v>45589</v>
      </c>
      <c r="C1160" s="106">
        <v>0.375</v>
      </c>
      <c r="D1160" s="108">
        <v>0.72083333333333333</v>
      </c>
      <c r="F1160">
        <v>3414</v>
      </c>
    </row>
    <row r="1161" spans="1:6" x14ac:dyDescent="0.25">
      <c r="A1161">
        <v>7603</v>
      </c>
      <c r="B1161" s="15">
        <v>45590</v>
      </c>
      <c r="C1161" s="106">
        <v>0.375</v>
      </c>
      <c r="D1161" s="108">
        <v>0.72083333333333333</v>
      </c>
      <c r="F1161">
        <v>3415</v>
      </c>
    </row>
    <row r="1162" spans="1:6" x14ac:dyDescent="0.25">
      <c r="A1162">
        <v>7603</v>
      </c>
      <c r="B1162" s="15">
        <v>45591</v>
      </c>
      <c r="C1162" s="133"/>
      <c r="D1162" s="133"/>
      <c r="F1162">
        <v>3416</v>
      </c>
    </row>
    <row r="1163" spans="1:6" x14ac:dyDescent="0.25">
      <c r="A1163">
        <v>7603</v>
      </c>
      <c r="B1163" s="15">
        <v>45592</v>
      </c>
      <c r="C1163" s="133"/>
      <c r="D1163" s="133"/>
      <c r="F1163">
        <v>3417</v>
      </c>
    </row>
    <row r="1164" spans="1:6" x14ac:dyDescent="0.25">
      <c r="A1164">
        <v>7603</v>
      </c>
      <c r="B1164" s="15">
        <v>45593</v>
      </c>
      <c r="C1164" s="106">
        <v>0.375</v>
      </c>
      <c r="D1164" s="108">
        <v>0.72083333333333333</v>
      </c>
      <c r="F1164">
        <v>3418</v>
      </c>
    </row>
    <row r="1165" spans="1:6" x14ac:dyDescent="0.25">
      <c r="A1165">
        <v>7603</v>
      </c>
      <c r="B1165" s="15">
        <v>45594</v>
      </c>
      <c r="C1165" s="105">
        <v>0.35416666666666669</v>
      </c>
      <c r="D1165" s="106">
        <v>0.70000000000000007</v>
      </c>
      <c r="F1165">
        <v>3419</v>
      </c>
    </row>
    <row r="1166" spans="1:6" x14ac:dyDescent="0.25">
      <c r="A1166">
        <v>7603</v>
      </c>
      <c r="B1166" s="15">
        <v>45595</v>
      </c>
      <c r="C1166" s="132">
        <v>0.44791666666666669</v>
      </c>
      <c r="D1166" s="105">
        <v>0.79375000000000007</v>
      </c>
      <c r="F1166">
        <v>3420</v>
      </c>
    </row>
    <row r="1167" spans="1:6" x14ac:dyDescent="0.25">
      <c r="A1167">
        <v>7603</v>
      </c>
      <c r="B1167" s="15">
        <v>45596</v>
      </c>
      <c r="C1167" s="106">
        <v>0.375</v>
      </c>
      <c r="D1167" s="108">
        <v>0.72083333333333333</v>
      </c>
      <c r="F1167">
        <v>3421</v>
      </c>
    </row>
    <row r="1168" spans="1:6" x14ac:dyDescent="0.25">
      <c r="A1168">
        <v>7603</v>
      </c>
      <c r="B1168" s="15">
        <v>45597</v>
      </c>
      <c r="C1168" s="106">
        <v>0.375</v>
      </c>
      <c r="D1168" s="108">
        <v>0.72083333333333333</v>
      </c>
      <c r="F1168">
        <v>3422</v>
      </c>
    </row>
    <row r="1169" spans="1:6" x14ac:dyDescent="0.25">
      <c r="A1169">
        <v>7603</v>
      </c>
      <c r="B1169" s="15">
        <v>45598</v>
      </c>
      <c r="C1169" s="133"/>
      <c r="D1169" s="133"/>
      <c r="F1169">
        <v>3423</v>
      </c>
    </row>
    <row r="1170" spans="1:6" x14ac:dyDescent="0.25">
      <c r="A1170">
        <v>7603</v>
      </c>
      <c r="B1170" s="15">
        <v>45599</v>
      </c>
      <c r="C1170" s="133"/>
      <c r="D1170" s="133"/>
      <c r="F1170">
        <v>3424</v>
      </c>
    </row>
    <row r="1171" spans="1:6" x14ac:dyDescent="0.25">
      <c r="A1171">
        <v>7603</v>
      </c>
      <c r="B1171" s="15">
        <v>45600</v>
      </c>
      <c r="C1171" s="105">
        <v>0.35416666666666669</v>
      </c>
      <c r="D1171" s="106">
        <v>0.70000000000000007</v>
      </c>
      <c r="F1171">
        <v>3425</v>
      </c>
    </row>
    <row r="1172" spans="1:6" x14ac:dyDescent="0.25">
      <c r="A1172">
        <v>7603</v>
      </c>
      <c r="B1172" s="15">
        <v>45601</v>
      </c>
      <c r="C1172" s="106">
        <v>0.375</v>
      </c>
      <c r="D1172" s="108">
        <v>0.72083333333333333</v>
      </c>
      <c r="F1172">
        <v>3426</v>
      </c>
    </row>
    <row r="1173" spans="1:6" x14ac:dyDescent="0.25">
      <c r="A1173">
        <v>7603</v>
      </c>
      <c r="B1173" s="15">
        <v>45602</v>
      </c>
      <c r="C1173" s="106">
        <v>0.375</v>
      </c>
      <c r="D1173" s="108">
        <v>0.72083333333333333</v>
      </c>
      <c r="F1173">
        <v>3427</v>
      </c>
    </row>
    <row r="1174" spans="1:6" x14ac:dyDescent="0.25">
      <c r="A1174">
        <v>7603</v>
      </c>
      <c r="B1174" s="15">
        <v>45603</v>
      </c>
      <c r="C1174" s="105">
        <v>0.35416666666666669</v>
      </c>
      <c r="D1174" s="106">
        <v>0.70000000000000007</v>
      </c>
      <c r="F1174">
        <v>3428</v>
      </c>
    </row>
    <row r="1175" spans="1:6" x14ac:dyDescent="0.25">
      <c r="A1175">
        <v>7603</v>
      </c>
      <c r="B1175" s="15">
        <v>45604</v>
      </c>
      <c r="C1175" s="106">
        <v>0.375</v>
      </c>
      <c r="D1175" s="108">
        <v>0.72083333333333333</v>
      </c>
      <c r="F1175">
        <v>3429</v>
      </c>
    </row>
    <row r="1176" spans="1:6" x14ac:dyDescent="0.25">
      <c r="A1176">
        <v>7603</v>
      </c>
      <c r="B1176" s="15">
        <v>45605</v>
      </c>
      <c r="C1176" s="133"/>
      <c r="D1176" s="133"/>
      <c r="F1176">
        <v>3430</v>
      </c>
    </row>
    <row r="1177" spans="1:6" x14ac:dyDescent="0.25">
      <c r="A1177">
        <v>7603</v>
      </c>
      <c r="B1177" s="15">
        <v>45606</v>
      </c>
      <c r="C1177" s="133"/>
      <c r="D1177" s="133"/>
      <c r="F1177">
        <v>3431</v>
      </c>
    </row>
    <row r="1178" spans="1:6" x14ac:dyDescent="0.25">
      <c r="A1178">
        <v>7603</v>
      </c>
      <c r="B1178" s="15">
        <v>45607</v>
      </c>
      <c r="C1178" s="106">
        <v>0.375</v>
      </c>
      <c r="D1178" s="108">
        <v>0.72083333333333333</v>
      </c>
      <c r="F1178">
        <v>3432</v>
      </c>
    </row>
    <row r="1179" spans="1:6" x14ac:dyDescent="0.25">
      <c r="A1179">
        <v>7603</v>
      </c>
      <c r="B1179" s="15">
        <v>45608</v>
      </c>
      <c r="C1179" s="105">
        <v>0.35416666666666669</v>
      </c>
      <c r="D1179" s="106">
        <v>0.70000000000000007</v>
      </c>
      <c r="F1179">
        <v>3433</v>
      </c>
    </row>
    <row r="1180" spans="1:6" x14ac:dyDescent="0.25">
      <c r="A1180">
        <v>7603</v>
      </c>
      <c r="B1180" s="15">
        <v>45609</v>
      </c>
      <c r="C1180" s="132">
        <v>0.44791666666666669</v>
      </c>
      <c r="D1180" s="105">
        <v>0.79375000000000007</v>
      </c>
      <c r="F1180">
        <v>3434</v>
      </c>
    </row>
    <row r="1181" spans="1:6" x14ac:dyDescent="0.25">
      <c r="A1181">
        <v>7603</v>
      </c>
      <c r="B1181" s="15">
        <v>45610</v>
      </c>
      <c r="C1181" s="106">
        <v>0.375</v>
      </c>
      <c r="D1181" s="108">
        <v>0.72083333333333333</v>
      </c>
      <c r="F1181">
        <v>3435</v>
      </c>
    </row>
    <row r="1182" spans="1:6" x14ac:dyDescent="0.25">
      <c r="A1182">
        <v>7603</v>
      </c>
      <c r="B1182" s="15">
        <v>45611</v>
      </c>
      <c r="C1182" s="105">
        <v>0.35416666666666669</v>
      </c>
      <c r="D1182" s="106">
        <v>0.70000000000000007</v>
      </c>
      <c r="F1182">
        <v>3436</v>
      </c>
    </row>
    <row r="1183" spans="1:6" x14ac:dyDescent="0.25">
      <c r="A1183">
        <v>7603</v>
      </c>
      <c r="B1183" s="15">
        <v>45612</v>
      </c>
      <c r="C1183" s="133"/>
      <c r="D1183" s="133"/>
      <c r="F1183">
        <v>3437</v>
      </c>
    </row>
    <row r="1184" spans="1:6" x14ac:dyDescent="0.25">
      <c r="A1184">
        <v>7603</v>
      </c>
      <c r="B1184" s="15">
        <v>45613</v>
      </c>
      <c r="C1184" s="133"/>
      <c r="D1184" s="133"/>
      <c r="F1184">
        <v>3438</v>
      </c>
    </row>
    <row r="1185" spans="1:6" x14ac:dyDescent="0.25">
      <c r="A1185">
        <v>7603</v>
      </c>
      <c r="B1185" s="15">
        <v>45614</v>
      </c>
      <c r="C1185" s="105">
        <v>0.35416666666666669</v>
      </c>
      <c r="D1185" s="106">
        <v>0.70000000000000007</v>
      </c>
      <c r="F1185">
        <v>3439</v>
      </c>
    </row>
    <row r="1186" spans="1:6" x14ac:dyDescent="0.25">
      <c r="A1186">
        <v>7603</v>
      </c>
      <c r="B1186" s="15">
        <v>45615</v>
      </c>
      <c r="C1186" s="106">
        <v>0.375</v>
      </c>
      <c r="D1186" s="108">
        <v>0.72083333333333333</v>
      </c>
      <c r="F1186">
        <v>3440</v>
      </c>
    </row>
    <row r="1187" spans="1:6" x14ac:dyDescent="0.25">
      <c r="A1187">
        <v>7603</v>
      </c>
      <c r="B1187" s="15">
        <v>45616</v>
      </c>
      <c r="C1187" s="105">
        <v>0.35416666666666669</v>
      </c>
      <c r="D1187" s="106">
        <v>0.70000000000000007</v>
      </c>
      <c r="F1187">
        <v>3441</v>
      </c>
    </row>
    <row r="1188" spans="1:6" x14ac:dyDescent="0.25">
      <c r="A1188">
        <v>7603</v>
      </c>
      <c r="B1188" s="15">
        <v>45617</v>
      </c>
      <c r="C1188" s="106">
        <v>0.375</v>
      </c>
      <c r="D1188" s="108">
        <v>0.72083333333333333</v>
      </c>
      <c r="F1188">
        <v>3442</v>
      </c>
    </row>
    <row r="1189" spans="1:6" x14ac:dyDescent="0.25">
      <c r="A1189">
        <v>7603</v>
      </c>
      <c r="B1189" s="15">
        <v>45618</v>
      </c>
      <c r="C1189" s="106">
        <v>0.375</v>
      </c>
      <c r="D1189" s="108">
        <v>0.72083333333333333</v>
      </c>
      <c r="F1189">
        <v>3443</v>
      </c>
    </row>
    <row r="1190" spans="1:6" x14ac:dyDescent="0.25">
      <c r="A1190">
        <v>7603</v>
      </c>
      <c r="B1190" s="15">
        <v>45619</v>
      </c>
      <c r="C1190" s="133"/>
      <c r="D1190" s="133"/>
      <c r="F1190">
        <v>3444</v>
      </c>
    </row>
    <row r="1191" spans="1:6" x14ac:dyDescent="0.25">
      <c r="A1191">
        <v>7603</v>
      </c>
      <c r="B1191" s="15">
        <v>45620</v>
      </c>
      <c r="C1191" s="133"/>
      <c r="D1191" s="133"/>
      <c r="F1191">
        <v>3445</v>
      </c>
    </row>
    <row r="1192" spans="1:6" x14ac:dyDescent="0.25">
      <c r="A1192">
        <v>7605</v>
      </c>
      <c r="B1192" s="15">
        <v>45264</v>
      </c>
      <c r="E1192" s="153"/>
      <c r="F1192">
        <v>3866</v>
      </c>
    </row>
    <row r="1193" spans="1:6" x14ac:dyDescent="0.25">
      <c r="A1193">
        <v>7605</v>
      </c>
      <c r="B1193" s="15">
        <v>45265</v>
      </c>
      <c r="E1193" s="153"/>
      <c r="F1193">
        <v>3867</v>
      </c>
    </row>
    <row r="1194" spans="1:6" x14ac:dyDescent="0.25">
      <c r="A1194">
        <v>7605</v>
      </c>
      <c r="B1194" s="15">
        <v>45266</v>
      </c>
      <c r="E1194" s="118" t="s">
        <v>270</v>
      </c>
      <c r="F1194">
        <v>3868</v>
      </c>
    </row>
    <row r="1195" spans="1:6" x14ac:dyDescent="0.25">
      <c r="A1195">
        <v>7605</v>
      </c>
      <c r="B1195" s="15">
        <v>45267</v>
      </c>
      <c r="E1195" s="118" t="s">
        <v>270</v>
      </c>
      <c r="F1195">
        <v>3869</v>
      </c>
    </row>
    <row r="1196" spans="1:6" x14ac:dyDescent="0.25">
      <c r="A1196">
        <v>7605</v>
      </c>
      <c r="B1196" s="15">
        <v>45268</v>
      </c>
      <c r="E1196" s="118" t="s">
        <v>270</v>
      </c>
      <c r="F1196">
        <v>3870</v>
      </c>
    </row>
    <row r="1197" spans="1:6" x14ac:dyDescent="0.25">
      <c r="A1197">
        <v>7605</v>
      </c>
      <c r="B1197" s="15">
        <v>45269</v>
      </c>
      <c r="E1197" s="157"/>
      <c r="F1197">
        <v>3871</v>
      </c>
    </row>
    <row r="1198" spans="1:6" x14ac:dyDescent="0.25">
      <c r="A1198">
        <v>7605</v>
      </c>
      <c r="B1198" s="15">
        <v>45270</v>
      </c>
      <c r="E1198" s="157"/>
      <c r="F1198">
        <v>3872</v>
      </c>
    </row>
    <row r="1199" spans="1:6" x14ac:dyDescent="0.25">
      <c r="A1199">
        <v>7605</v>
      </c>
      <c r="B1199" s="15">
        <v>45271</v>
      </c>
      <c r="E1199" s="157"/>
      <c r="F1199">
        <v>3873</v>
      </c>
    </row>
    <row r="1200" spans="1:6" x14ac:dyDescent="0.25">
      <c r="A1200">
        <v>7605</v>
      </c>
      <c r="B1200" s="15">
        <v>45272</v>
      </c>
      <c r="E1200" s="157"/>
      <c r="F1200">
        <v>3874</v>
      </c>
    </row>
    <row r="1201" spans="1:6" x14ac:dyDescent="0.25">
      <c r="A1201">
        <v>7605</v>
      </c>
      <c r="B1201" s="15">
        <v>45273</v>
      </c>
      <c r="E1201" s="157"/>
      <c r="F1201">
        <v>3875</v>
      </c>
    </row>
    <row r="1202" spans="1:6" x14ac:dyDescent="0.25">
      <c r="A1202">
        <v>7605</v>
      </c>
      <c r="B1202" s="15">
        <v>45274</v>
      </c>
      <c r="E1202" s="118" t="s">
        <v>270</v>
      </c>
      <c r="F1202">
        <v>3876</v>
      </c>
    </row>
    <row r="1203" spans="1:6" x14ac:dyDescent="0.25">
      <c r="A1203">
        <v>7605</v>
      </c>
      <c r="B1203" s="15">
        <v>45275</v>
      </c>
      <c r="E1203" s="118" t="s">
        <v>270</v>
      </c>
      <c r="F1203">
        <v>3877</v>
      </c>
    </row>
    <row r="1204" spans="1:6" x14ac:dyDescent="0.25">
      <c r="A1204">
        <v>7605</v>
      </c>
      <c r="B1204" s="15">
        <v>45276</v>
      </c>
      <c r="E1204" s="137" t="s">
        <v>283</v>
      </c>
      <c r="F1204">
        <v>3878</v>
      </c>
    </row>
    <row r="1205" spans="1:6" x14ac:dyDescent="0.25">
      <c r="A1205">
        <v>7605</v>
      </c>
      <c r="B1205" s="15">
        <v>45277</v>
      </c>
      <c r="E1205" s="157"/>
      <c r="F1205">
        <v>3879</v>
      </c>
    </row>
    <row r="1206" spans="1:6" x14ac:dyDescent="0.25">
      <c r="A1206">
        <v>7605</v>
      </c>
      <c r="B1206" s="15">
        <v>45278</v>
      </c>
      <c r="E1206" s="157"/>
      <c r="F1206">
        <v>3880</v>
      </c>
    </row>
    <row r="1207" spans="1:6" x14ac:dyDescent="0.25">
      <c r="A1207">
        <v>7605</v>
      </c>
      <c r="B1207" s="15">
        <v>45279</v>
      </c>
      <c r="E1207" s="157"/>
      <c r="F1207">
        <v>3881</v>
      </c>
    </row>
    <row r="1208" spans="1:6" x14ac:dyDescent="0.25">
      <c r="A1208">
        <v>7605</v>
      </c>
      <c r="B1208" s="15">
        <v>45280</v>
      </c>
      <c r="E1208" s="118" t="s">
        <v>270</v>
      </c>
      <c r="F1208">
        <v>3882</v>
      </c>
    </row>
    <row r="1209" spans="1:6" x14ac:dyDescent="0.25">
      <c r="A1209">
        <v>7605</v>
      </c>
      <c r="B1209" s="15">
        <v>45281</v>
      </c>
      <c r="E1209" s="118" t="s">
        <v>270</v>
      </c>
      <c r="F1209">
        <v>3883</v>
      </c>
    </row>
    <row r="1210" spans="1:6" x14ac:dyDescent="0.25">
      <c r="A1210">
        <v>7605</v>
      </c>
      <c r="B1210" s="15">
        <v>45282</v>
      </c>
      <c r="E1210" s="123" t="s">
        <v>379</v>
      </c>
      <c r="F1210">
        <v>3884</v>
      </c>
    </row>
    <row r="1211" spans="1:6" x14ac:dyDescent="0.25">
      <c r="A1211">
        <v>7605</v>
      </c>
      <c r="B1211" s="15">
        <v>45283</v>
      </c>
      <c r="E1211" s="157"/>
      <c r="F1211">
        <v>3885</v>
      </c>
    </row>
    <row r="1212" spans="1:6" x14ac:dyDescent="0.25">
      <c r="A1212">
        <v>7605</v>
      </c>
      <c r="B1212" s="15">
        <v>45284</v>
      </c>
      <c r="E1212" s="157"/>
      <c r="F1212">
        <v>3886</v>
      </c>
    </row>
    <row r="1213" spans="1:6" x14ac:dyDescent="0.25">
      <c r="A1213">
        <v>7605</v>
      </c>
      <c r="B1213" s="15">
        <v>45285</v>
      </c>
      <c r="E1213" s="155"/>
      <c r="F1213">
        <v>3887</v>
      </c>
    </row>
    <row r="1214" spans="1:6" x14ac:dyDescent="0.25">
      <c r="A1214">
        <v>7605</v>
      </c>
      <c r="B1214" s="15">
        <v>45286</v>
      </c>
      <c r="E1214" s="155"/>
      <c r="F1214">
        <v>3888</v>
      </c>
    </row>
    <row r="1215" spans="1:6" x14ac:dyDescent="0.25">
      <c r="A1215">
        <v>7605</v>
      </c>
      <c r="B1215" s="15">
        <v>45287</v>
      </c>
      <c r="E1215" s="155"/>
      <c r="F1215">
        <v>3889</v>
      </c>
    </row>
    <row r="1216" spans="1:6" x14ac:dyDescent="0.25">
      <c r="A1216">
        <v>7605</v>
      </c>
      <c r="B1216" s="15">
        <v>45288</v>
      </c>
      <c r="E1216" s="120" t="s">
        <v>2</v>
      </c>
      <c r="F1216">
        <v>3890</v>
      </c>
    </row>
    <row r="1217" spans="1:6" x14ac:dyDescent="0.25">
      <c r="A1217">
        <v>7605</v>
      </c>
      <c r="B1217" s="15">
        <v>45289</v>
      </c>
      <c r="E1217" s="123" t="s">
        <v>379</v>
      </c>
      <c r="F1217">
        <v>3891</v>
      </c>
    </row>
    <row r="1218" spans="1:6" x14ac:dyDescent="0.25">
      <c r="A1218">
        <v>7605</v>
      </c>
      <c r="B1218" s="15">
        <v>45290</v>
      </c>
      <c r="E1218" s="137" t="s">
        <v>283</v>
      </c>
      <c r="F1218">
        <v>3892</v>
      </c>
    </row>
    <row r="1219" spans="1:6" x14ac:dyDescent="0.25">
      <c r="A1219">
        <v>7605</v>
      </c>
      <c r="B1219" s="15">
        <v>45291</v>
      </c>
      <c r="E1219" s="157"/>
      <c r="F1219">
        <v>3893</v>
      </c>
    </row>
    <row r="1220" spans="1:6" x14ac:dyDescent="0.25">
      <c r="A1220">
        <v>7605</v>
      </c>
      <c r="B1220" s="15">
        <v>45292</v>
      </c>
      <c r="E1220" s="119"/>
      <c r="F1220">
        <v>4664</v>
      </c>
    </row>
    <row r="1221" spans="1:6" x14ac:dyDescent="0.25">
      <c r="A1221">
        <v>7605</v>
      </c>
      <c r="B1221" s="15">
        <v>45293</v>
      </c>
      <c r="E1221" s="160" t="s">
        <v>263</v>
      </c>
      <c r="F1221">
        <v>4665</v>
      </c>
    </row>
    <row r="1222" spans="1:6" x14ac:dyDescent="0.25">
      <c r="A1222">
        <v>7605</v>
      </c>
      <c r="B1222" s="15">
        <v>45294</v>
      </c>
      <c r="E1222" s="160" t="s">
        <v>266</v>
      </c>
      <c r="F1222">
        <v>4666</v>
      </c>
    </row>
    <row r="1223" spans="1:6" x14ac:dyDescent="0.25">
      <c r="A1223">
        <v>7605</v>
      </c>
      <c r="B1223" s="15">
        <v>45295</v>
      </c>
      <c r="E1223" s="160" t="s">
        <v>263</v>
      </c>
      <c r="F1223">
        <v>4667</v>
      </c>
    </row>
    <row r="1224" spans="1:6" x14ac:dyDescent="0.25">
      <c r="A1224">
        <v>7605</v>
      </c>
      <c r="B1224" s="15">
        <v>45296</v>
      </c>
      <c r="E1224" s="119"/>
      <c r="F1224">
        <v>4668</v>
      </c>
    </row>
    <row r="1225" spans="1:6" x14ac:dyDescent="0.25">
      <c r="A1225">
        <v>7605</v>
      </c>
      <c r="B1225" s="15">
        <v>45297</v>
      </c>
      <c r="E1225" s="119"/>
      <c r="F1225">
        <v>4669</v>
      </c>
    </row>
    <row r="1226" spans="1:6" x14ac:dyDescent="0.25">
      <c r="A1226">
        <v>7605</v>
      </c>
      <c r="B1226" s="15">
        <v>45298</v>
      </c>
      <c r="E1226" s="157"/>
      <c r="F1226">
        <v>4670</v>
      </c>
    </row>
    <row r="1227" spans="1:6" x14ac:dyDescent="0.25">
      <c r="A1227">
        <v>7605</v>
      </c>
      <c r="B1227" s="15">
        <v>45299</v>
      </c>
      <c r="E1227" s="160" t="s">
        <v>263</v>
      </c>
      <c r="F1227">
        <v>4671</v>
      </c>
    </row>
    <row r="1228" spans="1:6" x14ac:dyDescent="0.25">
      <c r="A1228">
        <v>7605</v>
      </c>
      <c r="B1228" s="15">
        <v>45300</v>
      </c>
      <c r="E1228" s="160" t="s">
        <v>266</v>
      </c>
      <c r="F1228">
        <v>4672</v>
      </c>
    </row>
    <row r="1229" spans="1:6" x14ac:dyDescent="0.25">
      <c r="A1229">
        <v>7605</v>
      </c>
      <c r="B1229" s="15">
        <v>45301</v>
      </c>
      <c r="E1229" s="160" t="s">
        <v>263</v>
      </c>
      <c r="F1229">
        <v>4673</v>
      </c>
    </row>
    <row r="1230" spans="1:6" x14ac:dyDescent="0.25">
      <c r="A1230">
        <v>7605</v>
      </c>
      <c r="B1230" s="15">
        <v>45302</v>
      </c>
      <c r="E1230" s="160" t="s">
        <v>266</v>
      </c>
      <c r="F1230">
        <v>4674</v>
      </c>
    </row>
    <row r="1231" spans="1:6" x14ac:dyDescent="0.25">
      <c r="A1231">
        <v>7605</v>
      </c>
      <c r="B1231" s="15">
        <v>45303</v>
      </c>
      <c r="E1231" s="158"/>
      <c r="F1231">
        <v>4675</v>
      </c>
    </row>
    <row r="1232" spans="1:6" x14ac:dyDescent="0.25">
      <c r="A1232">
        <v>7605</v>
      </c>
      <c r="B1232" s="15">
        <v>45304</v>
      </c>
      <c r="E1232" s="160" t="s">
        <v>175</v>
      </c>
      <c r="F1232">
        <v>4676</v>
      </c>
    </row>
    <row r="1233" spans="1:6" x14ac:dyDescent="0.25">
      <c r="A1233">
        <v>7605</v>
      </c>
      <c r="B1233" s="15">
        <v>45305</v>
      </c>
      <c r="E1233" s="157"/>
      <c r="F1233">
        <v>4677</v>
      </c>
    </row>
    <row r="1234" spans="1:6" x14ac:dyDescent="0.25">
      <c r="A1234">
        <v>7605</v>
      </c>
      <c r="B1234" s="15">
        <v>45306</v>
      </c>
      <c r="E1234" s="160" t="s">
        <v>266</v>
      </c>
      <c r="F1234">
        <v>4678</v>
      </c>
    </row>
    <row r="1235" spans="1:6" x14ac:dyDescent="0.25">
      <c r="A1235">
        <v>7605</v>
      </c>
      <c r="B1235" s="15">
        <v>45307</v>
      </c>
      <c r="E1235" s="160" t="s">
        <v>263</v>
      </c>
      <c r="F1235">
        <v>4679</v>
      </c>
    </row>
    <row r="1236" spans="1:6" x14ac:dyDescent="0.25">
      <c r="A1236">
        <v>7605</v>
      </c>
      <c r="B1236" s="15">
        <v>45308</v>
      </c>
      <c r="E1236" s="160" t="s">
        <v>266</v>
      </c>
      <c r="F1236">
        <v>4680</v>
      </c>
    </row>
    <row r="1237" spans="1:6" x14ac:dyDescent="0.25">
      <c r="A1237">
        <v>7605</v>
      </c>
      <c r="B1237" s="15">
        <v>45309</v>
      </c>
      <c r="E1237" s="160" t="s">
        <v>263</v>
      </c>
      <c r="F1237">
        <v>4681</v>
      </c>
    </row>
    <row r="1238" spans="1:6" x14ac:dyDescent="0.25">
      <c r="A1238">
        <v>7605</v>
      </c>
      <c r="B1238" s="15">
        <v>45310</v>
      </c>
      <c r="E1238" s="119"/>
      <c r="F1238">
        <v>4682</v>
      </c>
    </row>
    <row r="1239" spans="1:6" x14ac:dyDescent="0.25">
      <c r="A1239">
        <v>7605</v>
      </c>
      <c r="B1239" s="15">
        <v>45311</v>
      </c>
      <c r="E1239" s="119"/>
      <c r="F1239">
        <v>4683</v>
      </c>
    </row>
    <row r="1240" spans="1:6" x14ac:dyDescent="0.25">
      <c r="A1240">
        <v>7605</v>
      </c>
      <c r="B1240" s="15">
        <v>45312</v>
      </c>
      <c r="E1240" s="157"/>
      <c r="F1240">
        <v>4684</v>
      </c>
    </row>
    <row r="1241" spans="1:6" x14ac:dyDescent="0.25">
      <c r="A1241">
        <v>7605</v>
      </c>
      <c r="B1241" s="15">
        <v>45313</v>
      </c>
      <c r="E1241" s="160" t="s">
        <v>263</v>
      </c>
      <c r="F1241">
        <v>4685</v>
      </c>
    </row>
    <row r="1242" spans="1:6" x14ac:dyDescent="0.25">
      <c r="A1242">
        <v>7605</v>
      </c>
      <c r="B1242" s="15">
        <v>45314</v>
      </c>
      <c r="E1242" s="160" t="s">
        <v>266</v>
      </c>
      <c r="F1242">
        <v>4686</v>
      </c>
    </row>
    <row r="1243" spans="1:6" x14ac:dyDescent="0.25">
      <c r="A1243">
        <v>7605</v>
      </c>
      <c r="B1243" s="15">
        <v>45315</v>
      </c>
      <c r="E1243" s="160" t="s">
        <v>263</v>
      </c>
      <c r="F1243">
        <v>4687</v>
      </c>
    </row>
    <row r="1244" spans="1:6" x14ac:dyDescent="0.25">
      <c r="A1244">
        <v>7605</v>
      </c>
      <c r="B1244" s="15">
        <v>45316</v>
      </c>
      <c r="E1244" s="160" t="s">
        <v>266</v>
      </c>
      <c r="F1244">
        <v>4688</v>
      </c>
    </row>
    <row r="1245" spans="1:6" x14ac:dyDescent="0.25">
      <c r="A1245">
        <v>7605</v>
      </c>
      <c r="B1245" s="15">
        <v>45317</v>
      </c>
      <c r="E1245" s="158"/>
      <c r="F1245">
        <v>4689</v>
      </c>
    </row>
    <row r="1246" spans="1:6" x14ac:dyDescent="0.25">
      <c r="A1246">
        <v>7605</v>
      </c>
      <c r="B1246" s="15">
        <v>45318</v>
      </c>
      <c r="E1246" s="160" t="s">
        <v>175</v>
      </c>
      <c r="F1246">
        <v>4690</v>
      </c>
    </row>
    <row r="1247" spans="1:6" x14ac:dyDescent="0.25">
      <c r="A1247">
        <v>7605</v>
      </c>
      <c r="B1247" s="15">
        <v>45319</v>
      </c>
      <c r="E1247" s="157"/>
      <c r="F1247">
        <v>4691</v>
      </c>
    </row>
    <row r="1248" spans="1:6" x14ac:dyDescent="0.25">
      <c r="A1248">
        <v>7605</v>
      </c>
      <c r="B1248" s="15">
        <v>45320</v>
      </c>
      <c r="E1248" s="160" t="s">
        <v>266</v>
      </c>
      <c r="F1248">
        <v>4692</v>
      </c>
    </row>
    <row r="1249" spans="1:6" x14ac:dyDescent="0.25">
      <c r="A1249">
        <v>7605</v>
      </c>
      <c r="B1249" s="15">
        <v>45321</v>
      </c>
      <c r="E1249" s="160" t="s">
        <v>263</v>
      </c>
      <c r="F1249">
        <v>4693</v>
      </c>
    </row>
    <row r="1250" spans="1:6" x14ac:dyDescent="0.25">
      <c r="A1250">
        <v>7605</v>
      </c>
      <c r="B1250" s="15">
        <v>45322</v>
      </c>
      <c r="E1250" s="160" t="s">
        <v>266</v>
      </c>
      <c r="F1250">
        <v>4694</v>
      </c>
    </row>
    <row r="1251" spans="1:6" x14ac:dyDescent="0.25">
      <c r="A1251">
        <v>7605</v>
      </c>
      <c r="B1251" s="15">
        <v>45323</v>
      </c>
      <c r="E1251" s="160" t="s">
        <v>263</v>
      </c>
      <c r="F1251">
        <v>4695</v>
      </c>
    </row>
    <row r="1252" spans="1:6" x14ac:dyDescent="0.25">
      <c r="A1252">
        <v>7605</v>
      </c>
      <c r="B1252" s="15">
        <v>45324</v>
      </c>
      <c r="E1252" s="119"/>
      <c r="F1252">
        <v>4696</v>
      </c>
    </row>
    <row r="1253" spans="1:6" x14ac:dyDescent="0.25">
      <c r="A1253">
        <v>7605</v>
      </c>
      <c r="B1253" s="15">
        <v>45325</v>
      </c>
      <c r="E1253" s="119"/>
      <c r="F1253">
        <v>4697</v>
      </c>
    </row>
    <row r="1254" spans="1:6" x14ac:dyDescent="0.25">
      <c r="A1254">
        <v>7605</v>
      </c>
      <c r="B1254" s="15">
        <v>45326</v>
      </c>
      <c r="E1254" s="157"/>
      <c r="F1254">
        <v>4698</v>
      </c>
    </row>
    <row r="1255" spans="1:6" x14ac:dyDescent="0.25">
      <c r="A1255">
        <v>7605</v>
      </c>
      <c r="B1255" s="15">
        <v>45327</v>
      </c>
      <c r="E1255" s="160" t="s">
        <v>263</v>
      </c>
      <c r="F1255">
        <v>5441</v>
      </c>
    </row>
    <row r="1256" spans="1:6" x14ac:dyDescent="0.25">
      <c r="A1256">
        <v>7605</v>
      </c>
      <c r="B1256" s="15">
        <v>45328</v>
      </c>
      <c r="E1256" s="160" t="s">
        <v>266</v>
      </c>
      <c r="F1256">
        <v>5442</v>
      </c>
    </row>
    <row r="1257" spans="1:6" x14ac:dyDescent="0.25">
      <c r="A1257">
        <v>7605</v>
      </c>
      <c r="B1257" s="15">
        <v>45329</v>
      </c>
      <c r="E1257" s="160" t="s">
        <v>263</v>
      </c>
      <c r="F1257">
        <v>5443</v>
      </c>
    </row>
    <row r="1258" spans="1:6" x14ac:dyDescent="0.25">
      <c r="A1258">
        <v>7605</v>
      </c>
      <c r="B1258" s="15">
        <v>45330</v>
      </c>
      <c r="E1258" s="160" t="s">
        <v>266</v>
      </c>
      <c r="F1258">
        <v>5444</v>
      </c>
    </row>
    <row r="1259" spans="1:6" x14ac:dyDescent="0.25">
      <c r="A1259">
        <v>7605</v>
      </c>
      <c r="B1259" s="15">
        <v>45331</v>
      </c>
      <c r="E1259" s="158"/>
      <c r="F1259">
        <v>5445</v>
      </c>
    </row>
    <row r="1260" spans="1:6" x14ac:dyDescent="0.25">
      <c r="A1260">
        <v>7605</v>
      </c>
      <c r="B1260" s="15">
        <v>45332</v>
      </c>
      <c r="E1260" s="160" t="s">
        <v>175</v>
      </c>
      <c r="F1260">
        <v>5446</v>
      </c>
    </row>
    <row r="1261" spans="1:6" x14ac:dyDescent="0.25">
      <c r="A1261">
        <v>7605</v>
      </c>
      <c r="B1261" s="15">
        <v>45333</v>
      </c>
      <c r="E1261" s="157"/>
      <c r="F1261">
        <v>5447</v>
      </c>
    </row>
    <row r="1262" spans="1:6" x14ac:dyDescent="0.25">
      <c r="A1262">
        <v>7605</v>
      </c>
      <c r="B1262" s="15">
        <v>45334</v>
      </c>
      <c r="E1262" s="160" t="s">
        <v>266</v>
      </c>
      <c r="F1262">
        <v>5448</v>
      </c>
    </row>
    <row r="1263" spans="1:6" x14ac:dyDescent="0.25">
      <c r="A1263">
        <v>7605</v>
      </c>
      <c r="B1263" s="15">
        <v>45335</v>
      </c>
      <c r="E1263" s="160" t="s">
        <v>263</v>
      </c>
      <c r="F1263">
        <v>5449</v>
      </c>
    </row>
    <row r="1264" spans="1:6" x14ac:dyDescent="0.25">
      <c r="A1264">
        <v>7605</v>
      </c>
      <c r="B1264" s="15">
        <v>45336</v>
      </c>
      <c r="E1264" s="160" t="s">
        <v>266</v>
      </c>
      <c r="F1264">
        <v>5450</v>
      </c>
    </row>
    <row r="1265" spans="1:6" x14ac:dyDescent="0.25">
      <c r="A1265">
        <v>7605</v>
      </c>
      <c r="B1265" s="15">
        <v>45337</v>
      </c>
      <c r="E1265" s="160" t="s">
        <v>263</v>
      </c>
      <c r="F1265">
        <v>5451</v>
      </c>
    </row>
    <row r="1266" spans="1:6" x14ac:dyDescent="0.25">
      <c r="A1266">
        <v>7605</v>
      </c>
      <c r="B1266" s="15">
        <v>45338</v>
      </c>
      <c r="E1266" s="119"/>
      <c r="F1266">
        <v>5452</v>
      </c>
    </row>
    <row r="1267" spans="1:6" x14ac:dyDescent="0.25">
      <c r="A1267">
        <v>7605</v>
      </c>
      <c r="B1267" s="15">
        <v>45339</v>
      </c>
      <c r="E1267" s="119"/>
      <c r="F1267">
        <v>5453</v>
      </c>
    </row>
    <row r="1268" spans="1:6" x14ac:dyDescent="0.25">
      <c r="A1268">
        <v>7605</v>
      </c>
      <c r="B1268" s="15">
        <v>45340</v>
      </c>
      <c r="E1268" s="157"/>
      <c r="F1268">
        <v>5454</v>
      </c>
    </row>
    <row r="1269" spans="1:6" x14ac:dyDescent="0.25">
      <c r="A1269">
        <v>7605</v>
      </c>
      <c r="B1269" s="15">
        <v>45341</v>
      </c>
      <c r="E1269" s="160" t="s">
        <v>263</v>
      </c>
      <c r="F1269">
        <v>5455</v>
      </c>
    </row>
    <row r="1270" spans="1:6" x14ac:dyDescent="0.25">
      <c r="A1270">
        <v>7605</v>
      </c>
      <c r="B1270" s="15">
        <v>45342</v>
      </c>
      <c r="E1270" s="160" t="s">
        <v>266</v>
      </c>
      <c r="F1270">
        <v>5456</v>
      </c>
    </row>
    <row r="1271" spans="1:6" x14ac:dyDescent="0.25">
      <c r="A1271">
        <v>7605</v>
      </c>
      <c r="B1271" s="15">
        <v>45343</v>
      </c>
      <c r="E1271" s="160" t="s">
        <v>263</v>
      </c>
      <c r="F1271">
        <v>5457</v>
      </c>
    </row>
    <row r="1272" spans="1:6" x14ac:dyDescent="0.25">
      <c r="A1272">
        <v>7605</v>
      </c>
      <c r="B1272" s="15">
        <v>45344</v>
      </c>
      <c r="E1272" s="160" t="s">
        <v>266</v>
      </c>
      <c r="F1272">
        <v>5458</v>
      </c>
    </row>
    <row r="1273" spans="1:6" x14ac:dyDescent="0.25">
      <c r="A1273">
        <v>7605</v>
      </c>
      <c r="B1273" s="15">
        <v>45345</v>
      </c>
      <c r="E1273" s="158"/>
      <c r="F1273">
        <v>5459</v>
      </c>
    </row>
    <row r="1274" spans="1:6" x14ac:dyDescent="0.25">
      <c r="A1274">
        <v>7605</v>
      </c>
      <c r="B1274" s="15">
        <v>45346</v>
      </c>
      <c r="E1274" s="160" t="s">
        <v>175</v>
      </c>
      <c r="F1274">
        <v>5460</v>
      </c>
    </row>
    <row r="1275" spans="1:6" x14ac:dyDescent="0.25">
      <c r="A1275">
        <v>7605</v>
      </c>
      <c r="B1275" s="15">
        <v>45347</v>
      </c>
      <c r="E1275" s="157"/>
      <c r="F1275">
        <v>5461</v>
      </c>
    </row>
    <row r="1276" spans="1:6" x14ac:dyDescent="0.25">
      <c r="A1276">
        <v>7605</v>
      </c>
      <c r="B1276" s="15">
        <v>45348</v>
      </c>
      <c r="E1276" s="120" t="s">
        <v>2</v>
      </c>
      <c r="F1276">
        <v>5462</v>
      </c>
    </row>
    <row r="1277" spans="1:6" x14ac:dyDescent="0.25">
      <c r="A1277">
        <v>7605</v>
      </c>
      <c r="B1277" s="15">
        <v>45349</v>
      </c>
      <c r="E1277" s="117" t="s">
        <v>2</v>
      </c>
      <c r="F1277">
        <v>5463</v>
      </c>
    </row>
    <row r="1278" spans="1:6" x14ac:dyDescent="0.25">
      <c r="A1278">
        <v>7605</v>
      </c>
      <c r="B1278" s="15">
        <v>45350</v>
      </c>
      <c r="E1278" s="120" t="s">
        <v>2</v>
      </c>
      <c r="F1278">
        <v>5464</v>
      </c>
    </row>
    <row r="1279" spans="1:6" x14ac:dyDescent="0.25">
      <c r="A1279">
        <v>7605</v>
      </c>
      <c r="B1279" s="15">
        <v>45351</v>
      </c>
      <c r="E1279" s="117" t="s">
        <v>2</v>
      </c>
      <c r="F1279">
        <v>5465</v>
      </c>
    </row>
    <row r="1280" spans="1:6" x14ac:dyDescent="0.25">
      <c r="A1280">
        <v>7605</v>
      </c>
      <c r="B1280" s="15">
        <v>45352</v>
      </c>
      <c r="E1280" s="119"/>
      <c r="F1280">
        <v>5466</v>
      </c>
    </row>
    <row r="1281" spans="1:6" x14ac:dyDescent="0.25">
      <c r="A1281">
        <v>7605</v>
      </c>
      <c r="B1281" s="15">
        <v>45353</v>
      </c>
      <c r="E1281" s="119"/>
      <c r="F1281">
        <v>5467</v>
      </c>
    </row>
    <row r="1282" spans="1:6" x14ac:dyDescent="0.25">
      <c r="A1282">
        <v>7605</v>
      </c>
      <c r="B1282" s="15">
        <v>45354</v>
      </c>
      <c r="E1282" s="157"/>
      <c r="F1282">
        <v>5468</v>
      </c>
    </row>
    <row r="1283" spans="1:6" x14ac:dyDescent="0.25">
      <c r="A1283">
        <v>7605</v>
      </c>
      <c r="B1283" s="15">
        <v>45355</v>
      </c>
      <c r="E1283" s="160" t="s">
        <v>263</v>
      </c>
      <c r="F1283">
        <v>6141</v>
      </c>
    </row>
    <row r="1284" spans="1:6" x14ac:dyDescent="0.25">
      <c r="A1284">
        <v>7605</v>
      </c>
      <c r="B1284" s="15">
        <v>45356</v>
      </c>
      <c r="E1284" s="160" t="s">
        <v>266</v>
      </c>
      <c r="F1284">
        <v>6142</v>
      </c>
    </row>
    <row r="1285" spans="1:6" x14ac:dyDescent="0.25">
      <c r="A1285">
        <v>7605</v>
      </c>
      <c r="B1285" s="15">
        <v>45357</v>
      </c>
      <c r="E1285" s="160" t="s">
        <v>263</v>
      </c>
      <c r="F1285">
        <v>6143</v>
      </c>
    </row>
    <row r="1286" spans="1:6" x14ac:dyDescent="0.25">
      <c r="A1286">
        <v>7605</v>
      </c>
      <c r="B1286" s="15">
        <v>45358</v>
      </c>
      <c r="E1286" s="160" t="s">
        <v>266</v>
      </c>
      <c r="F1286">
        <v>6144</v>
      </c>
    </row>
    <row r="1287" spans="1:6" x14ac:dyDescent="0.25">
      <c r="A1287">
        <v>7605</v>
      </c>
      <c r="B1287" s="15">
        <v>45359</v>
      </c>
      <c r="E1287" s="158"/>
      <c r="F1287">
        <v>6145</v>
      </c>
    </row>
    <row r="1288" spans="1:6" x14ac:dyDescent="0.25">
      <c r="A1288">
        <v>7605</v>
      </c>
      <c r="B1288" s="15">
        <v>45360</v>
      </c>
      <c r="E1288" s="160" t="s">
        <v>175</v>
      </c>
      <c r="F1288">
        <v>6146</v>
      </c>
    </row>
    <row r="1289" spans="1:6" x14ac:dyDescent="0.25">
      <c r="A1289">
        <v>7605</v>
      </c>
      <c r="B1289" s="15">
        <v>45361</v>
      </c>
      <c r="E1289" s="157"/>
      <c r="F1289">
        <v>6147</v>
      </c>
    </row>
    <row r="1290" spans="1:6" x14ac:dyDescent="0.25">
      <c r="A1290">
        <v>7605</v>
      </c>
      <c r="B1290" s="15">
        <v>45362</v>
      </c>
      <c r="E1290" s="160" t="s">
        <v>266</v>
      </c>
      <c r="F1290">
        <v>6148</v>
      </c>
    </row>
    <row r="1291" spans="1:6" x14ac:dyDescent="0.25">
      <c r="A1291">
        <v>7605</v>
      </c>
      <c r="B1291" s="15">
        <v>45363</v>
      </c>
      <c r="E1291" s="160" t="s">
        <v>263</v>
      </c>
      <c r="F1291">
        <v>6149</v>
      </c>
    </row>
    <row r="1292" spans="1:6" x14ac:dyDescent="0.25">
      <c r="A1292">
        <v>7605</v>
      </c>
      <c r="B1292" s="15">
        <v>45364</v>
      </c>
      <c r="E1292" s="160" t="s">
        <v>266</v>
      </c>
      <c r="F1292">
        <v>6150</v>
      </c>
    </row>
    <row r="1293" spans="1:6" x14ac:dyDescent="0.25">
      <c r="A1293">
        <v>7605</v>
      </c>
      <c r="B1293" s="15">
        <v>45365</v>
      </c>
      <c r="E1293" s="160" t="s">
        <v>263</v>
      </c>
      <c r="F1293">
        <v>6151</v>
      </c>
    </row>
    <row r="1294" spans="1:6" x14ac:dyDescent="0.25">
      <c r="A1294">
        <v>7605</v>
      </c>
      <c r="B1294" s="15">
        <v>45366</v>
      </c>
      <c r="E1294" s="119"/>
      <c r="F1294">
        <v>6152</v>
      </c>
    </row>
    <row r="1295" spans="1:6" x14ac:dyDescent="0.25">
      <c r="A1295">
        <v>7605</v>
      </c>
      <c r="B1295" s="15">
        <v>45367</v>
      </c>
      <c r="E1295" s="119"/>
      <c r="F1295">
        <v>6153</v>
      </c>
    </row>
    <row r="1296" spans="1:6" x14ac:dyDescent="0.25">
      <c r="A1296">
        <v>7605</v>
      </c>
      <c r="B1296" s="15">
        <v>45368</v>
      </c>
      <c r="E1296" s="157"/>
      <c r="F1296">
        <v>6154</v>
      </c>
    </row>
    <row r="1297" spans="1:6" x14ac:dyDescent="0.25">
      <c r="A1297">
        <v>7605</v>
      </c>
      <c r="B1297" s="15">
        <v>45369</v>
      </c>
      <c r="E1297" s="160" t="s">
        <v>263</v>
      </c>
      <c r="F1297">
        <v>6155</v>
      </c>
    </row>
    <row r="1298" spans="1:6" x14ac:dyDescent="0.25">
      <c r="A1298">
        <v>7605</v>
      </c>
      <c r="B1298" s="15">
        <v>45370</v>
      </c>
      <c r="E1298" s="160" t="s">
        <v>266</v>
      </c>
      <c r="F1298">
        <v>6156</v>
      </c>
    </row>
    <row r="1299" spans="1:6" x14ac:dyDescent="0.25">
      <c r="A1299">
        <v>7605</v>
      </c>
      <c r="B1299" s="15">
        <v>45371</v>
      </c>
      <c r="E1299" s="160" t="s">
        <v>263</v>
      </c>
      <c r="F1299">
        <v>6157</v>
      </c>
    </row>
    <row r="1300" spans="1:6" x14ac:dyDescent="0.25">
      <c r="A1300">
        <v>7605</v>
      </c>
      <c r="B1300" s="15">
        <v>45372</v>
      </c>
      <c r="E1300" s="160" t="s">
        <v>266</v>
      </c>
      <c r="F1300">
        <v>6158</v>
      </c>
    </row>
    <row r="1301" spans="1:6" x14ac:dyDescent="0.25">
      <c r="A1301">
        <v>7605</v>
      </c>
      <c r="B1301" s="15">
        <v>45373</v>
      </c>
      <c r="E1301" s="158"/>
      <c r="F1301">
        <v>6159</v>
      </c>
    </row>
    <row r="1302" spans="1:6" x14ac:dyDescent="0.25">
      <c r="A1302">
        <v>7605</v>
      </c>
      <c r="B1302" s="15">
        <v>45374</v>
      </c>
      <c r="E1302" s="126" t="s">
        <v>2</v>
      </c>
      <c r="F1302">
        <v>6160</v>
      </c>
    </row>
    <row r="1303" spans="1:6" x14ac:dyDescent="0.25">
      <c r="A1303">
        <v>7605</v>
      </c>
      <c r="B1303" s="15">
        <v>45375</v>
      </c>
      <c r="E1303" s="157"/>
      <c r="F1303">
        <v>6161</v>
      </c>
    </row>
    <row r="1304" spans="1:6" x14ac:dyDescent="0.25">
      <c r="A1304">
        <v>7605</v>
      </c>
      <c r="B1304" s="15">
        <v>45376</v>
      </c>
      <c r="E1304" s="122" t="s">
        <v>2</v>
      </c>
      <c r="F1304">
        <v>6162</v>
      </c>
    </row>
    <row r="1305" spans="1:6" x14ac:dyDescent="0.25">
      <c r="A1305">
        <v>7605</v>
      </c>
      <c r="B1305" s="15">
        <v>45377</v>
      </c>
      <c r="E1305" s="160" t="s">
        <v>263</v>
      </c>
      <c r="F1305">
        <v>6163</v>
      </c>
    </row>
    <row r="1306" spans="1:6" x14ac:dyDescent="0.25">
      <c r="A1306">
        <v>7605</v>
      </c>
      <c r="B1306" s="15">
        <v>45378</v>
      </c>
      <c r="E1306" s="160" t="s">
        <v>266</v>
      </c>
      <c r="F1306">
        <v>6164</v>
      </c>
    </row>
    <row r="1307" spans="1:6" x14ac:dyDescent="0.25">
      <c r="A1307">
        <v>7605</v>
      </c>
      <c r="B1307" s="15">
        <v>45379</v>
      </c>
      <c r="E1307" s="160" t="s">
        <v>263</v>
      </c>
      <c r="F1307">
        <v>6165</v>
      </c>
    </row>
    <row r="1308" spans="1:6" x14ac:dyDescent="0.25">
      <c r="A1308">
        <v>7605</v>
      </c>
      <c r="B1308" s="15">
        <v>45380</v>
      </c>
      <c r="E1308" s="119"/>
      <c r="F1308">
        <v>6166</v>
      </c>
    </row>
    <row r="1309" spans="1:6" x14ac:dyDescent="0.25">
      <c r="A1309">
        <v>7605</v>
      </c>
      <c r="B1309" s="15">
        <v>45381</v>
      </c>
      <c r="E1309" s="119"/>
      <c r="F1309">
        <v>6167</v>
      </c>
    </row>
    <row r="1310" spans="1:6" x14ac:dyDescent="0.25">
      <c r="A1310">
        <v>7605</v>
      </c>
      <c r="B1310" s="15">
        <v>45382</v>
      </c>
      <c r="E1310" s="157"/>
      <c r="F1310">
        <v>6168</v>
      </c>
    </row>
    <row r="1311" spans="1:6" x14ac:dyDescent="0.25">
      <c r="A1311">
        <v>7605</v>
      </c>
      <c r="B1311" s="15">
        <v>45383</v>
      </c>
      <c r="E1311" s="119"/>
      <c r="F1311">
        <v>6939</v>
      </c>
    </row>
    <row r="1312" spans="1:6" x14ac:dyDescent="0.25">
      <c r="A1312">
        <v>7605</v>
      </c>
      <c r="B1312" s="15">
        <v>45384</v>
      </c>
      <c r="E1312" s="160" t="s">
        <v>266</v>
      </c>
      <c r="F1312">
        <v>6940</v>
      </c>
    </row>
    <row r="1313" spans="1:6" x14ac:dyDescent="0.25">
      <c r="A1313">
        <v>7605</v>
      </c>
      <c r="B1313" s="15">
        <v>45385</v>
      </c>
      <c r="E1313" s="160" t="s">
        <v>263</v>
      </c>
      <c r="F1313">
        <v>6941</v>
      </c>
    </row>
    <row r="1314" spans="1:6" x14ac:dyDescent="0.25">
      <c r="A1314">
        <v>7605</v>
      </c>
      <c r="B1314" s="15">
        <v>45386</v>
      </c>
      <c r="E1314" s="160" t="s">
        <v>266</v>
      </c>
      <c r="F1314">
        <v>6942</v>
      </c>
    </row>
    <row r="1315" spans="1:6" x14ac:dyDescent="0.25">
      <c r="A1315">
        <v>7605</v>
      </c>
      <c r="B1315" s="15">
        <v>45387</v>
      </c>
      <c r="E1315" s="158"/>
      <c r="F1315">
        <v>6943</v>
      </c>
    </row>
    <row r="1316" spans="1:6" x14ac:dyDescent="0.25">
      <c r="A1316">
        <v>7605</v>
      </c>
      <c r="B1316" s="15">
        <v>45388</v>
      </c>
      <c r="E1316" s="160" t="s">
        <v>175</v>
      </c>
      <c r="F1316">
        <v>6944</v>
      </c>
    </row>
    <row r="1317" spans="1:6" x14ac:dyDescent="0.25">
      <c r="A1317">
        <v>7605</v>
      </c>
      <c r="B1317" s="15">
        <v>45389</v>
      </c>
      <c r="E1317" s="157"/>
      <c r="F1317">
        <v>6945</v>
      </c>
    </row>
    <row r="1318" spans="1:6" x14ac:dyDescent="0.25">
      <c r="A1318">
        <v>7605</v>
      </c>
      <c r="B1318" s="15">
        <v>45390</v>
      </c>
      <c r="E1318" s="160" t="s">
        <v>266</v>
      </c>
      <c r="F1318">
        <v>6946</v>
      </c>
    </row>
    <row r="1319" spans="1:6" x14ac:dyDescent="0.25">
      <c r="A1319">
        <v>7605</v>
      </c>
      <c r="B1319" s="15">
        <v>45391</v>
      </c>
      <c r="E1319" s="160" t="s">
        <v>263</v>
      </c>
      <c r="F1319">
        <v>6947</v>
      </c>
    </row>
    <row r="1320" spans="1:6" x14ac:dyDescent="0.25">
      <c r="A1320">
        <v>7605</v>
      </c>
      <c r="B1320" s="15">
        <v>45392</v>
      </c>
      <c r="E1320" s="160" t="s">
        <v>266</v>
      </c>
      <c r="F1320">
        <v>6948</v>
      </c>
    </row>
    <row r="1321" spans="1:6" x14ac:dyDescent="0.25">
      <c r="A1321">
        <v>7605</v>
      </c>
      <c r="B1321" s="15">
        <v>45393</v>
      </c>
      <c r="E1321" s="160" t="s">
        <v>263</v>
      </c>
      <c r="F1321">
        <v>6949</v>
      </c>
    </row>
    <row r="1322" spans="1:6" x14ac:dyDescent="0.25">
      <c r="A1322">
        <v>7605</v>
      </c>
      <c r="B1322" s="15">
        <v>45394</v>
      </c>
      <c r="E1322" s="119"/>
      <c r="F1322">
        <v>6950</v>
      </c>
    </row>
    <row r="1323" spans="1:6" x14ac:dyDescent="0.25">
      <c r="A1323">
        <v>7605</v>
      </c>
      <c r="B1323" s="15">
        <v>45395</v>
      </c>
      <c r="E1323" s="119"/>
      <c r="F1323">
        <v>6951</v>
      </c>
    </row>
    <row r="1324" spans="1:6" x14ac:dyDescent="0.25">
      <c r="A1324">
        <v>7605</v>
      </c>
      <c r="B1324" s="15">
        <v>45396</v>
      </c>
      <c r="E1324" s="157"/>
      <c r="F1324">
        <v>6952</v>
      </c>
    </row>
    <row r="1325" spans="1:6" x14ac:dyDescent="0.25">
      <c r="A1325">
        <v>7605</v>
      </c>
      <c r="B1325" s="15">
        <v>45397</v>
      </c>
      <c r="E1325" s="160" t="s">
        <v>263</v>
      </c>
      <c r="F1325">
        <v>6953</v>
      </c>
    </row>
    <row r="1326" spans="1:6" x14ac:dyDescent="0.25">
      <c r="A1326">
        <v>7605</v>
      </c>
      <c r="B1326" s="15">
        <v>45398</v>
      </c>
      <c r="E1326" s="160" t="s">
        <v>266</v>
      </c>
      <c r="F1326">
        <v>6954</v>
      </c>
    </row>
    <row r="1327" spans="1:6" x14ac:dyDescent="0.25">
      <c r="A1327">
        <v>7605</v>
      </c>
      <c r="B1327" s="15">
        <v>45399</v>
      </c>
      <c r="E1327" s="160" t="s">
        <v>263</v>
      </c>
      <c r="F1327">
        <v>6955</v>
      </c>
    </row>
    <row r="1328" spans="1:6" x14ac:dyDescent="0.25">
      <c r="A1328">
        <v>7605</v>
      </c>
      <c r="B1328" s="15">
        <v>45400</v>
      </c>
      <c r="E1328" s="160" t="s">
        <v>266</v>
      </c>
      <c r="F1328">
        <v>6956</v>
      </c>
    </row>
    <row r="1329" spans="1:6" x14ac:dyDescent="0.25">
      <c r="A1329">
        <v>7605</v>
      </c>
      <c r="B1329" s="15">
        <v>45401</v>
      </c>
      <c r="E1329" s="158"/>
      <c r="F1329">
        <v>6957</v>
      </c>
    </row>
    <row r="1330" spans="1:6" x14ac:dyDescent="0.25">
      <c r="A1330">
        <v>7605</v>
      </c>
      <c r="B1330" s="15">
        <v>45402</v>
      </c>
      <c r="E1330" s="126" t="s">
        <v>2</v>
      </c>
      <c r="F1330">
        <v>6958</v>
      </c>
    </row>
    <row r="1331" spans="1:6" x14ac:dyDescent="0.25">
      <c r="A1331">
        <v>7605</v>
      </c>
      <c r="B1331" s="15">
        <v>45403</v>
      </c>
      <c r="E1331" s="157"/>
      <c r="F1331">
        <v>6959</v>
      </c>
    </row>
    <row r="1332" spans="1:6" x14ac:dyDescent="0.25">
      <c r="A1332">
        <v>7605</v>
      </c>
      <c r="B1332" s="15">
        <v>45404</v>
      </c>
      <c r="E1332" s="122" t="s">
        <v>2</v>
      </c>
      <c r="F1332">
        <v>6960</v>
      </c>
    </row>
    <row r="1333" spans="1:6" x14ac:dyDescent="0.25">
      <c r="A1333">
        <v>7605</v>
      </c>
      <c r="B1333" s="15">
        <v>45405</v>
      </c>
      <c r="E1333" s="125" t="s">
        <v>2</v>
      </c>
      <c r="F1333">
        <v>6961</v>
      </c>
    </row>
    <row r="1334" spans="1:6" x14ac:dyDescent="0.25">
      <c r="A1334">
        <v>7605</v>
      </c>
      <c r="B1334" s="15">
        <v>45406</v>
      </c>
      <c r="E1334" s="122" t="s">
        <v>2</v>
      </c>
      <c r="F1334">
        <v>6962</v>
      </c>
    </row>
    <row r="1335" spans="1:6" x14ac:dyDescent="0.25">
      <c r="A1335">
        <v>7605</v>
      </c>
      <c r="B1335" s="15">
        <v>45407</v>
      </c>
      <c r="E1335" s="125" t="s">
        <v>2</v>
      </c>
      <c r="F1335">
        <v>6963</v>
      </c>
    </row>
    <row r="1336" spans="1:6" x14ac:dyDescent="0.25">
      <c r="A1336">
        <v>7605</v>
      </c>
      <c r="B1336" s="15">
        <v>45408</v>
      </c>
      <c r="E1336" s="119"/>
      <c r="F1336">
        <v>6964</v>
      </c>
    </row>
    <row r="1337" spans="1:6" x14ac:dyDescent="0.25">
      <c r="A1337">
        <v>7605</v>
      </c>
      <c r="B1337" s="15">
        <v>45409</v>
      </c>
      <c r="E1337" s="119"/>
      <c r="F1337">
        <v>6965</v>
      </c>
    </row>
    <row r="1338" spans="1:6" x14ac:dyDescent="0.25">
      <c r="A1338">
        <v>7605</v>
      </c>
      <c r="B1338" s="15">
        <v>45410</v>
      </c>
      <c r="E1338" s="157"/>
      <c r="F1338">
        <v>6966</v>
      </c>
    </row>
    <row r="1339" spans="1:6" x14ac:dyDescent="0.25">
      <c r="A1339">
        <v>7605</v>
      </c>
      <c r="B1339" s="15">
        <v>45411</v>
      </c>
      <c r="E1339" s="125" t="s">
        <v>2</v>
      </c>
      <c r="F1339">
        <v>6967</v>
      </c>
    </row>
    <row r="1340" spans="1:6" x14ac:dyDescent="0.25">
      <c r="A1340">
        <v>7605</v>
      </c>
      <c r="B1340" s="15">
        <v>45412</v>
      </c>
      <c r="E1340" s="122" t="s">
        <v>2</v>
      </c>
      <c r="F1340">
        <v>6968</v>
      </c>
    </row>
    <row r="1341" spans="1:6" x14ac:dyDescent="0.25">
      <c r="A1341">
        <v>7605</v>
      </c>
      <c r="B1341" s="15">
        <v>45413</v>
      </c>
      <c r="E1341" s="158"/>
      <c r="F1341">
        <v>6969</v>
      </c>
    </row>
    <row r="1342" spans="1:6" x14ac:dyDescent="0.25">
      <c r="A1342">
        <v>7605</v>
      </c>
      <c r="B1342" s="15">
        <v>45414</v>
      </c>
      <c r="E1342" s="160" t="s">
        <v>266</v>
      </c>
      <c r="F1342">
        <v>6970</v>
      </c>
    </row>
    <row r="1343" spans="1:6" x14ac:dyDescent="0.25">
      <c r="A1343">
        <v>7605</v>
      </c>
      <c r="B1343" s="15">
        <v>45415</v>
      </c>
      <c r="E1343" s="158"/>
      <c r="F1343">
        <v>6971</v>
      </c>
    </row>
    <row r="1344" spans="1:6" x14ac:dyDescent="0.25">
      <c r="A1344">
        <v>7605</v>
      </c>
      <c r="B1344" s="15">
        <v>45416</v>
      </c>
      <c r="E1344" s="160" t="s">
        <v>175</v>
      </c>
      <c r="F1344">
        <v>6972</v>
      </c>
    </row>
    <row r="1345" spans="1:6" x14ac:dyDescent="0.25">
      <c r="A1345">
        <v>7605</v>
      </c>
      <c r="B1345" s="15">
        <v>45417</v>
      </c>
      <c r="E1345" s="157"/>
      <c r="F1345">
        <v>6973</v>
      </c>
    </row>
    <row r="1346" spans="1:6" x14ac:dyDescent="0.25">
      <c r="A1346">
        <v>7607</v>
      </c>
      <c r="B1346" s="15">
        <v>45264</v>
      </c>
      <c r="E1346" s="137" t="s">
        <v>283</v>
      </c>
      <c r="F1346">
        <v>3698</v>
      </c>
    </row>
    <row r="1347" spans="1:6" x14ac:dyDescent="0.25">
      <c r="A1347">
        <v>7607</v>
      </c>
      <c r="B1347" s="15">
        <v>45265</v>
      </c>
      <c r="E1347" s="137" t="s">
        <v>283</v>
      </c>
      <c r="F1347">
        <v>3699</v>
      </c>
    </row>
    <row r="1348" spans="1:6" x14ac:dyDescent="0.25">
      <c r="A1348">
        <v>7607</v>
      </c>
      <c r="B1348" s="15">
        <v>45266</v>
      </c>
      <c r="E1348" s="199" t="s">
        <v>283</v>
      </c>
      <c r="F1348">
        <v>3700</v>
      </c>
    </row>
    <row r="1349" spans="1:6" x14ac:dyDescent="0.25">
      <c r="A1349">
        <v>7607</v>
      </c>
      <c r="B1349" s="15">
        <v>45267</v>
      </c>
      <c r="E1349" s="199" t="s">
        <v>283</v>
      </c>
      <c r="F1349">
        <v>3701</v>
      </c>
    </row>
    <row r="1350" spans="1:6" x14ac:dyDescent="0.25">
      <c r="A1350">
        <v>7607</v>
      </c>
      <c r="B1350" s="15">
        <v>45268</v>
      </c>
      <c r="E1350" s="199" t="s">
        <v>283</v>
      </c>
      <c r="F1350">
        <v>3702</v>
      </c>
    </row>
    <row r="1351" spans="1:6" x14ac:dyDescent="0.25">
      <c r="A1351">
        <v>7607</v>
      </c>
      <c r="B1351" s="15">
        <v>45269</v>
      </c>
      <c r="E1351" s="158"/>
      <c r="F1351">
        <v>3703</v>
      </c>
    </row>
    <row r="1352" spans="1:6" x14ac:dyDescent="0.25">
      <c r="A1352">
        <v>7607</v>
      </c>
      <c r="B1352" s="15">
        <v>45270</v>
      </c>
      <c r="E1352" s="157"/>
      <c r="F1352">
        <v>3704</v>
      </c>
    </row>
    <row r="1353" spans="1:6" x14ac:dyDescent="0.25">
      <c r="A1353">
        <v>7607</v>
      </c>
      <c r="B1353" s="15">
        <v>45271</v>
      </c>
      <c r="E1353" s="137" t="s">
        <v>283</v>
      </c>
      <c r="F1353">
        <v>3705</v>
      </c>
    </row>
    <row r="1354" spans="1:6" x14ac:dyDescent="0.25">
      <c r="A1354">
        <v>7607</v>
      </c>
      <c r="B1354" s="15">
        <v>45272</v>
      </c>
      <c r="E1354" s="137" t="s">
        <v>283</v>
      </c>
      <c r="F1354">
        <v>3706</v>
      </c>
    </row>
    <row r="1355" spans="1:6" x14ac:dyDescent="0.25">
      <c r="A1355">
        <v>7607</v>
      </c>
      <c r="B1355" s="15">
        <v>45273</v>
      </c>
      <c r="E1355" s="199" t="s">
        <v>283</v>
      </c>
      <c r="F1355">
        <v>3707</v>
      </c>
    </row>
    <row r="1356" spans="1:6" x14ac:dyDescent="0.25">
      <c r="A1356">
        <v>7607</v>
      </c>
      <c r="B1356" s="15">
        <v>45274</v>
      </c>
      <c r="E1356" s="199" t="s">
        <v>283</v>
      </c>
      <c r="F1356">
        <v>3708</v>
      </c>
    </row>
    <row r="1357" spans="1:6" x14ac:dyDescent="0.25">
      <c r="A1357">
        <v>7607</v>
      </c>
      <c r="B1357" s="15">
        <v>45275</v>
      </c>
      <c r="E1357" s="199" t="s">
        <v>283</v>
      </c>
      <c r="F1357">
        <v>3709</v>
      </c>
    </row>
    <row r="1358" spans="1:6" x14ac:dyDescent="0.25">
      <c r="A1358">
        <v>7607</v>
      </c>
      <c r="B1358" s="15">
        <v>45276</v>
      </c>
      <c r="E1358" s="157"/>
      <c r="F1358">
        <v>3710</v>
      </c>
    </row>
    <row r="1359" spans="1:6" x14ac:dyDescent="0.25">
      <c r="A1359">
        <v>7607</v>
      </c>
      <c r="B1359" s="15">
        <v>45277</v>
      </c>
      <c r="E1359" s="157"/>
      <c r="F1359">
        <v>3711</v>
      </c>
    </row>
    <row r="1360" spans="1:6" x14ac:dyDescent="0.25">
      <c r="A1360">
        <v>7607</v>
      </c>
      <c r="B1360" s="15">
        <v>45278</v>
      </c>
      <c r="E1360" s="137" t="s">
        <v>283</v>
      </c>
      <c r="F1360">
        <v>3712</v>
      </c>
    </row>
    <row r="1361" spans="1:6" x14ac:dyDescent="0.25">
      <c r="A1361">
        <v>7607</v>
      </c>
      <c r="B1361" s="15">
        <v>45279</v>
      </c>
      <c r="E1361" s="137" t="s">
        <v>283</v>
      </c>
      <c r="F1361">
        <v>3713</v>
      </c>
    </row>
    <row r="1362" spans="1:6" x14ac:dyDescent="0.25">
      <c r="A1362">
        <v>7607</v>
      </c>
      <c r="B1362" s="15">
        <v>45280</v>
      </c>
      <c r="E1362" s="199" t="s">
        <v>283</v>
      </c>
      <c r="F1362">
        <v>3714</v>
      </c>
    </row>
    <row r="1363" spans="1:6" x14ac:dyDescent="0.25">
      <c r="A1363">
        <v>7607</v>
      </c>
      <c r="B1363" s="15">
        <v>45281</v>
      </c>
      <c r="E1363" s="199" t="s">
        <v>283</v>
      </c>
      <c r="F1363">
        <v>3715</v>
      </c>
    </row>
    <row r="1364" spans="1:6" x14ac:dyDescent="0.25">
      <c r="A1364">
        <v>7607</v>
      </c>
      <c r="B1364" s="15">
        <v>45282</v>
      </c>
      <c r="E1364" s="199" t="s">
        <v>283</v>
      </c>
      <c r="F1364">
        <v>3716</v>
      </c>
    </row>
    <row r="1365" spans="1:6" x14ac:dyDescent="0.25">
      <c r="A1365">
        <v>7607</v>
      </c>
      <c r="B1365" s="15">
        <v>45283</v>
      </c>
      <c r="E1365" s="158"/>
      <c r="F1365">
        <v>3717</v>
      </c>
    </row>
    <row r="1366" spans="1:6" x14ac:dyDescent="0.25">
      <c r="A1366">
        <v>7607</v>
      </c>
      <c r="B1366" s="15">
        <v>45284</v>
      </c>
      <c r="E1366" s="157"/>
      <c r="F1366">
        <v>3718</v>
      </c>
    </row>
    <row r="1367" spans="1:6" x14ac:dyDescent="0.25">
      <c r="A1367">
        <v>7607</v>
      </c>
      <c r="B1367" s="15">
        <v>45285</v>
      </c>
      <c r="E1367" s="119"/>
      <c r="F1367">
        <v>3719</v>
      </c>
    </row>
    <row r="1368" spans="1:6" x14ac:dyDescent="0.25">
      <c r="A1368">
        <v>7607</v>
      </c>
      <c r="B1368" s="15">
        <v>45286</v>
      </c>
      <c r="E1368" s="137" t="s">
        <v>283</v>
      </c>
      <c r="F1368">
        <v>3720</v>
      </c>
    </row>
    <row r="1369" spans="1:6" x14ac:dyDescent="0.25">
      <c r="A1369">
        <v>7607</v>
      </c>
      <c r="B1369" s="15">
        <v>45287</v>
      </c>
      <c r="E1369" s="200"/>
      <c r="F1369">
        <v>3721</v>
      </c>
    </row>
    <row r="1370" spans="1:6" x14ac:dyDescent="0.25">
      <c r="A1370">
        <v>7607</v>
      </c>
      <c r="B1370" s="15">
        <v>45288</v>
      </c>
      <c r="E1370" s="199" t="s">
        <v>283</v>
      </c>
      <c r="F1370">
        <v>3722</v>
      </c>
    </row>
    <row r="1371" spans="1:6" x14ac:dyDescent="0.25">
      <c r="A1371">
        <v>7607</v>
      </c>
      <c r="B1371" s="15">
        <v>45289</v>
      </c>
      <c r="E1371" s="199" t="s">
        <v>283</v>
      </c>
      <c r="F1371">
        <v>3723</v>
      </c>
    </row>
    <row r="1372" spans="1:6" x14ac:dyDescent="0.25">
      <c r="A1372">
        <v>7607</v>
      </c>
      <c r="B1372" s="15">
        <v>45290</v>
      </c>
      <c r="E1372" s="160" t="s">
        <v>175</v>
      </c>
      <c r="F1372">
        <v>3724</v>
      </c>
    </row>
    <row r="1373" spans="1:6" x14ac:dyDescent="0.25">
      <c r="A1373">
        <v>7607</v>
      </c>
      <c r="B1373" s="15">
        <v>45291</v>
      </c>
      <c r="E1373" s="157"/>
      <c r="F1373">
        <v>3725</v>
      </c>
    </row>
    <row r="1374" spans="1:6" x14ac:dyDescent="0.25">
      <c r="A1374">
        <v>7607</v>
      </c>
      <c r="B1374" s="15">
        <v>45292</v>
      </c>
      <c r="E1374" s="119"/>
      <c r="F1374">
        <v>4454</v>
      </c>
    </row>
    <row r="1375" spans="1:6" x14ac:dyDescent="0.25">
      <c r="A1375">
        <v>7607</v>
      </c>
      <c r="B1375" s="15">
        <v>45293</v>
      </c>
      <c r="E1375" s="137" t="s">
        <v>283</v>
      </c>
      <c r="F1375">
        <v>4455</v>
      </c>
    </row>
    <row r="1376" spans="1:6" x14ac:dyDescent="0.25">
      <c r="A1376">
        <v>7607</v>
      </c>
      <c r="B1376" s="15">
        <v>45294</v>
      </c>
      <c r="E1376" s="137" t="s">
        <v>283</v>
      </c>
      <c r="F1376">
        <v>4456</v>
      </c>
    </row>
    <row r="1377" spans="1:6" x14ac:dyDescent="0.25">
      <c r="A1377">
        <v>7607</v>
      </c>
      <c r="B1377" s="15">
        <v>45295</v>
      </c>
      <c r="E1377" s="199" t="s">
        <v>283</v>
      </c>
      <c r="F1377">
        <v>4457</v>
      </c>
    </row>
    <row r="1378" spans="1:6" x14ac:dyDescent="0.25">
      <c r="A1378">
        <v>7607</v>
      </c>
      <c r="B1378" s="15">
        <v>45296</v>
      </c>
      <c r="E1378" s="199" t="s">
        <v>283</v>
      </c>
      <c r="F1378">
        <v>4458</v>
      </c>
    </row>
    <row r="1379" spans="1:6" x14ac:dyDescent="0.25">
      <c r="A1379">
        <v>7607</v>
      </c>
      <c r="B1379" s="15">
        <v>45297</v>
      </c>
      <c r="E1379" s="157"/>
      <c r="F1379">
        <v>4459</v>
      </c>
    </row>
    <row r="1380" spans="1:6" x14ac:dyDescent="0.25">
      <c r="A1380">
        <v>7607</v>
      </c>
      <c r="B1380" s="15">
        <v>45298</v>
      </c>
      <c r="E1380" s="157"/>
      <c r="F1380">
        <v>4460</v>
      </c>
    </row>
    <row r="1381" spans="1:6" x14ac:dyDescent="0.25">
      <c r="A1381">
        <v>7607</v>
      </c>
      <c r="B1381" s="15">
        <v>45299</v>
      </c>
      <c r="E1381" s="122" t="s">
        <v>2</v>
      </c>
      <c r="F1381">
        <v>4461</v>
      </c>
    </row>
    <row r="1382" spans="1:6" x14ac:dyDescent="0.25">
      <c r="A1382">
        <v>7607</v>
      </c>
      <c r="B1382" s="15">
        <v>45300</v>
      </c>
      <c r="E1382" s="125" t="s">
        <v>2</v>
      </c>
      <c r="F1382">
        <v>4462</v>
      </c>
    </row>
    <row r="1383" spans="1:6" x14ac:dyDescent="0.25">
      <c r="A1383">
        <v>7607</v>
      </c>
      <c r="B1383" s="15">
        <v>45301</v>
      </c>
      <c r="E1383" s="158"/>
      <c r="F1383">
        <v>4463</v>
      </c>
    </row>
    <row r="1384" spans="1:6" x14ac:dyDescent="0.25">
      <c r="A1384">
        <v>7607</v>
      </c>
      <c r="B1384" s="15">
        <v>45302</v>
      </c>
      <c r="E1384" s="122" t="s">
        <v>2</v>
      </c>
      <c r="F1384">
        <v>4464</v>
      </c>
    </row>
    <row r="1385" spans="1:6" x14ac:dyDescent="0.25">
      <c r="A1385">
        <v>7607</v>
      </c>
      <c r="B1385" s="15">
        <v>45303</v>
      </c>
      <c r="E1385" s="125" t="s">
        <v>2</v>
      </c>
      <c r="F1385">
        <v>4465</v>
      </c>
    </row>
    <row r="1386" spans="1:6" x14ac:dyDescent="0.25">
      <c r="A1386">
        <v>7607</v>
      </c>
      <c r="B1386" s="15">
        <v>45304</v>
      </c>
      <c r="E1386" s="126" t="s">
        <v>2</v>
      </c>
      <c r="F1386">
        <v>4466</v>
      </c>
    </row>
    <row r="1387" spans="1:6" x14ac:dyDescent="0.25">
      <c r="A1387">
        <v>7607</v>
      </c>
      <c r="B1387" s="15">
        <v>45305</v>
      </c>
      <c r="E1387" s="157"/>
      <c r="F1387">
        <v>4467</v>
      </c>
    </row>
    <row r="1388" spans="1:6" x14ac:dyDescent="0.25">
      <c r="A1388">
        <v>7607</v>
      </c>
      <c r="B1388" s="15">
        <v>45306</v>
      </c>
      <c r="E1388" s="137" t="s">
        <v>283</v>
      </c>
      <c r="F1388">
        <v>4468</v>
      </c>
    </row>
    <row r="1389" spans="1:6" x14ac:dyDescent="0.25">
      <c r="A1389">
        <v>7607</v>
      </c>
      <c r="B1389" s="15">
        <v>45307</v>
      </c>
      <c r="E1389" s="137" t="s">
        <v>283</v>
      </c>
      <c r="F1389">
        <v>4469</v>
      </c>
    </row>
    <row r="1390" spans="1:6" x14ac:dyDescent="0.25">
      <c r="A1390">
        <v>7607</v>
      </c>
      <c r="B1390" s="15">
        <v>45308</v>
      </c>
      <c r="E1390" s="199" t="s">
        <v>283</v>
      </c>
      <c r="F1390">
        <v>4470</v>
      </c>
    </row>
    <row r="1391" spans="1:6" x14ac:dyDescent="0.25">
      <c r="A1391">
        <v>7607</v>
      </c>
      <c r="B1391" s="15">
        <v>45309</v>
      </c>
      <c r="E1391" s="199" t="s">
        <v>283</v>
      </c>
      <c r="F1391">
        <v>4471</v>
      </c>
    </row>
    <row r="1392" spans="1:6" x14ac:dyDescent="0.25">
      <c r="A1392">
        <v>7607</v>
      </c>
      <c r="B1392" s="15">
        <v>45310</v>
      </c>
      <c r="E1392" s="199" t="s">
        <v>283</v>
      </c>
      <c r="F1392">
        <v>4472</v>
      </c>
    </row>
    <row r="1393" spans="1:6" x14ac:dyDescent="0.25">
      <c r="A1393">
        <v>7607</v>
      </c>
      <c r="B1393" s="15">
        <v>45311</v>
      </c>
      <c r="E1393" s="158"/>
      <c r="F1393">
        <v>4473</v>
      </c>
    </row>
    <row r="1394" spans="1:6" x14ac:dyDescent="0.25">
      <c r="A1394">
        <v>7607</v>
      </c>
      <c r="B1394" s="15">
        <v>45312</v>
      </c>
      <c r="E1394" s="157"/>
      <c r="F1394">
        <v>4474</v>
      </c>
    </row>
    <row r="1395" spans="1:6" x14ac:dyDescent="0.25">
      <c r="A1395">
        <v>7607</v>
      </c>
      <c r="B1395" s="15">
        <v>45313</v>
      </c>
      <c r="E1395" s="137" t="s">
        <v>283</v>
      </c>
      <c r="F1395">
        <v>4475</v>
      </c>
    </row>
    <row r="1396" spans="1:6" x14ac:dyDescent="0.25">
      <c r="A1396">
        <v>7607</v>
      </c>
      <c r="B1396" s="15">
        <v>45314</v>
      </c>
      <c r="E1396" s="137" t="s">
        <v>283</v>
      </c>
      <c r="F1396">
        <v>4476</v>
      </c>
    </row>
    <row r="1397" spans="1:6" x14ac:dyDescent="0.25">
      <c r="A1397">
        <v>7607</v>
      </c>
      <c r="B1397" s="15">
        <v>45315</v>
      </c>
      <c r="E1397" s="200"/>
      <c r="F1397">
        <v>4477</v>
      </c>
    </row>
    <row r="1398" spans="1:6" x14ac:dyDescent="0.25">
      <c r="A1398">
        <v>7607</v>
      </c>
      <c r="B1398" s="15">
        <v>45316</v>
      </c>
      <c r="E1398" s="199" t="s">
        <v>283</v>
      </c>
      <c r="F1398">
        <v>4478</v>
      </c>
    </row>
    <row r="1399" spans="1:6" x14ac:dyDescent="0.25">
      <c r="A1399">
        <v>7607</v>
      </c>
      <c r="B1399" s="15">
        <v>45317</v>
      </c>
      <c r="E1399" s="199" t="s">
        <v>283</v>
      </c>
      <c r="F1399">
        <v>4479</v>
      </c>
    </row>
    <row r="1400" spans="1:6" x14ac:dyDescent="0.25">
      <c r="A1400">
        <v>7607</v>
      </c>
      <c r="B1400" s="15">
        <v>45318</v>
      </c>
      <c r="E1400" s="199" t="s">
        <v>283</v>
      </c>
      <c r="F1400">
        <v>4480</v>
      </c>
    </row>
    <row r="1401" spans="1:6" x14ac:dyDescent="0.25">
      <c r="A1401">
        <v>7607</v>
      </c>
      <c r="B1401" s="15">
        <v>45319</v>
      </c>
      <c r="E1401" s="157"/>
      <c r="F1401">
        <v>4481</v>
      </c>
    </row>
    <row r="1402" spans="1:6" x14ac:dyDescent="0.25">
      <c r="A1402">
        <v>7607</v>
      </c>
      <c r="B1402" s="15">
        <v>45320</v>
      </c>
      <c r="E1402" s="137" t="s">
        <v>283</v>
      </c>
      <c r="F1402">
        <v>4482</v>
      </c>
    </row>
    <row r="1403" spans="1:6" x14ac:dyDescent="0.25">
      <c r="A1403">
        <v>7607</v>
      </c>
      <c r="B1403" s="15">
        <v>45321</v>
      </c>
      <c r="E1403" s="137" t="s">
        <v>283</v>
      </c>
      <c r="F1403">
        <v>4483</v>
      </c>
    </row>
    <row r="1404" spans="1:6" x14ac:dyDescent="0.25">
      <c r="A1404">
        <v>7607</v>
      </c>
      <c r="B1404" s="15">
        <v>45322</v>
      </c>
      <c r="E1404" s="199" t="s">
        <v>283</v>
      </c>
      <c r="F1404">
        <v>4484</v>
      </c>
    </row>
    <row r="1405" spans="1:6" x14ac:dyDescent="0.25">
      <c r="A1405">
        <v>7607</v>
      </c>
      <c r="B1405" s="15">
        <v>45323</v>
      </c>
      <c r="E1405" s="199" t="s">
        <v>283</v>
      </c>
      <c r="F1405">
        <v>4485</v>
      </c>
    </row>
    <row r="1406" spans="1:6" x14ac:dyDescent="0.25">
      <c r="A1406">
        <v>7607</v>
      </c>
      <c r="B1406" s="15">
        <v>45324</v>
      </c>
      <c r="E1406" s="199" t="s">
        <v>283</v>
      </c>
      <c r="F1406">
        <v>4486</v>
      </c>
    </row>
    <row r="1407" spans="1:6" x14ac:dyDescent="0.25">
      <c r="A1407">
        <v>7607</v>
      </c>
      <c r="B1407" s="15">
        <v>45325</v>
      </c>
      <c r="E1407" s="158"/>
      <c r="F1407">
        <v>4487</v>
      </c>
    </row>
    <row r="1408" spans="1:6" x14ac:dyDescent="0.25">
      <c r="A1408">
        <v>7607</v>
      </c>
      <c r="B1408" s="15">
        <v>45326</v>
      </c>
      <c r="E1408" s="157"/>
      <c r="F1408">
        <v>4488</v>
      </c>
    </row>
    <row r="1409" spans="1:6" x14ac:dyDescent="0.25">
      <c r="A1409">
        <v>7607</v>
      </c>
      <c r="B1409" s="15">
        <v>45327</v>
      </c>
      <c r="E1409" s="137" t="s">
        <v>283</v>
      </c>
      <c r="F1409">
        <v>5273</v>
      </c>
    </row>
    <row r="1410" spans="1:6" x14ac:dyDescent="0.25">
      <c r="A1410">
        <v>7607</v>
      </c>
      <c r="B1410" s="15">
        <v>45328</v>
      </c>
      <c r="E1410" s="137" t="s">
        <v>283</v>
      </c>
      <c r="F1410">
        <v>5274</v>
      </c>
    </row>
    <row r="1411" spans="1:6" x14ac:dyDescent="0.25">
      <c r="A1411">
        <v>7607</v>
      </c>
      <c r="B1411" s="15">
        <v>45329</v>
      </c>
      <c r="E1411" s="157"/>
      <c r="F1411">
        <v>5275</v>
      </c>
    </row>
    <row r="1412" spans="1:6" x14ac:dyDescent="0.25">
      <c r="A1412">
        <v>7607</v>
      </c>
      <c r="B1412" s="15">
        <v>45330</v>
      </c>
      <c r="E1412" s="199" t="s">
        <v>283</v>
      </c>
      <c r="F1412">
        <v>5276</v>
      </c>
    </row>
    <row r="1413" spans="1:6" x14ac:dyDescent="0.25">
      <c r="A1413">
        <v>7607</v>
      </c>
      <c r="B1413" s="15">
        <v>45331</v>
      </c>
      <c r="E1413" s="199" t="s">
        <v>283</v>
      </c>
      <c r="F1413">
        <v>5277</v>
      </c>
    </row>
    <row r="1414" spans="1:6" x14ac:dyDescent="0.25">
      <c r="A1414">
        <v>7607</v>
      </c>
      <c r="B1414" s="15">
        <v>45332</v>
      </c>
      <c r="E1414" s="199" t="s">
        <v>283</v>
      </c>
      <c r="F1414">
        <v>5278</v>
      </c>
    </row>
    <row r="1415" spans="1:6" x14ac:dyDescent="0.25">
      <c r="A1415">
        <v>7607</v>
      </c>
      <c r="B1415" s="15">
        <v>45333</v>
      </c>
      <c r="E1415" s="157"/>
      <c r="F1415">
        <v>5279</v>
      </c>
    </row>
    <row r="1416" spans="1:6" x14ac:dyDescent="0.25">
      <c r="A1416">
        <v>7607</v>
      </c>
      <c r="B1416" s="15">
        <v>45334</v>
      </c>
      <c r="E1416" s="137" t="s">
        <v>283</v>
      </c>
      <c r="F1416">
        <v>5280</v>
      </c>
    </row>
    <row r="1417" spans="1:6" x14ac:dyDescent="0.25">
      <c r="A1417">
        <v>7607</v>
      </c>
      <c r="B1417" s="15">
        <v>45335</v>
      </c>
      <c r="E1417" s="137" t="s">
        <v>283</v>
      </c>
      <c r="F1417">
        <v>5281</v>
      </c>
    </row>
    <row r="1418" spans="1:6" x14ac:dyDescent="0.25">
      <c r="A1418">
        <v>7607</v>
      </c>
      <c r="B1418" s="15">
        <v>45336</v>
      </c>
      <c r="E1418" s="199" t="s">
        <v>283</v>
      </c>
      <c r="F1418">
        <v>5282</v>
      </c>
    </row>
    <row r="1419" spans="1:6" x14ac:dyDescent="0.25">
      <c r="A1419">
        <v>7607</v>
      </c>
      <c r="B1419" s="15">
        <v>45337</v>
      </c>
      <c r="E1419" s="199" t="s">
        <v>283</v>
      </c>
      <c r="F1419">
        <v>5283</v>
      </c>
    </row>
    <row r="1420" spans="1:6" x14ac:dyDescent="0.25">
      <c r="A1420">
        <v>7607</v>
      </c>
      <c r="B1420" s="15">
        <v>45338</v>
      </c>
      <c r="E1420" s="199" t="s">
        <v>283</v>
      </c>
      <c r="F1420">
        <v>5284</v>
      </c>
    </row>
    <row r="1421" spans="1:6" x14ac:dyDescent="0.25">
      <c r="A1421">
        <v>7607</v>
      </c>
      <c r="B1421" s="15">
        <v>45339</v>
      </c>
      <c r="E1421" s="158"/>
      <c r="F1421">
        <v>5285</v>
      </c>
    </row>
    <row r="1422" spans="1:6" x14ac:dyDescent="0.25">
      <c r="A1422">
        <v>7607</v>
      </c>
      <c r="B1422" s="15">
        <v>45340</v>
      </c>
      <c r="E1422" s="157"/>
      <c r="F1422">
        <v>5286</v>
      </c>
    </row>
    <row r="1423" spans="1:6" x14ac:dyDescent="0.25">
      <c r="A1423">
        <v>7607</v>
      </c>
      <c r="B1423" s="15">
        <v>45341</v>
      </c>
      <c r="E1423" s="137" t="s">
        <v>283</v>
      </c>
      <c r="F1423">
        <v>5287</v>
      </c>
    </row>
    <row r="1424" spans="1:6" x14ac:dyDescent="0.25">
      <c r="A1424">
        <v>7607</v>
      </c>
      <c r="B1424" s="15">
        <v>45342</v>
      </c>
      <c r="E1424" s="137" t="s">
        <v>283</v>
      </c>
      <c r="F1424">
        <v>5288</v>
      </c>
    </row>
    <row r="1425" spans="1:6" x14ac:dyDescent="0.25">
      <c r="A1425">
        <v>7607</v>
      </c>
      <c r="B1425" s="15">
        <v>45343</v>
      </c>
      <c r="E1425" s="157"/>
      <c r="F1425">
        <v>5289</v>
      </c>
    </row>
    <row r="1426" spans="1:6" x14ac:dyDescent="0.25">
      <c r="A1426">
        <v>7607</v>
      </c>
      <c r="B1426" s="15">
        <v>45344</v>
      </c>
      <c r="E1426" s="199" t="s">
        <v>283</v>
      </c>
      <c r="F1426">
        <v>5290</v>
      </c>
    </row>
    <row r="1427" spans="1:6" x14ac:dyDescent="0.25">
      <c r="A1427">
        <v>7607</v>
      </c>
      <c r="B1427" s="15">
        <v>45345</v>
      </c>
      <c r="E1427" s="199" t="s">
        <v>283</v>
      </c>
      <c r="F1427">
        <v>5291</v>
      </c>
    </row>
    <row r="1428" spans="1:6" x14ac:dyDescent="0.25">
      <c r="A1428">
        <v>7607</v>
      </c>
      <c r="B1428" s="15">
        <v>45346</v>
      </c>
      <c r="E1428" s="199" t="s">
        <v>283</v>
      </c>
      <c r="F1428">
        <v>5292</v>
      </c>
    </row>
    <row r="1429" spans="1:6" x14ac:dyDescent="0.25">
      <c r="A1429">
        <v>7607</v>
      </c>
      <c r="B1429" s="15">
        <v>45347</v>
      </c>
      <c r="E1429" s="157"/>
      <c r="F1429">
        <v>5293</v>
      </c>
    </row>
    <row r="1430" spans="1:6" x14ac:dyDescent="0.25">
      <c r="A1430">
        <v>7607</v>
      </c>
      <c r="B1430" s="15">
        <v>45348</v>
      </c>
      <c r="E1430" s="137" t="s">
        <v>283</v>
      </c>
      <c r="F1430">
        <v>5294</v>
      </c>
    </row>
    <row r="1431" spans="1:6" x14ac:dyDescent="0.25">
      <c r="A1431">
        <v>7607</v>
      </c>
      <c r="B1431" s="15">
        <v>45349</v>
      </c>
      <c r="E1431" s="137" t="s">
        <v>283</v>
      </c>
      <c r="F1431">
        <v>5295</v>
      </c>
    </row>
    <row r="1432" spans="1:6" x14ac:dyDescent="0.25">
      <c r="A1432">
        <v>7607</v>
      </c>
      <c r="B1432" s="15">
        <v>45350</v>
      </c>
      <c r="E1432" s="199" t="s">
        <v>283</v>
      </c>
      <c r="F1432">
        <v>5296</v>
      </c>
    </row>
    <row r="1433" spans="1:6" x14ac:dyDescent="0.25">
      <c r="A1433">
        <v>7607</v>
      </c>
      <c r="B1433" s="15">
        <v>45351</v>
      </c>
      <c r="E1433" s="199" t="s">
        <v>283</v>
      </c>
      <c r="F1433">
        <v>5297</v>
      </c>
    </row>
    <row r="1434" spans="1:6" x14ac:dyDescent="0.25">
      <c r="A1434">
        <v>7607</v>
      </c>
      <c r="B1434" s="15">
        <v>45352</v>
      </c>
      <c r="E1434" s="199" t="s">
        <v>283</v>
      </c>
      <c r="F1434">
        <v>5298</v>
      </c>
    </row>
    <row r="1435" spans="1:6" x14ac:dyDescent="0.25">
      <c r="A1435">
        <v>7607</v>
      </c>
      <c r="B1435" s="15">
        <v>45353</v>
      </c>
      <c r="E1435" s="158"/>
      <c r="F1435">
        <v>5299</v>
      </c>
    </row>
    <row r="1436" spans="1:6" x14ac:dyDescent="0.25">
      <c r="A1436">
        <v>7607</v>
      </c>
      <c r="B1436" s="15">
        <v>45354</v>
      </c>
      <c r="E1436" s="157"/>
      <c r="F1436">
        <v>5300</v>
      </c>
    </row>
    <row r="1437" spans="1:6" x14ac:dyDescent="0.25">
      <c r="A1437">
        <v>7607</v>
      </c>
      <c r="B1437" s="15">
        <v>45355</v>
      </c>
      <c r="E1437" s="137" t="s">
        <v>283</v>
      </c>
      <c r="F1437">
        <v>5973</v>
      </c>
    </row>
    <row r="1438" spans="1:6" x14ac:dyDescent="0.25">
      <c r="A1438">
        <v>7607</v>
      </c>
      <c r="B1438" s="15">
        <v>45356</v>
      </c>
      <c r="E1438" s="137" t="s">
        <v>283</v>
      </c>
      <c r="F1438">
        <v>5974</v>
      </c>
    </row>
    <row r="1439" spans="1:6" x14ac:dyDescent="0.25">
      <c r="A1439">
        <v>7607</v>
      </c>
      <c r="B1439" s="15">
        <v>45357</v>
      </c>
      <c r="E1439" s="157"/>
      <c r="F1439">
        <v>5975</v>
      </c>
    </row>
    <row r="1440" spans="1:6" x14ac:dyDescent="0.25">
      <c r="A1440">
        <v>7607</v>
      </c>
      <c r="B1440" s="15">
        <v>45358</v>
      </c>
      <c r="E1440" s="199" t="s">
        <v>283</v>
      </c>
      <c r="F1440">
        <v>5976</v>
      </c>
    </row>
    <row r="1441" spans="1:6" x14ac:dyDescent="0.25">
      <c r="A1441">
        <v>7607</v>
      </c>
      <c r="B1441" s="15">
        <v>45359</v>
      </c>
      <c r="E1441" s="199" t="s">
        <v>283</v>
      </c>
      <c r="F1441">
        <v>5977</v>
      </c>
    </row>
    <row r="1442" spans="1:6" x14ac:dyDescent="0.25">
      <c r="A1442">
        <v>7607</v>
      </c>
      <c r="B1442" s="15">
        <v>45360</v>
      </c>
      <c r="E1442" s="199" t="s">
        <v>283</v>
      </c>
      <c r="F1442">
        <v>5978</v>
      </c>
    </row>
    <row r="1443" spans="1:6" x14ac:dyDescent="0.25">
      <c r="A1443">
        <v>7607</v>
      </c>
      <c r="B1443" s="15">
        <v>45361</v>
      </c>
      <c r="E1443" s="157"/>
      <c r="F1443">
        <v>5979</v>
      </c>
    </row>
    <row r="1444" spans="1:6" x14ac:dyDescent="0.25">
      <c r="A1444">
        <v>7607</v>
      </c>
      <c r="B1444" s="15">
        <v>45362</v>
      </c>
      <c r="E1444" s="137" t="s">
        <v>283</v>
      </c>
      <c r="F1444">
        <v>5980</v>
      </c>
    </row>
    <row r="1445" spans="1:6" x14ac:dyDescent="0.25">
      <c r="A1445">
        <v>7607</v>
      </c>
      <c r="B1445" s="15">
        <v>45363</v>
      </c>
      <c r="E1445" s="137" t="s">
        <v>283</v>
      </c>
      <c r="F1445">
        <v>5981</v>
      </c>
    </row>
    <row r="1446" spans="1:6" x14ac:dyDescent="0.25">
      <c r="A1446">
        <v>7607</v>
      </c>
      <c r="B1446" s="15">
        <v>45364</v>
      </c>
      <c r="E1446" s="199" t="s">
        <v>283</v>
      </c>
      <c r="F1446">
        <v>5982</v>
      </c>
    </row>
    <row r="1447" spans="1:6" x14ac:dyDescent="0.25">
      <c r="A1447">
        <v>7607</v>
      </c>
      <c r="B1447" s="15">
        <v>45365</v>
      </c>
      <c r="E1447" s="199" t="s">
        <v>283</v>
      </c>
      <c r="F1447">
        <v>5983</v>
      </c>
    </row>
    <row r="1448" spans="1:6" x14ac:dyDescent="0.25">
      <c r="A1448">
        <v>7607</v>
      </c>
      <c r="B1448" s="15">
        <v>45366</v>
      </c>
      <c r="E1448" s="199" t="s">
        <v>283</v>
      </c>
      <c r="F1448">
        <v>5984</v>
      </c>
    </row>
    <row r="1449" spans="1:6" x14ac:dyDescent="0.25">
      <c r="A1449">
        <v>7607</v>
      </c>
      <c r="B1449" s="15">
        <v>45367</v>
      </c>
      <c r="E1449" s="158"/>
      <c r="F1449">
        <v>5985</v>
      </c>
    </row>
    <row r="1450" spans="1:6" x14ac:dyDescent="0.25">
      <c r="A1450">
        <v>7607</v>
      </c>
      <c r="B1450" s="15">
        <v>45368</v>
      </c>
      <c r="E1450" s="157"/>
      <c r="F1450">
        <v>5986</v>
      </c>
    </row>
    <row r="1451" spans="1:6" x14ac:dyDescent="0.25">
      <c r="A1451">
        <v>7607</v>
      </c>
      <c r="B1451" s="15">
        <v>45369</v>
      </c>
      <c r="E1451" s="122" t="s">
        <v>2</v>
      </c>
      <c r="F1451">
        <v>5987</v>
      </c>
    </row>
    <row r="1452" spans="1:6" x14ac:dyDescent="0.25">
      <c r="A1452">
        <v>7607</v>
      </c>
      <c r="B1452" s="15">
        <v>45370</v>
      </c>
      <c r="E1452" s="125" t="s">
        <v>2</v>
      </c>
      <c r="F1452">
        <v>5988</v>
      </c>
    </row>
    <row r="1453" spans="1:6" x14ac:dyDescent="0.25">
      <c r="A1453">
        <v>7607</v>
      </c>
      <c r="B1453" s="15">
        <v>45371</v>
      </c>
      <c r="E1453" s="158"/>
      <c r="F1453">
        <v>5989</v>
      </c>
    </row>
    <row r="1454" spans="1:6" x14ac:dyDescent="0.25">
      <c r="A1454">
        <v>7607</v>
      </c>
      <c r="B1454" s="15">
        <v>45372</v>
      </c>
      <c r="E1454" s="122" t="s">
        <v>2</v>
      </c>
      <c r="F1454">
        <v>5990</v>
      </c>
    </row>
    <row r="1455" spans="1:6" x14ac:dyDescent="0.25">
      <c r="A1455">
        <v>7607</v>
      </c>
      <c r="B1455" s="15">
        <v>45373</v>
      </c>
      <c r="E1455" s="125" t="s">
        <v>2</v>
      </c>
      <c r="F1455">
        <v>5991</v>
      </c>
    </row>
    <row r="1456" spans="1:6" x14ac:dyDescent="0.25">
      <c r="A1456">
        <v>7607</v>
      </c>
      <c r="B1456" s="15">
        <v>45374</v>
      </c>
      <c r="E1456" s="126" t="s">
        <v>2</v>
      </c>
      <c r="F1456">
        <v>5992</v>
      </c>
    </row>
    <row r="1457" spans="1:6" x14ac:dyDescent="0.25">
      <c r="A1457">
        <v>7607</v>
      </c>
      <c r="B1457" s="15">
        <v>45375</v>
      </c>
      <c r="E1457" s="157"/>
      <c r="F1457">
        <v>5993</v>
      </c>
    </row>
    <row r="1458" spans="1:6" x14ac:dyDescent="0.25">
      <c r="A1458">
        <v>7607</v>
      </c>
      <c r="B1458" s="15">
        <v>45376</v>
      </c>
      <c r="E1458" s="137" t="s">
        <v>283</v>
      </c>
      <c r="F1458">
        <v>5994</v>
      </c>
    </row>
    <row r="1459" spans="1:6" x14ac:dyDescent="0.25">
      <c r="A1459">
        <v>7607</v>
      </c>
      <c r="B1459" s="15">
        <v>45377</v>
      </c>
      <c r="E1459" s="137" t="s">
        <v>283</v>
      </c>
      <c r="F1459">
        <v>5995</v>
      </c>
    </row>
    <row r="1460" spans="1:6" x14ac:dyDescent="0.25">
      <c r="A1460">
        <v>7607</v>
      </c>
      <c r="B1460" s="15">
        <v>45378</v>
      </c>
      <c r="E1460" s="199" t="s">
        <v>283</v>
      </c>
      <c r="F1460">
        <v>5996</v>
      </c>
    </row>
    <row r="1461" spans="1:6" x14ac:dyDescent="0.25">
      <c r="A1461">
        <v>7607</v>
      </c>
      <c r="B1461" s="15">
        <v>45379</v>
      </c>
      <c r="E1461" s="199" t="s">
        <v>283</v>
      </c>
      <c r="F1461">
        <v>5997</v>
      </c>
    </row>
    <row r="1462" spans="1:6" x14ac:dyDescent="0.25">
      <c r="A1462">
        <v>7607</v>
      </c>
      <c r="B1462" s="15">
        <v>45380</v>
      </c>
      <c r="E1462" s="199" t="s">
        <v>283</v>
      </c>
      <c r="F1462">
        <v>5998</v>
      </c>
    </row>
    <row r="1463" spans="1:6" x14ac:dyDescent="0.25">
      <c r="A1463">
        <v>7607</v>
      </c>
      <c r="B1463" s="15">
        <v>45381</v>
      </c>
      <c r="E1463" s="158"/>
      <c r="F1463">
        <v>5999</v>
      </c>
    </row>
    <row r="1464" spans="1:6" x14ac:dyDescent="0.25">
      <c r="A1464">
        <v>7607</v>
      </c>
      <c r="B1464" s="15">
        <v>45382</v>
      </c>
      <c r="E1464" s="157"/>
      <c r="F1464">
        <v>6000</v>
      </c>
    </row>
    <row r="1465" spans="1:6" x14ac:dyDescent="0.25">
      <c r="A1465">
        <v>7607</v>
      </c>
      <c r="B1465" s="15">
        <v>45383</v>
      </c>
      <c r="E1465" s="119"/>
      <c r="F1465">
        <v>6729</v>
      </c>
    </row>
    <row r="1466" spans="1:6" x14ac:dyDescent="0.25">
      <c r="A1466">
        <v>7607</v>
      </c>
      <c r="B1466" s="15">
        <v>45384</v>
      </c>
      <c r="E1466" s="160" t="s">
        <v>264</v>
      </c>
      <c r="F1466">
        <v>6730</v>
      </c>
    </row>
    <row r="1467" spans="1:6" x14ac:dyDescent="0.25">
      <c r="A1467">
        <v>7607</v>
      </c>
      <c r="B1467" s="15">
        <v>45385</v>
      </c>
      <c r="E1467" s="158"/>
      <c r="F1467">
        <v>6731</v>
      </c>
    </row>
    <row r="1468" spans="1:6" x14ac:dyDescent="0.25">
      <c r="A1468">
        <v>7607</v>
      </c>
      <c r="B1468" s="15">
        <v>45386</v>
      </c>
      <c r="E1468" s="160" t="s">
        <v>267</v>
      </c>
      <c r="F1468">
        <v>6732</v>
      </c>
    </row>
    <row r="1469" spans="1:6" x14ac:dyDescent="0.25">
      <c r="A1469">
        <v>7607</v>
      </c>
      <c r="B1469" s="15">
        <v>45387</v>
      </c>
      <c r="E1469" s="160" t="s">
        <v>264</v>
      </c>
      <c r="F1469">
        <v>6733</v>
      </c>
    </row>
    <row r="1470" spans="1:6" x14ac:dyDescent="0.25">
      <c r="A1470">
        <v>7607</v>
      </c>
      <c r="B1470" s="15">
        <v>45388</v>
      </c>
      <c r="E1470" s="160" t="s">
        <v>175</v>
      </c>
      <c r="F1470">
        <v>6734</v>
      </c>
    </row>
    <row r="1471" spans="1:6" x14ac:dyDescent="0.25">
      <c r="A1471">
        <v>7607</v>
      </c>
      <c r="B1471" s="15">
        <v>45389</v>
      </c>
      <c r="E1471" s="157"/>
      <c r="F1471">
        <v>6735</v>
      </c>
    </row>
    <row r="1472" spans="1:6" x14ac:dyDescent="0.25">
      <c r="A1472">
        <v>7607</v>
      </c>
      <c r="B1472" s="15">
        <v>45390</v>
      </c>
      <c r="E1472" s="160" t="s">
        <v>265</v>
      </c>
      <c r="F1472">
        <v>6736</v>
      </c>
    </row>
    <row r="1473" spans="1:6" x14ac:dyDescent="0.25">
      <c r="A1473">
        <v>7607</v>
      </c>
      <c r="B1473" s="15">
        <v>45391</v>
      </c>
      <c r="E1473" s="160" t="s">
        <v>267</v>
      </c>
      <c r="F1473">
        <v>6737</v>
      </c>
    </row>
    <row r="1474" spans="1:6" x14ac:dyDescent="0.25">
      <c r="A1474">
        <v>7607</v>
      </c>
      <c r="B1474" s="15">
        <v>45392</v>
      </c>
      <c r="E1474" s="160" t="s">
        <v>264</v>
      </c>
      <c r="F1474">
        <v>6738</v>
      </c>
    </row>
    <row r="1475" spans="1:6" x14ac:dyDescent="0.25">
      <c r="A1475">
        <v>7607</v>
      </c>
      <c r="B1475" s="15">
        <v>45393</v>
      </c>
      <c r="E1475" s="160" t="s">
        <v>267</v>
      </c>
      <c r="F1475">
        <v>6739</v>
      </c>
    </row>
    <row r="1476" spans="1:6" x14ac:dyDescent="0.25">
      <c r="A1476">
        <v>7607</v>
      </c>
      <c r="B1476" s="15">
        <v>45394</v>
      </c>
      <c r="E1476" s="160" t="s">
        <v>267</v>
      </c>
      <c r="F1476">
        <v>6740</v>
      </c>
    </row>
    <row r="1477" spans="1:6" x14ac:dyDescent="0.25">
      <c r="A1477">
        <v>7607</v>
      </c>
      <c r="B1477" s="15">
        <v>45395</v>
      </c>
      <c r="E1477" s="158"/>
      <c r="F1477">
        <v>6741</v>
      </c>
    </row>
    <row r="1478" spans="1:6" x14ac:dyDescent="0.25">
      <c r="A1478">
        <v>7607</v>
      </c>
      <c r="B1478" s="15">
        <v>45396</v>
      </c>
      <c r="E1478" s="157"/>
      <c r="F1478">
        <v>6742</v>
      </c>
    </row>
    <row r="1479" spans="1:6" x14ac:dyDescent="0.25">
      <c r="A1479">
        <v>7607</v>
      </c>
      <c r="B1479" s="15">
        <v>45397</v>
      </c>
      <c r="E1479" s="160" t="s">
        <v>267</v>
      </c>
      <c r="F1479">
        <v>6743</v>
      </c>
    </row>
    <row r="1480" spans="1:6" x14ac:dyDescent="0.25">
      <c r="A1480">
        <v>7607</v>
      </c>
      <c r="B1480" s="15">
        <v>45398</v>
      </c>
      <c r="E1480" s="160" t="s">
        <v>264</v>
      </c>
      <c r="F1480">
        <v>6744</v>
      </c>
    </row>
    <row r="1481" spans="1:6" x14ac:dyDescent="0.25">
      <c r="A1481">
        <v>7607</v>
      </c>
      <c r="B1481" s="15">
        <v>45399</v>
      </c>
      <c r="E1481" s="158"/>
      <c r="F1481">
        <v>6745</v>
      </c>
    </row>
    <row r="1482" spans="1:6" x14ac:dyDescent="0.25">
      <c r="A1482">
        <v>7607</v>
      </c>
      <c r="B1482" s="15">
        <v>45400</v>
      </c>
      <c r="E1482" s="160" t="s">
        <v>267</v>
      </c>
      <c r="F1482">
        <v>6746</v>
      </c>
    </row>
    <row r="1483" spans="1:6" x14ac:dyDescent="0.25">
      <c r="A1483">
        <v>7607</v>
      </c>
      <c r="B1483" s="15">
        <v>45401</v>
      </c>
      <c r="E1483" s="160" t="s">
        <v>264</v>
      </c>
      <c r="F1483">
        <v>6747</v>
      </c>
    </row>
    <row r="1484" spans="1:6" x14ac:dyDescent="0.25">
      <c r="A1484">
        <v>7607</v>
      </c>
      <c r="B1484" s="15">
        <v>45402</v>
      </c>
      <c r="E1484" s="160" t="s">
        <v>175</v>
      </c>
      <c r="F1484">
        <v>6748</v>
      </c>
    </row>
    <row r="1485" spans="1:6" x14ac:dyDescent="0.25">
      <c r="A1485">
        <v>7607</v>
      </c>
      <c r="B1485" s="15">
        <v>45403</v>
      </c>
      <c r="E1485" s="157"/>
      <c r="F1485">
        <v>6749</v>
      </c>
    </row>
    <row r="1486" spans="1:6" x14ac:dyDescent="0.25">
      <c r="A1486">
        <v>7607</v>
      </c>
      <c r="B1486" s="15">
        <v>45404</v>
      </c>
      <c r="E1486" s="160" t="s">
        <v>265</v>
      </c>
      <c r="F1486">
        <v>6750</v>
      </c>
    </row>
    <row r="1487" spans="1:6" x14ac:dyDescent="0.25">
      <c r="A1487">
        <v>7607</v>
      </c>
      <c r="B1487" s="15">
        <v>45405</v>
      </c>
      <c r="E1487" s="160" t="s">
        <v>267</v>
      </c>
      <c r="F1487">
        <v>6751</v>
      </c>
    </row>
    <row r="1488" spans="1:6" x14ac:dyDescent="0.25">
      <c r="A1488">
        <v>7607</v>
      </c>
      <c r="B1488" s="15">
        <v>45406</v>
      </c>
      <c r="E1488" s="160" t="s">
        <v>264</v>
      </c>
      <c r="F1488">
        <v>6752</v>
      </c>
    </row>
    <row r="1489" spans="1:6" x14ac:dyDescent="0.25">
      <c r="A1489">
        <v>7607</v>
      </c>
      <c r="B1489" s="15">
        <v>45407</v>
      </c>
      <c r="E1489" s="160" t="s">
        <v>267</v>
      </c>
      <c r="F1489">
        <v>6753</v>
      </c>
    </row>
    <row r="1490" spans="1:6" x14ac:dyDescent="0.25">
      <c r="A1490">
        <v>7607</v>
      </c>
      <c r="B1490" s="15">
        <v>45408</v>
      </c>
      <c r="E1490" s="160" t="s">
        <v>267</v>
      </c>
      <c r="F1490">
        <v>6754</v>
      </c>
    </row>
    <row r="1491" spans="1:6" x14ac:dyDescent="0.25">
      <c r="A1491">
        <v>7607</v>
      </c>
      <c r="B1491" s="15">
        <v>45409</v>
      </c>
      <c r="E1491" s="158"/>
      <c r="F1491">
        <v>6755</v>
      </c>
    </row>
    <row r="1492" spans="1:6" x14ac:dyDescent="0.25">
      <c r="A1492">
        <v>7607</v>
      </c>
      <c r="B1492" s="15">
        <v>45410</v>
      </c>
      <c r="E1492" s="157"/>
      <c r="F1492">
        <v>6756</v>
      </c>
    </row>
    <row r="1493" spans="1:6" x14ac:dyDescent="0.25">
      <c r="A1493">
        <v>7607</v>
      </c>
      <c r="B1493" s="15">
        <v>45411</v>
      </c>
      <c r="E1493" s="160" t="s">
        <v>267</v>
      </c>
      <c r="F1493">
        <v>6757</v>
      </c>
    </row>
    <row r="1494" spans="1:6" x14ac:dyDescent="0.25">
      <c r="A1494">
        <v>7607</v>
      </c>
      <c r="B1494" s="15">
        <v>45412</v>
      </c>
      <c r="E1494" s="160" t="s">
        <v>264</v>
      </c>
      <c r="F1494">
        <v>6758</v>
      </c>
    </row>
    <row r="1495" spans="1:6" x14ac:dyDescent="0.25">
      <c r="A1495">
        <v>7607</v>
      </c>
      <c r="B1495" s="15">
        <v>45413</v>
      </c>
      <c r="E1495" s="158"/>
      <c r="F1495">
        <v>6759</v>
      </c>
    </row>
    <row r="1496" spans="1:6" x14ac:dyDescent="0.25">
      <c r="A1496">
        <v>7607</v>
      </c>
      <c r="B1496" s="15">
        <v>45414</v>
      </c>
      <c r="E1496" s="160" t="s">
        <v>267</v>
      </c>
      <c r="F1496">
        <v>6760</v>
      </c>
    </row>
    <row r="1497" spans="1:6" x14ac:dyDescent="0.25">
      <c r="A1497">
        <v>7607</v>
      </c>
      <c r="B1497" s="15">
        <v>45415</v>
      </c>
      <c r="E1497" s="160" t="s">
        <v>264</v>
      </c>
      <c r="F1497">
        <v>6761</v>
      </c>
    </row>
    <row r="1498" spans="1:6" x14ac:dyDescent="0.25">
      <c r="A1498">
        <v>7607</v>
      </c>
      <c r="B1498" s="15">
        <v>45416</v>
      </c>
      <c r="E1498" s="160" t="s">
        <v>175</v>
      </c>
      <c r="F1498">
        <v>6762</v>
      </c>
    </row>
    <row r="1499" spans="1:6" x14ac:dyDescent="0.25">
      <c r="A1499">
        <v>7607</v>
      </c>
      <c r="B1499" s="15">
        <v>45417</v>
      </c>
      <c r="E1499" s="157"/>
      <c r="F1499">
        <v>6763</v>
      </c>
    </row>
    <row r="1500" spans="1:6" x14ac:dyDescent="0.25">
      <c r="A1500">
        <v>7739</v>
      </c>
      <c r="B1500" s="15">
        <v>45264</v>
      </c>
      <c r="E1500" s="158"/>
      <c r="F1500">
        <v>4118</v>
      </c>
    </row>
    <row r="1501" spans="1:6" x14ac:dyDescent="0.25">
      <c r="A1501">
        <v>7739</v>
      </c>
      <c r="B1501" s="15">
        <v>45265</v>
      </c>
      <c r="E1501" s="160" t="s">
        <v>263</v>
      </c>
      <c r="F1501">
        <v>4119</v>
      </c>
    </row>
    <row r="1502" spans="1:6" x14ac:dyDescent="0.25">
      <c r="A1502">
        <v>7739</v>
      </c>
      <c r="B1502" s="15">
        <v>45266</v>
      </c>
      <c r="E1502" s="160" t="s">
        <v>263</v>
      </c>
      <c r="F1502">
        <v>4120</v>
      </c>
    </row>
    <row r="1503" spans="1:6" x14ac:dyDescent="0.25">
      <c r="A1503">
        <v>7739</v>
      </c>
      <c r="B1503" s="15">
        <v>45267</v>
      </c>
      <c r="E1503" s="120" t="s">
        <v>2</v>
      </c>
      <c r="F1503">
        <v>4121</v>
      </c>
    </row>
    <row r="1504" spans="1:6" x14ac:dyDescent="0.25">
      <c r="A1504">
        <v>7739</v>
      </c>
      <c r="B1504" s="15">
        <v>45268</v>
      </c>
      <c r="E1504" s="117" t="s">
        <v>2</v>
      </c>
      <c r="F1504">
        <v>4122</v>
      </c>
    </row>
    <row r="1505" spans="1:6" x14ac:dyDescent="0.25">
      <c r="A1505">
        <v>7739</v>
      </c>
      <c r="B1505" s="15">
        <v>45269</v>
      </c>
      <c r="E1505" s="157"/>
      <c r="F1505">
        <v>4123</v>
      </c>
    </row>
    <row r="1506" spans="1:6" x14ac:dyDescent="0.25">
      <c r="A1506">
        <v>7739</v>
      </c>
      <c r="B1506" s="15">
        <v>45270</v>
      </c>
      <c r="E1506" s="157"/>
      <c r="F1506">
        <v>4124</v>
      </c>
    </row>
    <row r="1507" spans="1:6" x14ac:dyDescent="0.25">
      <c r="A1507">
        <v>7739</v>
      </c>
      <c r="B1507" s="15">
        <v>45271</v>
      </c>
      <c r="E1507" s="160" t="s">
        <v>263</v>
      </c>
      <c r="F1507">
        <v>4125</v>
      </c>
    </row>
    <row r="1508" spans="1:6" x14ac:dyDescent="0.25">
      <c r="A1508">
        <v>7739</v>
      </c>
      <c r="B1508" s="15">
        <v>45272</v>
      </c>
      <c r="E1508" s="160" t="s">
        <v>268</v>
      </c>
      <c r="F1508">
        <v>4126</v>
      </c>
    </row>
    <row r="1509" spans="1:6" x14ac:dyDescent="0.25">
      <c r="A1509">
        <v>7739</v>
      </c>
      <c r="B1509" s="15">
        <v>45273</v>
      </c>
      <c r="E1509" s="157"/>
      <c r="F1509">
        <v>4127</v>
      </c>
    </row>
    <row r="1510" spans="1:6" x14ac:dyDescent="0.25">
      <c r="A1510">
        <v>7739</v>
      </c>
      <c r="B1510" s="15">
        <v>45274</v>
      </c>
      <c r="E1510" s="160" t="s">
        <v>263</v>
      </c>
      <c r="F1510">
        <v>4128</v>
      </c>
    </row>
    <row r="1511" spans="1:6" x14ac:dyDescent="0.25">
      <c r="A1511">
        <v>7739</v>
      </c>
      <c r="B1511" s="15">
        <v>45275</v>
      </c>
      <c r="E1511" s="160" t="s">
        <v>268</v>
      </c>
      <c r="F1511">
        <v>4129</v>
      </c>
    </row>
    <row r="1512" spans="1:6" x14ac:dyDescent="0.25">
      <c r="A1512">
        <v>7739</v>
      </c>
      <c r="B1512" s="15">
        <v>45276</v>
      </c>
      <c r="E1512" s="121" t="s">
        <v>2</v>
      </c>
      <c r="F1512">
        <v>4130</v>
      </c>
    </row>
    <row r="1513" spans="1:6" x14ac:dyDescent="0.25">
      <c r="A1513">
        <v>7739</v>
      </c>
      <c r="B1513" s="15">
        <v>45277</v>
      </c>
      <c r="E1513" s="157"/>
      <c r="F1513">
        <v>4131</v>
      </c>
    </row>
    <row r="1514" spans="1:6" x14ac:dyDescent="0.25">
      <c r="A1514">
        <v>7739</v>
      </c>
      <c r="B1514" s="15">
        <v>45278</v>
      </c>
      <c r="E1514" s="158"/>
      <c r="F1514">
        <v>4132</v>
      </c>
    </row>
    <row r="1515" spans="1:6" x14ac:dyDescent="0.25">
      <c r="A1515">
        <v>7739</v>
      </c>
      <c r="B1515" s="15">
        <v>45279</v>
      </c>
      <c r="E1515" s="160" t="s">
        <v>263</v>
      </c>
      <c r="F1515">
        <v>4133</v>
      </c>
    </row>
    <row r="1516" spans="1:6" x14ac:dyDescent="0.25">
      <c r="A1516">
        <v>7739</v>
      </c>
      <c r="B1516" s="15">
        <v>45280</v>
      </c>
      <c r="E1516" s="160" t="s">
        <v>263</v>
      </c>
      <c r="F1516">
        <v>4134</v>
      </c>
    </row>
    <row r="1517" spans="1:6" x14ac:dyDescent="0.25">
      <c r="A1517">
        <v>7739</v>
      </c>
      <c r="B1517" s="15">
        <v>45281</v>
      </c>
      <c r="E1517" s="160" t="s">
        <v>268</v>
      </c>
      <c r="F1517">
        <v>4135</v>
      </c>
    </row>
    <row r="1518" spans="1:6" x14ac:dyDescent="0.25">
      <c r="A1518">
        <v>7739</v>
      </c>
      <c r="B1518" s="15">
        <v>45282</v>
      </c>
      <c r="E1518" s="159" t="s">
        <v>175</v>
      </c>
      <c r="F1518">
        <v>4136</v>
      </c>
    </row>
    <row r="1519" spans="1:6" x14ac:dyDescent="0.25">
      <c r="A1519">
        <v>7739</v>
      </c>
      <c r="B1519" s="15">
        <v>45283</v>
      </c>
      <c r="E1519" s="160" t="s">
        <v>175</v>
      </c>
      <c r="F1519">
        <v>4137</v>
      </c>
    </row>
    <row r="1520" spans="1:6" x14ac:dyDescent="0.25">
      <c r="A1520">
        <v>7739</v>
      </c>
      <c r="B1520" s="15">
        <v>45284</v>
      </c>
      <c r="E1520" s="157"/>
      <c r="F1520">
        <v>4138</v>
      </c>
    </row>
    <row r="1521" spans="1:6" x14ac:dyDescent="0.25">
      <c r="A1521">
        <v>7739</v>
      </c>
      <c r="B1521" s="15">
        <v>45285</v>
      </c>
      <c r="E1521" s="157"/>
      <c r="F1521">
        <v>4139</v>
      </c>
    </row>
    <row r="1522" spans="1:6" x14ac:dyDescent="0.25">
      <c r="A1522">
        <v>7739</v>
      </c>
      <c r="B1522" s="15">
        <v>45286</v>
      </c>
      <c r="E1522" s="202" t="s">
        <v>163</v>
      </c>
      <c r="F1522">
        <v>4140</v>
      </c>
    </row>
    <row r="1523" spans="1:6" x14ac:dyDescent="0.25">
      <c r="A1523">
        <v>7739</v>
      </c>
      <c r="B1523" s="15">
        <v>45287</v>
      </c>
      <c r="E1523" s="157"/>
      <c r="F1523">
        <v>4141</v>
      </c>
    </row>
    <row r="1524" spans="1:6" x14ac:dyDescent="0.25">
      <c r="A1524">
        <v>7739</v>
      </c>
      <c r="B1524" s="15">
        <v>45288</v>
      </c>
      <c r="E1524" s="160" t="s">
        <v>263</v>
      </c>
      <c r="F1524">
        <v>4142</v>
      </c>
    </row>
    <row r="1525" spans="1:6" x14ac:dyDescent="0.25">
      <c r="A1525">
        <v>7739</v>
      </c>
      <c r="B1525" s="15">
        <v>45289</v>
      </c>
      <c r="E1525" s="160" t="s">
        <v>175</v>
      </c>
      <c r="F1525">
        <v>4143</v>
      </c>
    </row>
    <row r="1526" spans="1:6" x14ac:dyDescent="0.25">
      <c r="A1526">
        <v>7739</v>
      </c>
      <c r="B1526" s="15">
        <v>45290</v>
      </c>
      <c r="E1526" s="121" t="s">
        <v>378</v>
      </c>
      <c r="F1526">
        <v>4144</v>
      </c>
    </row>
    <row r="1527" spans="1:6" x14ac:dyDescent="0.25">
      <c r="A1527">
        <v>7739</v>
      </c>
      <c r="B1527" s="15">
        <v>45291</v>
      </c>
      <c r="E1527" s="157"/>
      <c r="F1527">
        <v>4145</v>
      </c>
    </row>
    <row r="1528" spans="1:6" x14ac:dyDescent="0.25">
      <c r="A1528">
        <v>7739</v>
      </c>
      <c r="B1528" s="15">
        <v>45292</v>
      </c>
      <c r="E1528" s="119"/>
      <c r="F1528">
        <v>4979</v>
      </c>
    </row>
    <row r="1529" spans="1:6" x14ac:dyDescent="0.25">
      <c r="A1529">
        <v>7739</v>
      </c>
      <c r="B1529" s="15">
        <v>45293</v>
      </c>
      <c r="E1529" s="117" t="s">
        <v>2</v>
      </c>
      <c r="F1529">
        <v>4980</v>
      </c>
    </row>
    <row r="1530" spans="1:6" x14ac:dyDescent="0.25">
      <c r="A1530">
        <v>7739</v>
      </c>
      <c r="B1530" s="15">
        <v>45294</v>
      </c>
      <c r="E1530" s="117" t="s">
        <v>2</v>
      </c>
      <c r="F1530">
        <v>4981</v>
      </c>
    </row>
    <row r="1531" spans="1:6" x14ac:dyDescent="0.25">
      <c r="A1531">
        <v>7739</v>
      </c>
      <c r="B1531" s="15">
        <v>45295</v>
      </c>
      <c r="E1531" s="122" t="s">
        <v>2</v>
      </c>
      <c r="F1531">
        <v>4982</v>
      </c>
    </row>
    <row r="1532" spans="1:6" x14ac:dyDescent="0.25">
      <c r="A1532">
        <v>7739</v>
      </c>
      <c r="B1532" s="15">
        <v>45296</v>
      </c>
      <c r="E1532" s="117" t="s">
        <v>2</v>
      </c>
      <c r="F1532">
        <v>4983</v>
      </c>
    </row>
    <row r="1533" spans="1:6" x14ac:dyDescent="0.25">
      <c r="A1533">
        <v>7739</v>
      </c>
      <c r="B1533" s="15">
        <v>45297</v>
      </c>
      <c r="E1533" s="157"/>
      <c r="F1533">
        <v>4984</v>
      </c>
    </row>
    <row r="1534" spans="1:6" x14ac:dyDescent="0.25">
      <c r="A1534">
        <v>7739</v>
      </c>
      <c r="B1534" s="15">
        <v>45298</v>
      </c>
      <c r="E1534" s="157"/>
      <c r="F1534">
        <v>4985</v>
      </c>
    </row>
    <row r="1535" spans="1:6" x14ac:dyDescent="0.25">
      <c r="A1535">
        <v>7739</v>
      </c>
      <c r="B1535" s="15">
        <v>45299</v>
      </c>
      <c r="E1535" s="117" t="s">
        <v>2</v>
      </c>
      <c r="F1535">
        <v>4986</v>
      </c>
    </row>
    <row r="1536" spans="1:6" x14ac:dyDescent="0.25">
      <c r="A1536">
        <v>7739</v>
      </c>
      <c r="B1536" s="15">
        <v>45300</v>
      </c>
      <c r="E1536" s="122" t="s">
        <v>2</v>
      </c>
      <c r="F1536">
        <v>4987</v>
      </c>
    </row>
    <row r="1537" spans="1:6" x14ac:dyDescent="0.25">
      <c r="A1537">
        <v>7739</v>
      </c>
      <c r="B1537" s="15">
        <v>45301</v>
      </c>
      <c r="E1537" s="157"/>
      <c r="F1537">
        <v>4988</v>
      </c>
    </row>
    <row r="1538" spans="1:6" x14ac:dyDescent="0.25">
      <c r="A1538">
        <v>7739</v>
      </c>
      <c r="B1538" s="15">
        <v>45302</v>
      </c>
      <c r="E1538" s="117" t="s">
        <v>2</v>
      </c>
      <c r="F1538">
        <v>4989</v>
      </c>
    </row>
    <row r="1539" spans="1:6" x14ac:dyDescent="0.25">
      <c r="A1539">
        <v>7739</v>
      </c>
      <c r="B1539" s="15">
        <v>45303</v>
      </c>
      <c r="E1539" s="122" t="s">
        <v>2</v>
      </c>
      <c r="F1539">
        <v>4990</v>
      </c>
    </row>
    <row r="1540" spans="1:6" x14ac:dyDescent="0.25">
      <c r="A1540">
        <v>7739</v>
      </c>
      <c r="B1540" s="15">
        <v>45304</v>
      </c>
      <c r="E1540" s="126" t="s">
        <v>2</v>
      </c>
      <c r="F1540">
        <v>4991</v>
      </c>
    </row>
    <row r="1541" spans="1:6" x14ac:dyDescent="0.25">
      <c r="A1541">
        <v>7739</v>
      </c>
      <c r="B1541" s="15">
        <v>45305</v>
      </c>
      <c r="E1541" s="157"/>
      <c r="F1541">
        <v>4992</v>
      </c>
    </row>
    <row r="1542" spans="1:6" x14ac:dyDescent="0.25">
      <c r="A1542">
        <v>7739</v>
      </c>
      <c r="B1542" s="15">
        <v>45306</v>
      </c>
      <c r="E1542" s="158"/>
      <c r="F1542">
        <v>4993</v>
      </c>
    </row>
    <row r="1543" spans="1:6" x14ac:dyDescent="0.25">
      <c r="A1543">
        <v>7739</v>
      </c>
      <c r="B1543" s="15">
        <v>45307</v>
      </c>
      <c r="E1543" s="160" t="s">
        <v>263</v>
      </c>
      <c r="F1543">
        <v>4994</v>
      </c>
    </row>
    <row r="1544" spans="1:6" x14ac:dyDescent="0.25">
      <c r="A1544">
        <v>7739</v>
      </c>
      <c r="B1544" s="15">
        <v>45308</v>
      </c>
      <c r="E1544" s="117" t="s">
        <v>2</v>
      </c>
      <c r="F1544">
        <v>4995</v>
      </c>
    </row>
    <row r="1545" spans="1:6" x14ac:dyDescent="0.25">
      <c r="A1545">
        <v>7739</v>
      </c>
      <c r="B1545" s="15">
        <v>45309</v>
      </c>
      <c r="E1545" s="160" t="s">
        <v>268</v>
      </c>
      <c r="F1545">
        <v>4996</v>
      </c>
    </row>
    <row r="1546" spans="1:6" x14ac:dyDescent="0.25">
      <c r="A1546">
        <v>7739</v>
      </c>
      <c r="B1546" s="15">
        <v>45310</v>
      </c>
      <c r="E1546" s="117" t="s">
        <v>2</v>
      </c>
      <c r="F1546">
        <v>4997</v>
      </c>
    </row>
    <row r="1547" spans="1:6" x14ac:dyDescent="0.25">
      <c r="A1547">
        <v>7739</v>
      </c>
      <c r="B1547" s="15">
        <v>45311</v>
      </c>
      <c r="E1547" s="157"/>
      <c r="F1547">
        <v>4998</v>
      </c>
    </row>
    <row r="1548" spans="1:6" x14ac:dyDescent="0.25">
      <c r="A1548">
        <v>7739</v>
      </c>
      <c r="B1548" s="15">
        <v>45312</v>
      </c>
      <c r="E1548" s="157"/>
      <c r="F1548">
        <v>4999</v>
      </c>
    </row>
    <row r="1549" spans="1:6" x14ac:dyDescent="0.25">
      <c r="A1549">
        <v>7739</v>
      </c>
      <c r="B1549" s="15">
        <v>45313</v>
      </c>
      <c r="E1549" s="160" t="s">
        <v>263</v>
      </c>
      <c r="F1549">
        <v>5000</v>
      </c>
    </row>
    <row r="1550" spans="1:6" x14ac:dyDescent="0.25">
      <c r="A1550">
        <v>7739</v>
      </c>
      <c r="B1550" s="15">
        <v>45314</v>
      </c>
      <c r="E1550" s="160" t="s">
        <v>268</v>
      </c>
      <c r="F1550">
        <v>5001</v>
      </c>
    </row>
    <row r="1551" spans="1:6" x14ac:dyDescent="0.25">
      <c r="A1551">
        <v>7739</v>
      </c>
      <c r="B1551" s="15">
        <v>45315</v>
      </c>
      <c r="E1551" s="157"/>
      <c r="F1551">
        <v>5002</v>
      </c>
    </row>
    <row r="1552" spans="1:6" x14ac:dyDescent="0.25">
      <c r="A1552">
        <v>7739</v>
      </c>
      <c r="B1552" s="15">
        <v>45316</v>
      </c>
      <c r="E1552" s="160" t="s">
        <v>263</v>
      </c>
      <c r="F1552">
        <v>5003</v>
      </c>
    </row>
    <row r="1553" spans="1:6" x14ac:dyDescent="0.25">
      <c r="A1553">
        <v>7739</v>
      </c>
      <c r="B1553" s="15">
        <v>45317</v>
      </c>
      <c r="E1553" s="120" t="s">
        <v>1</v>
      </c>
      <c r="F1553">
        <v>5004</v>
      </c>
    </row>
    <row r="1554" spans="1:6" x14ac:dyDescent="0.25">
      <c r="A1554">
        <v>7739</v>
      </c>
      <c r="B1554" s="15">
        <v>45318</v>
      </c>
      <c r="E1554" s="121" t="s">
        <v>1</v>
      </c>
      <c r="F1554">
        <v>5005</v>
      </c>
    </row>
    <row r="1555" spans="1:6" x14ac:dyDescent="0.25">
      <c r="A1555">
        <v>7739</v>
      </c>
      <c r="B1555" s="15">
        <v>45319</v>
      </c>
      <c r="E1555" s="157"/>
      <c r="F1555">
        <v>5006</v>
      </c>
    </row>
    <row r="1556" spans="1:6" x14ac:dyDescent="0.25">
      <c r="A1556">
        <v>7739</v>
      </c>
      <c r="B1556" s="15">
        <v>45320</v>
      </c>
      <c r="E1556" s="158"/>
      <c r="F1556">
        <v>5007</v>
      </c>
    </row>
    <row r="1557" spans="1:6" x14ac:dyDescent="0.25">
      <c r="A1557">
        <v>7739</v>
      </c>
      <c r="B1557" s="15">
        <v>45321</v>
      </c>
      <c r="E1557" s="117" t="s">
        <v>1</v>
      </c>
      <c r="F1557">
        <v>5008</v>
      </c>
    </row>
    <row r="1558" spans="1:6" x14ac:dyDescent="0.25">
      <c r="A1558">
        <v>7739</v>
      </c>
      <c r="B1558" s="15">
        <v>45322</v>
      </c>
      <c r="E1558" s="117" t="s">
        <v>1</v>
      </c>
      <c r="F1558">
        <v>5009</v>
      </c>
    </row>
    <row r="1559" spans="1:6" x14ac:dyDescent="0.25">
      <c r="A1559">
        <v>7739</v>
      </c>
      <c r="B1559" s="15">
        <v>45323</v>
      </c>
      <c r="E1559" s="120" t="s">
        <v>1</v>
      </c>
      <c r="F1559">
        <v>5010</v>
      </c>
    </row>
    <row r="1560" spans="1:6" x14ac:dyDescent="0.25">
      <c r="A1560">
        <v>7739</v>
      </c>
      <c r="B1560" s="15">
        <v>45324</v>
      </c>
      <c r="E1560" s="117" t="s">
        <v>1</v>
      </c>
      <c r="F1560">
        <v>5011</v>
      </c>
    </row>
    <row r="1561" spans="1:6" x14ac:dyDescent="0.25">
      <c r="A1561">
        <v>7739</v>
      </c>
      <c r="B1561" s="15">
        <v>45325</v>
      </c>
      <c r="E1561" s="157"/>
      <c r="F1561">
        <v>5012</v>
      </c>
    </row>
    <row r="1562" spans="1:6" x14ac:dyDescent="0.25">
      <c r="A1562">
        <v>7739</v>
      </c>
      <c r="B1562" s="15">
        <v>45326</v>
      </c>
      <c r="E1562" s="157"/>
      <c r="F1562">
        <v>5013</v>
      </c>
    </row>
    <row r="1563" spans="1:6" x14ac:dyDescent="0.25">
      <c r="A1563">
        <v>7739</v>
      </c>
      <c r="B1563" s="15">
        <v>45327</v>
      </c>
      <c r="E1563" s="117" t="s">
        <v>1</v>
      </c>
      <c r="F1563">
        <v>5693</v>
      </c>
    </row>
    <row r="1564" spans="1:6" x14ac:dyDescent="0.25">
      <c r="A1564">
        <v>7739</v>
      </c>
      <c r="B1564" s="15">
        <v>45328</v>
      </c>
      <c r="E1564" s="160" t="s">
        <v>268</v>
      </c>
      <c r="F1564">
        <v>5694</v>
      </c>
    </row>
    <row r="1565" spans="1:6" x14ac:dyDescent="0.25">
      <c r="A1565">
        <v>7739</v>
      </c>
      <c r="B1565" s="15">
        <v>45329</v>
      </c>
      <c r="E1565" s="157"/>
      <c r="F1565">
        <v>5695</v>
      </c>
    </row>
    <row r="1566" spans="1:6" x14ac:dyDescent="0.25">
      <c r="A1566">
        <v>7739</v>
      </c>
      <c r="B1566" s="15">
        <v>45330</v>
      </c>
      <c r="E1566" s="160" t="s">
        <v>263</v>
      </c>
      <c r="F1566">
        <v>5696</v>
      </c>
    </row>
    <row r="1567" spans="1:6" x14ac:dyDescent="0.25">
      <c r="A1567">
        <v>7739</v>
      </c>
      <c r="B1567" s="15">
        <v>45331</v>
      </c>
      <c r="E1567" s="160" t="s">
        <v>268</v>
      </c>
      <c r="F1567">
        <v>5697</v>
      </c>
    </row>
    <row r="1568" spans="1:6" x14ac:dyDescent="0.25">
      <c r="A1568">
        <v>7739</v>
      </c>
      <c r="B1568" s="15">
        <v>45332</v>
      </c>
      <c r="E1568" s="121" t="s">
        <v>2</v>
      </c>
      <c r="F1568">
        <v>5698</v>
      </c>
    </row>
    <row r="1569" spans="1:6" x14ac:dyDescent="0.25">
      <c r="A1569">
        <v>7739</v>
      </c>
      <c r="B1569" s="15">
        <v>45333</v>
      </c>
      <c r="E1569" s="157"/>
      <c r="F1569">
        <v>5699</v>
      </c>
    </row>
    <row r="1570" spans="1:6" x14ac:dyDescent="0.25">
      <c r="A1570">
        <v>7739</v>
      </c>
      <c r="B1570" s="15">
        <v>45334</v>
      </c>
      <c r="E1570" s="158"/>
      <c r="F1570">
        <v>5700</v>
      </c>
    </row>
    <row r="1571" spans="1:6" x14ac:dyDescent="0.25">
      <c r="A1571">
        <v>7739</v>
      </c>
      <c r="B1571" s="15">
        <v>45335</v>
      </c>
      <c r="E1571" s="117" t="s">
        <v>2</v>
      </c>
      <c r="F1571">
        <v>5701</v>
      </c>
    </row>
    <row r="1572" spans="1:6" x14ac:dyDescent="0.25">
      <c r="A1572">
        <v>7739</v>
      </c>
      <c r="B1572" s="15">
        <v>45336</v>
      </c>
      <c r="E1572" s="117" t="s">
        <v>2</v>
      </c>
      <c r="F1572">
        <v>5702</v>
      </c>
    </row>
    <row r="1573" spans="1:6" x14ac:dyDescent="0.25">
      <c r="A1573">
        <v>7739</v>
      </c>
      <c r="B1573" s="15">
        <v>45337</v>
      </c>
      <c r="E1573" s="120" t="s">
        <v>2</v>
      </c>
      <c r="F1573">
        <v>5703</v>
      </c>
    </row>
    <row r="1574" spans="1:6" x14ac:dyDescent="0.25">
      <c r="A1574">
        <v>7739</v>
      </c>
      <c r="B1574" s="15">
        <v>45338</v>
      </c>
      <c r="E1574" s="117" t="s">
        <v>2</v>
      </c>
      <c r="F1574">
        <v>5704</v>
      </c>
    </row>
    <row r="1575" spans="1:6" x14ac:dyDescent="0.25">
      <c r="A1575">
        <v>7739</v>
      </c>
      <c r="B1575" s="15">
        <v>45339</v>
      </c>
      <c r="E1575" s="157"/>
      <c r="F1575">
        <v>5705</v>
      </c>
    </row>
    <row r="1576" spans="1:6" x14ac:dyDescent="0.25">
      <c r="A1576">
        <v>7739</v>
      </c>
      <c r="B1576" s="15">
        <v>45340</v>
      </c>
      <c r="E1576" s="157"/>
      <c r="F1576">
        <v>5706</v>
      </c>
    </row>
    <row r="1577" spans="1:6" x14ac:dyDescent="0.25">
      <c r="A1577">
        <v>7739</v>
      </c>
      <c r="B1577" s="15">
        <v>45341</v>
      </c>
      <c r="E1577" s="117" t="s">
        <v>2</v>
      </c>
      <c r="F1577">
        <v>5707</v>
      </c>
    </row>
    <row r="1578" spans="1:6" x14ac:dyDescent="0.25">
      <c r="A1578">
        <v>7739</v>
      </c>
      <c r="B1578" s="15">
        <v>45342</v>
      </c>
      <c r="E1578" s="120" t="s">
        <v>2</v>
      </c>
      <c r="F1578">
        <v>5708</v>
      </c>
    </row>
    <row r="1579" spans="1:6" x14ac:dyDescent="0.25">
      <c r="A1579">
        <v>7739</v>
      </c>
      <c r="B1579" s="15">
        <v>45343</v>
      </c>
      <c r="E1579" s="157"/>
      <c r="F1579">
        <v>5709</v>
      </c>
    </row>
    <row r="1580" spans="1:6" x14ac:dyDescent="0.25">
      <c r="A1580">
        <v>7739</v>
      </c>
      <c r="B1580" s="15">
        <v>45344</v>
      </c>
      <c r="E1580" s="117" t="s">
        <v>2</v>
      </c>
      <c r="F1580">
        <v>5710</v>
      </c>
    </row>
    <row r="1581" spans="1:6" x14ac:dyDescent="0.25">
      <c r="A1581">
        <v>7739</v>
      </c>
      <c r="B1581" s="15">
        <v>45345</v>
      </c>
      <c r="E1581" s="120" t="s">
        <v>2</v>
      </c>
      <c r="F1581">
        <v>5711</v>
      </c>
    </row>
    <row r="1582" spans="1:6" x14ac:dyDescent="0.25">
      <c r="A1582">
        <v>7739</v>
      </c>
      <c r="B1582" s="15">
        <v>45346</v>
      </c>
      <c r="E1582" s="121" t="s">
        <v>2</v>
      </c>
      <c r="F1582">
        <v>5712</v>
      </c>
    </row>
    <row r="1583" spans="1:6" x14ac:dyDescent="0.25">
      <c r="A1583">
        <v>7739</v>
      </c>
      <c r="B1583" s="15">
        <v>45347</v>
      </c>
      <c r="E1583" s="157"/>
      <c r="F1583">
        <v>5713</v>
      </c>
    </row>
    <row r="1584" spans="1:6" x14ac:dyDescent="0.25">
      <c r="A1584">
        <v>7739</v>
      </c>
      <c r="B1584" s="15">
        <v>45348</v>
      </c>
      <c r="E1584" s="158"/>
      <c r="F1584">
        <v>5714</v>
      </c>
    </row>
    <row r="1585" spans="1:6" x14ac:dyDescent="0.25">
      <c r="A1585">
        <v>7739</v>
      </c>
      <c r="B1585" s="15">
        <v>45349</v>
      </c>
      <c r="E1585" s="160" t="s">
        <v>263</v>
      </c>
      <c r="F1585">
        <v>5715</v>
      </c>
    </row>
    <row r="1586" spans="1:6" x14ac:dyDescent="0.25">
      <c r="A1586">
        <v>7739</v>
      </c>
      <c r="B1586" s="15">
        <v>45350</v>
      </c>
      <c r="E1586" s="160" t="s">
        <v>263</v>
      </c>
      <c r="F1586">
        <v>5716</v>
      </c>
    </row>
    <row r="1587" spans="1:6" x14ac:dyDescent="0.25">
      <c r="A1587">
        <v>7739</v>
      </c>
      <c r="B1587" s="15">
        <v>45351</v>
      </c>
      <c r="E1587" s="160" t="s">
        <v>268</v>
      </c>
      <c r="F1587">
        <v>5717</v>
      </c>
    </row>
    <row r="1588" spans="1:6" x14ac:dyDescent="0.25">
      <c r="A1588">
        <v>7739</v>
      </c>
      <c r="B1588" s="15">
        <v>45352</v>
      </c>
      <c r="E1588" s="160" t="s">
        <v>263</v>
      </c>
      <c r="F1588">
        <v>5718</v>
      </c>
    </row>
    <row r="1589" spans="1:6" x14ac:dyDescent="0.25">
      <c r="A1589">
        <v>7739</v>
      </c>
      <c r="B1589" s="15">
        <v>45353</v>
      </c>
      <c r="E1589" s="157"/>
      <c r="F1589">
        <v>5719</v>
      </c>
    </row>
    <row r="1590" spans="1:6" x14ac:dyDescent="0.25">
      <c r="A1590">
        <v>7739</v>
      </c>
      <c r="B1590" s="15">
        <v>45354</v>
      </c>
      <c r="E1590" s="157"/>
      <c r="F1590">
        <v>5720</v>
      </c>
    </row>
    <row r="1591" spans="1:6" x14ac:dyDescent="0.25">
      <c r="A1591">
        <v>7739</v>
      </c>
      <c r="B1591" s="15">
        <v>45355</v>
      </c>
      <c r="E1591" s="160" t="s">
        <v>263</v>
      </c>
      <c r="F1591">
        <v>6393</v>
      </c>
    </row>
    <row r="1592" spans="1:6" x14ac:dyDescent="0.25">
      <c r="A1592">
        <v>7739</v>
      </c>
      <c r="B1592" s="15">
        <v>45356</v>
      </c>
      <c r="E1592" s="160" t="s">
        <v>268</v>
      </c>
      <c r="F1592">
        <v>6394</v>
      </c>
    </row>
    <row r="1593" spans="1:6" x14ac:dyDescent="0.25">
      <c r="A1593">
        <v>7739</v>
      </c>
      <c r="B1593" s="15">
        <v>45357</v>
      </c>
      <c r="E1593" s="157"/>
      <c r="F1593">
        <v>6395</v>
      </c>
    </row>
    <row r="1594" spans="1:6" x14ac:dyDescent="0.25">
      <c r="A1594">
        <v>7739</v>
      </c>
      <c r="B1594" s="15">
        <v>45358</v>
      </c>
      <c r="E1594" s="160" t="s">
        <v>263</v>
      </c>
      <c r="F1594">
        <v>6396</v>
      </c>
    </row>
    <row r="1595" spans="1:6" x14ac:dyDescent="0.25">
      <c r="A1595">
        <v>7739</v>
      </c>
      <c r="B1595" s="15">
        <v>45359</v>
      </c>
      <c r="E1595" s="160" t="s">
        <v>268</v>
      </c>
      <c r="F1595">
        <v>6397</v>
      </c>
    </row>
    <row r="1596" spans="1:6" x14ac:dyDescent="0.25">
      <c r="A1596">
        <v>7739</v>
      </c>
      <c r="B1596" s="15">
        <v>45360</v>
      </c>
      <c r="E1596" s="121" t="s">
        <v>2</v>
      </c>
      <c r="F1596">
        <v>6398</v>
      </c>
    </row>
    <row r="1597" spans="1:6" x14ac:dyDescent="0.25">
      <c r="A1597">
        <v>7739</v>
      </c>
      <c r="B1597" s="15">
        <v>45361</v>
      </c>
      <c r="E1597" s="157"/>
      <c r="F1597">
        <v>6399</v>
      </c>
    </row>
    <row r="1598" spans="1:6" x14ac:dyDescent="0.25">
      <c r="A1598">
        <v>7739</v>
      </c>
      <c r="B1598" s="15">
        <v>45362</v>
      </c>
      <c r="E1598" s="158"/>
      <c r="F1598">
        <v>6400</v>
      </c>
    </row>
    <row r="1599" spans="1:6" x14ac:dyDescent="0.25">
      <c r="A1599">
        <v>7739</v>
      </c>
      <c r="B1599" s="15">
        <v>45363</v>
      </c>
      <c r="E1599" s="160" t="s">
        <v>263</v>
      </c>
      <c r="F1599">
        <v>6401</v>
      </c>
    </row>
    <row r="1600" spans="1:6" x14ac:dyDescent="0.25">
      <c r="A1600">
        <v>7739</v>
      </c>
      <c r="B1600" s="15">
        <v>45364</v>
      </c>
      <c r="E1600" s="125" t="s">
        <v>2</v>
      </c>
      <c r="F1600">
        <v>6402</v>
      </c>
    </row>
    <row r="1601" spans="1:6" x14ac:dyDescent="0.25">
      <c r="A1601">
        <v>7739</v>
      </c>
      <c r="B1601" s="15">
        <v>45365</v>
      </c>
      <c r="E1601" s="160" t="s">
        <v>268</v>
      </c>
      <c r="F1601">
        <v>6403</v>
      </c>
    </row>
    <row r="1602" spans="1:6" x14ac:dyDescent="0.25">
      <c r="A1602">
        <v>7739</v>
      </c>
      <c r="B1602" s="15">
        <v>45366</v>
      </c>
      <c r="E1602" s="160" t="s">
        <v>263</v>
      </c>
      <c r="F1602">
        <v>6404</v>
      </c>
    </row>
    <row r="1603" spans="1:6" x14ac:dyDescent="0.25">
      <c r="A1603">
        <v>7739</v>
      </c>
      <c r="B1603" s="15">
        <v>45367</v>
      </c>
      <c r="E1603" s="157"/>
      <c r="F1603">
        <v>6405</v>
      </c>
    </row>
    <row r="1604" spans="1:6" x14ac:dyDescent="0.25">
      <c r="A1604">
        <v>7739</v>
      </c>
      <c r="B1604" s="15">
        <v>45368</v>
      </c>
      <c r="E1604" s="157"/>
      <c r="F1604">
        <v>6406</v>
      </c>
    </row>
    <row r="1605" spans="1:6" x14ac:dyDescent="0.25">
      <c r="A1605">
        <v>7739</v>
      </c>
      <c r="B1605" s="15">
        <v>45369</v>
      </c>
      <c r="E1605" s="160" t="s">
        <v>263</v>
      </c>
      <c r="F1605">
        <v>6407</v>
      </c>
    </row>
    <row r="1606" spans="1:6" x14ac:dyDescent="0.25">
      <c r="A1606">
        <v>7739</v>
      </c>
      <c r="B1606" s="15">
        <v>45370</v>
      </c>
      <c r="E1606" s="160" t="s">
        <v>268</v>
      </c>
      <c r="F1606">
        <v>6408</v>
      </c>
    </row>
    <row r="1607" spans="1:6" x14ac:dyDescent="0.25">
      <c r="A1607">
        <v>7739</v>
      </c>
      <c r="B1607" s="15">
        <v>45371</v>
      </c>
      <c r="E1607" s="157"/>
      <c r="F1607">
        <v>6409</v>
      </c>
    </row>
    <row r="1608" spans="1:6" x14ac:dyDescent="0.25">
      <c r="A1608">
        <v>7739</v>
      </c>
      <c r="B1608" s="15">
        <v>45372</v>
      </c>
      <c r="E1608" s="160" t="s">
        <v>263</v>
      </c>
      <c r="F1608">
        <v>6410</v>
      </c>
    </row>
    <row r="1609" spans="1:6" x14ac:dyDescent="0.25">
      <c r="A1609">
        <v>7739</v>
      </c>
      <c r="B1609" s="15">
        <v>45373</v>
      </c>
      <c r="E1609" s="160" t="s">
        <v>268</v>
      </c>
      <c r="F1609">
        <v>6411</v>
      </c>
    </row>
    <row r="1610" spans="1:6" x14ac:dyDescent="0.25">
      <c r="A1610">
        <v>7739</v>
      </c>
      <c r="B1610" s="15">
        <v>45374</v>
      </c>
      <c r="E1610" s="160" t="s">
        <v>175</v>
      </c>
      <c r="F1610">
        <v>6412</v>
      </c>
    </row>
    <row r="1611" spans="1:6" x14ac:dyDescent="0.25">
      <c r="A1611">
        <v>7739</v>
      </c>
      <c r="B1611" s="15">
        <v>45375</v>
      </c>
      <c r="E1611" s="157"/>
      <c r="F1611">
        <v>6413</v>
      </c>
    </row>
    <row r="1612" spans="1:6" x14ac:dyDescent="0.25">
      <c r="A1612">
        <v>7739</v>
      </c>
      <c r="B1612" s="15">
        <v>45376</v>
      </c>
      <c r="E1612" s="158"/>
      <c r="F1612">
        <v>6414</v>
      </c>
    </row>
    <row r="1613" spans="1:6" x14ac:dyDescent="0.25">
      <c r="A1613">
        <v>7739</v>
      </c>
      <c r="B1613" s="15">
        <v>45377</v>
      </c>
      <c r="E1613" s="160" t="s">
        <v>263</v>
      </c>
      <c r="F1613">
        <v>6415</v>
      </c>
    </row>
    <row r="1614" spans="1:6" x14ac:dyDescent="0.25">
      <c r="A1614">
        <v>7739</v>
      </c>
      <c r="B1614" s="15">
        <v>45378</v>
      </c>
      <c r="E1614" s="117" t="s">
        <v>2</v>
      </c>
      <c r="F1614">
        <v>6416</v>
      </c>
    </row>
    <row r="1615" spans="1:6" x14ac:dyDescent="0.25">
      <c r="A1615">
        <v>7739</v>
      </c>
      <c r="B1615" s="15">
        <v>45379</v>
      </c>
      <c r="E1615" s="160" t="s">
        <v>268</v>
      </c>
      <c r="F1615">
        <v>6417</v>
      </c>
    </row>
    <row r="1616" spans="1:6" x14ac:dyDescent="0.25">
      <c r="A1616">
        <v>7739</v>
      </c>
      <c r="B1616" s="15">
        <v>45380</v>
      </c>
      <c r="E1616" s="160" t="s">
        <v>263</v>
      </c>
      <c r="F1616">
        <v>6418</v>
      </c>
    </row>
    <row r="1617" spans="1:6" x14ac:dyDescent="0.25">
      <c r="A1617">
        <v>7739</v>
      </c>
      <c r="B1617" s="15">
        <v>45381</v>
      </c>
      <c r="E1617" s="157"/>
      <c r="F1617">
        <v>6419</v>
      </c>
    </row>
    <row r="1618" spans="1:6" x14ac:dyDescent="0.25">
      <c r="A1618">
        <v>7739</v>
      </c>
      <c r="B1618" s="15">
        <v>45382</v>
      </c>
      <c r="E1618" s="157"/>
      <c r="F1618">
        <v>6420</v>
      </c>
    </row>
    <row r="1619" spans="1:6" x14ac:dyDescent="0.25">
      <c r="A1619">
        <v>7739</v>
      </c>
      <c r="B1619" s="15">
        <v>45383</v>
      </c>
      <c r="E1619" s="119"/>
      <c r="F1619">
        <v>7254</v>
      </c>
    </row>
    <row r="1620" spans="1:6" x14ac:dyDescent="0.25">
      <c r="A1620">
        <v>7739</v>
      </c>
      <c r="B1620" s="15">
        <v>45384</v>
      </c>
      <c r="E1620" s="160" t="s">
        <v>268</v>
      </c>
      <c r="F1620">
        <v>7255</v>
      </c>
    </row>
    <row r="1621" spans="1:6" x14ac:dyDescent="0.25">
      <c r="A1621">
        <v>7739</v>
      </c>
      <c r="B1621" s="15">
        <v>45385</v>
      </c>
      <c r="E1621" s="157"/>
      <c r="F1621">
        <v>7256</v>
      </c>
    </row>
    <row r="1622" spans="1:6" x14ac:dyDescent="0.25">
      <c r="A1622">
        <v>7739</v>
      </c>
      <c r="B1622" s="15">
        <v>45386</v>
      </c>
      <c r="E1622" s="160" t="s">
        <v>263</v>
      </c>
      <c r="F1622">
        <v>7257</v>
      </c>
    </row>
    <row r="1623" spans="1:6" x14ac:dyDescent="0.25">
      <c r="A1623">
        <v>7739</v>
      </c>
      <c r="B1623" s="15">
        <v>45387</v>
      </c>
      <c r="E1623" s="160" t="s">
        <v>268</v>
      </c>
      <c r="F1623">
        <v>7258</v>
      </c>
    </row>
    <row r="1624" spans="1:6" x14ac:dyDescent="0.25">
      <c r="A1624">
        <v>7739</v>
      </c>
      <c r="B1624" s="15">
        <v>45388</v>
      </c>
      <c r="E1624" s="160" t="s">
        <v>175</v>
      </c>
      <c r="F1624">
        <v>7259</v>
      </c>
    </row>
    <row r="1625" spans="1:6" x14ac:dyDescent="0.25">
      <c r="A1625">
        <v>7739</v>
      </c>
      <c r="B1625" s="15">
        <v>45389</v>
      </c>
      <c r="E1625" s="157"/>
      <c r="F1625">
        <v>7260</v>
      </c>
    </row>
    <row r="1626" spans="1:6" x14ac:dyDescent="0.25">
      <c r="A1626">
        <v>7739</v>
      </c>
      <c r="B1626" s="15">
        <v>45390</v>
      </c>
      <c r="E1626" s="158"/>
      <c r="F1626">
        <v>7261</v>
      </c>
    </row>
    <row r="1627" spans="1:6" x14ac:dyDescent="0.25">
      <c r="A1627">
        <v>7739</v>
      </c>
      <c r="B1627" s="15">
        <v>45391</v>
      </c>
      <c r="E1627" s="160" t="s">
        <v>263</v>
      </c>
      <c r="F1627">
        <v>7262</v>
      </c>
    </row>
    <row r="1628" spans="1:6" x14ac:dyDescent="0.25">
      <c r="A1628">
        <v>7739</v>
      </c>
      <c r="B1628" s="15">
        <v>45392</v>
      </c>
      <c r="E1628" s="125" t="s">
        <v>2</v>
      </c>
      <c r="F1628">
        <v>7263</v>
      </c>
    </row>
    <row r="1629" spans="1:6" x14ac:dyDescent="0.25">
      <c r="A1629">
        <v>7739</v>
      </c>
      <c r="B1629" s="15">
        <v>45393</v>
      </c>
      <c r="E1629" s="160" t="s">
        <v>268</v>
      </c>
      <c r="F1629">
        <v>7264</v>
      </c>
    </row>
    <row r="1630" spans="1:6" x14ac:dyDescent="0.25">
      <c r="A1630">
        <v>7739</v>
      </c>
      <c r="B1630" s="15">
        <v>45394</v>
      </c>
      <c r="E1630" s="160" t="s">
        <v>263</v>
      </c>
      <c r="F1630">
        <v>7265</v>
      </c>
    </row>
    <row r="1631" spans="1:6" x14ac:dyDescent="0.25">
      <c r="A1631">
        <v>7739</v>
      </c>
      <c r="B1631" s="15">
        <v>45395</v>
      </c>
      <c r="E1631" s="157"/>
      <c r="F1631">
        <v>7266</v>
      </c>
    </row>
    <row r="1632" spans="1:6" x14ac:dyDescent="0.25">
      <c r="A1632">
        <v>7739</v>
      </c>
      <c r="B1632" s="15">
        <v>45396</v>
      </c>
      <c r="E1632" s="157"/>
      <c r="F1632">
        <v>7267</v>
      </c>
    </row>
    <row r="1633" spans="1:6" x14ac:dyDescent="0.25">
      <c r="A1633">
        <v>7739</v>
      </c>
      <c r="B1633" s="15">
        <v>45397</v>
      </c>
      <c r="E1633" s="160" t="s">
        <v>263</v>
      </c>
      <c r="F1633">
        <v>7268</v>
      </c>
    </row>
    <row r="1634" spans="1:6" x14ac:dyDescent="0.25">
      <c r="A1634">
        <v>7739</v>
      </c>
      <c r="B1634" s="15">
        <v>45398</v>
      </c>
      <c r="E1634" s="160" t="s">
        <v>268</v>
      </c>
      <c r="F1634">
        <v>7269</v>
      </c>
    </row>
    <row r="1635" spans="1:6" x14ac:dyDescent="0.25">
      <c r="A1635">
        <v>7739</v>
      </c>
      <c r="B1635" s="15">
        <v>45399</v>
      </c>
      <c r="E1635" s="157"/>
      <c r="F1635">
        <v>7270</v>
      </c>
    </row>
    <row r="1636" spans="1:6" x14ac:dyDescent="0.25">
      <c r="A1636">
        <v>7739</v>
      </c>
      <c r="B1636" s="15">
        <v>45400</v>
      </c>
      <c r="E1636" s="160" t="s">
        <v>263</v>
      </c>
      <c r="F1636">
        <v>7271</v>
      </c>
    </row>
    <row r="1637" spans="1:6" x14ac:dyDescent="0.25">
      <c r="A1637">
        <v>7739</v>
      </c>
      <c r="B1637" s="15">
        <v>45401</v>
      </c>
      <c r="E1637" s="160" t="s">
        <v>268</v>
      </c>
      <c r="F1637">
        <v>7272</v>
      </c>
    </row>
    <row r="1638" spans="1:6" x14ac:dyDescent="0.25">
      <c r="A1638">
        <v>7739</v>
      </c>
      <c r="B1638" s="15">
        <v>45402</v>
      </c>
      <c r="E1638" s="126" t="s">
        <v>2</v>
      </c>
      <c r="F1638">
        <v>7273</v>
      </c>
    </row>
    <row r="1639" spans="1:6" x14ac:dyDescent="0.25">
      <c r="A1639">
        <v>7739</v>
      </c>
      <c r="B1639" s="15">
        <v>45403</v>
      </c>
      <c r="E1639" s="157"/>
      <c r="F1639">
        <v>7274</v>
      </c>
    </row>
    <row r="1640" spans="1:6" x14ac:dyDescent="0.25">
      <c r="A1640">
        <v>7739</v>
      </c>
      <c r="B1640" s="15">
        <v>45404</v>
      </c>
      <c r="E1640" s="158"/>
      <c r="F1640">
        <v>7275</v>
      </c>
    </row>
    <row r="1641" spans="1:6" x14ac:dyDescent="0.25">
      <c r="A1641">
        <v>7739</v>
      </c>
      <c r="B1641" s="15">
        <v>45405</v>
      </c>
      <c r="E1641" s="125" t="s">
        <v>2</v>
      </c>
      <c r="F1641">
        <v>7276</v>
      </c>
    </row>
    <row r="1642" spans="1:6" x14ac:dyDescent="0.25">
      <c r="A1642">
        <v>7739</v>
      </c>
      <c r="B1642" s="15">
        <v>45406</v>
      </c>
      <c r="E1642" s="125" t="s">
        <v>2</v>
      </c>
      <c r="F1642">
        <v>7277</v>
      </c>
    </row>
    <row r="1643" spans="1:6" x14ac:dyDescent="0.25">
      <c r="A1643">
        <v>7739</v>
      </c>
      <c r="B1643" s="15">
        <v>45407</v>
      </c>
      <c r="E1643" s="122" t="s">
        <v>2</v>
      </c>
      <c r="F1643">
        <v>7278</v>
      </c>
    </row>
    <row r="1644" spans="1:6" x14ac:dyDescent="0.25">
      <c r="A1644">
        <v>7739</v>
      </c>
      <c r="B1644" s="15">
        <v>45408</v>
      </c>
      <c r="E1644" s="125" t="s">
        <v>2</v>
      </c>
      <c r="F1644">
        <v>7279</v>
      </c>
    </row>
    <row r="1645" spans="1:6" x14ac:dyDescent="0.25">
      <c r="A1645">
        <v>7739</v>
      </c>
      <c r="B1645" s="15">
        <v>45409</v>
      </c>
      <c r="E1645" s="157"/>
      <c r="F1645">
        <v>7280</v>
      </c>
    </row>
    <row r="1646" spans="1:6" x14ac:dyDescent="0.25">
      <c r="A1646">
        <v>7739</v>
      </c>
      <c r="B1646" s="15">
        <v>45410</v>
      </c>
      <c r="E1646" s="157"/>
      <c r="F1646">
        <v>7281</v>
      </c>
    </row>
    <row r="1647" spans="1:6" x14ac:dyDescent="0.25">
      <c r="A1647">
        <v>7739</v>
      </c>
      <c r="B1647" s="15">
        <v>45411</v>
      </c>
      <c r="E1647" s="160" t="s">
        <v>263</v>
      </c>
      <c r="F1647">
        <v>7282</v>
      </c>
    </row>
    <row r="1648" spans="1:6" x14ac:dyDescent="0.25">
      <c r="A1648">
        <v>7739</v>
      </c>
      <c r="B1648" s="15">
        <v>45412</v>
      </c>
      <c r="E1648" s="160" t="s">
        <v>268</v>
      </c>
      <c r="F1648">
        <v>7283</v>
      </c>
    </row>
    <row r="1649" spans="1:6" x14ac:dyDescent="0.25">
      <c r="A1649">
        <v>7739</v>
      </c>
      <c r="B1649" s="15">
        <v>45413</v>
      </c>
      <c r="E1649" s="157"/>
      <c r="F1649">
        <v>7284</v>
      </c>
    </row>
    <row r="1650" spans="1:6" x14ac:dyDescent="0.25">
      <c r="A1650">
        <v>7739</v>
      </c>
      <c r="B1650" s="15">
        <v>45414</v>
      </c>
      <c r="E1650" s="160" t="s">
        <v>263</v>
      </c>
      <c r="F1650">
        <v>7285</v>
      </c>
    </row>
    <row r="1651" spans="1:6" x14ac:dyDescent="0.25">
      <c r="A1651">
        <v>7739</v>
      </c>
      <c r="B1651" s="15">
        <v>45415</v>
      </c>
      <c r="E1651" s="160" t="s">
        <v>268</v>
      </c>
      <c r="F1651">
        <v>7286</v>
      </c>
    </row>
    <row r="1652" spans="1:6" x14ac:dyDescent="0.25">
      <c r="A1652">
        <v>7739</v>
      </c>
      <c r="B1652" s="15">
        <v>45416</v>
      </c>
      <c r="E1652" s="160" t="s">
        <v>175</v>
      </c>
      <c r="F1652">
        <v>7287</v>
      </c>
    </row>
    <row r="1653" spans="1:6" x14ac:dyDescent="0.25">
      <c r="A1653">
        <v>7739</v>
      </c>
      <c r="B1653" s="15">
        <v>45417</v>
      </c>
      <c r="E1653" s="157"/>
      <c r="F1653">
        <v>7288</v>
      </c>
    </row>
    <row r="1654" spans="1:6" x14ac:dyDescent="0.25">
      <c r="A1654">
        <v>7820</v>
      </c>
      <c r="B1654" s="15">
        <v>45264</v>
      </c>
      <c r="E1654" s="117" t="s">
        <v>1</v>
      </c>
      <c r="F1654">
        <v>3642</v>
      </c>
    </row>
    <row r="1655" spans="1:6" x14ac:dyDescent="0.25">
      <c r="A1655">
        <v>7820</v>
      </c>
      <c r="B1655" s="15">
        <v>45265</v>
      </c>
      <c r="E1655" s="120" t="s">
        <v>1</v>
      </c>
      <c r="F1655">
        <v>3643</v>
      </c>
    </row>
    <row r="1656" spans="1:6" x14ac:dyDescent="0.25">
      <c r="A1656">
        <v>7820</v>
      </c>
      <c r="B1656" s="15">
        <v>45266</v>
      </c>
      <c r="E1656" s="158"/>
      <c r="F1656">
        <v>3644</v>
      </c>
    </row>
    <row r="1657" spans="1:6" x14ac:dyDescent="0.25">
      <c r="A1657">
        <v>7820</v>
      </c>
      <c r="B1657" s="15">
        <v>45267</v>
      </c>
      <c r="E1657" s="117" t="s">
        <v>1</v>
      </c>
      <c r="F1657">
        <v>3645</v>
      </c>
    </row>
    <row r="1658" spans="1:6" x14ac:dyDescent="0.25">
      <c r="A1658">
        <v>7820</v>
      </c>
      <c r="B1658" s="15">
        <v>45268</v>
      </c>
      <c r="E1658" s="197" t="s">
        <v>267</v>
      </c>
      <c r="F1658">
        <v>3646</v>
      </c>
    </row>
    <row r="1659" spans="1:6" x14ac:dyDescent="0.25">
      <c r="A1659">
        <v>7820</v>
      </c>
      <c r="B1659" s="15">
        <v>45269</v>
      </c>
      <c r="E1659" s="160" t="s">
        <v>175</v>
      </c>
      <c r="F1659">
        <v>3647</v>
      </c>
    </row>
    <row r="1660" spans="1:6" x14ac:dyDescent="0.25">
      <c r="A1660">
        <v>7820</v>
      </c>
      <c r="B1660" s="15">
        <v>45270</v>
      </c>
      <c r="E1660" s="157"/>
      <c r="F1660">
        <v>3648</v>
      </c>
    </row>
    <row r="1661" spans="1:6" x14ac:dyDescent="0.25">
      <c r="A1661">
        <v>7820</v>
      </c>
      <c r="B1661" s="15">
        <v>45271</v>
      </c>
      <c r="E1661" s="160" t="s">
        <v>265</v>
      </c>
      <c r="F1661">
        <v>3649</v>
      </c>
    </row>
    <row r="1662" spans="1:6" x14ac:dyDescent="0.25">
      <c r="A1662">
        <v>7820</v>
      </c>
      <c r="B1662" s="15">
        <v>45272</v>
      </c>
      <c r="E1662" s="159" t="s">
        <v>267</v>
      </c>
      <c r="F1662">
        <v>3650</v>
      </c>
    </row>
    <row r="1663" spans="1:6" x14ac:dyDescent="0.25">
      <c r="A1663">
        <v>7820</v>
      </c>
      <c r="B1663" s="15">
        <v>45273</v>
      </c>
      <c r="E1663" s="197" t="s">
        <v>264</v>
      </c>
      <c r="F1663">
        <v>3651</v>
      </c>
    </row>
    <row r="1664" spans="1:6" x14ac:dyDescent="0.25">
      <c r="A1664">
        <v>7820</v>
      </c>
      <c r="B1664" s="15">
        <v>45274</v>
      </c>
      <c r="E1664" s="159" t="s">
        <v>267</v>
      </c>
      <c r="F1664">
        <v>3652</v>
      </c>
    </row>
    <row r="1665" spans="1:6" x14ac:dyDescent="0.25">
      <c r="A1665">
        <v>7820</v>
      </c>
      <c r="B1665" s="15">
        <v>45275</v>
      </c>
      <c r="E1665" s="197" t="s">
        <v>267</v>
      </c>
      <c r="F1665">
        <v>3653</v>
      </c>
    </row>
    <row r="1666" spans="1:6" x14ac:dyDescent="0.25">
      <c r="A1666">
        <v>7820</v>
      </c>
      <c r="B1666" s="15">
        <v>45276</v>
      </c>
      <c r="E1666" s="157"/>
      <c r="F1666">
        <v>3654</v>
      </c>
    </row>
    <row r="1667" spans="1:6" x14ac:dyDescent="0.25">
      <c r="A1667">
        <v>7820</v>
      </c>
      <c r="B1667" s="15">
        <v>45277</v>
      </c>
      <c r="E1667" s="157"/>
      <c r="F1667">
        <v>3655</v>
      </c>
    </row>
    <row r="1668" spans="1:6" x14ac:dyDescent="0.25">
      <c r="A1668">
        <v>7820</v>
      </c>
      <c r="B1668" s="15">
        <v>45278</v>
      </c>
      <c r="E1668" s="120" t="s">
        <v>2</v>
      </c>
      <c r="F1668">
        <v>3656</v>
      </c>
    </row>
    <row r="1669" spans="1:6" x14ac:dyDescent="0.25">
      <c r="A1669">
        <v>7820</v>
      </c>
      <c r="B1669" s="15">
        <v>45279</v>
      </c>
      <c r="E1669" s="117" t="s">
        <v>2</v>
      </c>
      <c r="F1669">
        <v>3657</v>
      </c>
    </row>
    <row r="1670" spans="1:6" x14ac:dyDescent="0.25">
      <c r="A1670">
        <v>7820</v>
      </c>
      <c r="B1670" s="15">
        <v>45280</v>
      </c>
      <c r="E1670" s="158"/>
      <c r="F1670">
        <v>3658</v>
      </c>
    </row>
    <row r="1671" spans="1:6" x14ac:dyDescent="0.25">
      <c r="A1671">
        <v>7820</v>
      </c>
      <c r="B1671" s="15">
        <v>45281</v>
      </c>
      <c r="E1671" s="160" t="s">
        <v>264</v>
      </c>
      <c r="F1671">
        <v>3659</v>
      </c>
    </row>
    <row r="1672" spans="1:6" x14ac:dyDescent="0.25">
      <c r="A1672">
        <v>7820</v>
      </c>
      <c r="B1672" s="15">
        <v>45282</v>
      </c>
      <c r="E1672" s="197" t="s">
        <v>175</v>
      </c>
      <c r="F1672">
        <v>3660</v>
      </c>
    </row>
    <row r="1673" spans="1:6" x14ac:dyDescent="0.25">
      <c r="A1673">
        <v>7820</v>
      </c>
      <c r="B1673" s="15">
        <v>45283</v>
      </c>
      <c r="E1673" s="160" t="s">
        <v>175</v>
      </c>
      <c r="F1673">
        <v>3661</v>
      </c>
    </row>
    <row r="1674" spans="1:6" x14ac:dyDescent="0.25">
      <c r="A1674">
        <v>7820</v>
      </c>
      <c r="B1674" s="15">
        <v>45284</v>
      </c>
      <c r="E1674" s="157"/>
      <c r="F1674">
        <v>3662</v>
      </c>
    </row>
    <row r="1675" spans="1:6" x14ac:dyDescent="0.25">
      <c r="A1675">
        <v>7820</v>
      </c>
      <c r="B1675" s="15">
        <v>45285</v>
      </c>
      <c r="E1675" s="119"/>
      <c r="F1675">
        <v>3663</v>
      </c>
    </row>
    <row r="1676" spans="1:6" x14ac:dyDescent="0.25">
      <c r="A1676">
        <v>7820</v>
      </c>
      <c r="B1676" s="15">
        <v>45286</v>
      </c>
      <c r="E1676" s="198" t="s">
        <v>284</v>
      </c>
      <c r="F1676">
        <v>3664</v>
      </c>
    </row>
    <row r="1677" spans="1:6" x14ac:dyDescent="0.25">
      <c r="A1677">
        <v>7820</v>
      </c>
      <c r="B1677" s="15">
        <v>45287</v>
      </c>
      <c r="E1677" s="160" t="s">
        <v>264</v>
      </c>
      <c r="F1677">
        <v>3665</v>
      </c>
    </row>
    <row r="1678" spans="1:6" x14ac:dyDescent="0.25">
      <c r="A1678">
        <v>7820</v>
      </c>
      <c r="B1678" s="15">
        <v>45288</v>
      </c>
      <c r="E1678" s="160" t="s">
        <v>267</v>
      </c>
      <c r="F1678">
        <v>3666</v>
      </c>
    </row>
    <row r="1679" spans="1:6" x14ac:dyDescent="0.25">
      <c r="A1679">
        <v>7820</v>
      </c>
      <c r="B1679" s="15">
        <v>45289</v>
      </c>
      <c r="E1679" s="197" t="s">
        <v>175</v>
      </c>
      <c r="F1679">
        <v>3667</v>
      </c>
    </row>
    <row r="1680" spans="1:6" x14ac:dyDescent="0.25">
      <c r="A1680">
        <v>7820</v>
      </c>
      <c r="B1680" s="15">
        <v>45290</v>
      </c>
      <c r="E1680" s="157"/>
      <c r="F1680">
        <v>3668</v>
      </c>
    </row>
    <row r="1681" spans="1:6" x14ac:dyDescent="0.25">
      <c r="A1681">
        <v>7820</v>
      </c>
      <c r="B1681" s="15">
        <v>45291</v>
      </c>
      <c r="E1681" s="157"/>
      <c r="F1681">
        <v>3669</v>
      </c>
    </row>
    <row r="1682" spans="1:6" x14ac:dyDescent="0.25">
      <c r="A1682">
        <v>7820</v>
      </c>
      <c r="B1682" s="15">
        <v>45292</v>
      </c>
      <c r="E1682" s="119"/>
      <c r="F1682">
        <v>4384</v>
      </c>
    </row>
    <row r="1683" spans="1:6" x14ac:dyDescent="0.25">
      <c r="A1683">
        <v>7820</v>
      </c>
      <c r="B1683" s="15">
        <v>45293</v>
      </c>
      <c r="E1683" s="117" t="s">
        <v>2</v>
      </c>
      <c r="F1683">
        <v>4385</v>
      </c>
    </row>
    <row r="1684" spans="1:6" x14ac:dyDescent="0.25">
      <c r="A1684">
        <v>7820</v>
      </c>
      <c r="B1684" s="15">
        <v>45294</v>
      </c>
      <c r="E1684" s="158"/>
      <c r="F1684">
        <v>4386</v>
      </c>
    </row>
    <row r="1685" spans="1:6" x14ac:dyDescent="0.25">
      <c r="A1685">
        <v>7820</v>
      </c>
      <c r="B1685" s="15">
        <v>45295</v>
      </c>
      <c r="E1685" s="117" t="s">
        <v>2</v>
      </c>
      <c r="F1685">
        <v>4387</v>
      </c>
    </row>
    <row r="1686" spans="1:6" x14ac:dyDescent="0.25">
      <c r="A1686">
        <v>7820</v>
      </c>
      <c r="B1686" s="15">
        <v>45296</v>
      </c>
      <c r="E1686" s="120" t="s">
        <v>2</v>
      </c>
      <c r="F1686">
        <v>4388</v>
      </c>
    </row>
    <row r="1687" spans="1:6" x14ac:dyDescent="0.25">
      <c r="A1687">
        <v>7820</v>
      </c>
      <c r="B1687" s="15">
        <v>45297</v>
      </c>
      <c r="E1687" s="121" t="s">
        <v>2</v>
      </c>
      <c r="F1687">
        <v>4389</v>
      </c>
    </row>
    <row r="1688" spans="1:6" x14ac:dyDescent="0.25">
      <c r="A1688">
        <v>7820</v>
      </c>
      <c r="B1688" s="15">
        <v>45298</v>
      </c>
      <c r="E1688" s="157"/>
      <c r="F1688">
        <v>4390</v>
      </c>
    </row>
    <row r="1689" spans="1:6" x14ac:dyDescent="0.25">
      <c r="A1689">
        <v>7820</v>
      </c>
      <c r="B1689" s="15">
        <v>45299</v>
      </c>
      <c r="E1689" s="160" t="s">
        <v>265</v>
      </c>
      <c r="F1689">
        <v>4391</v>
      </c>
    </row>
    <row r="1690" spans="1:6" x14ac:dyDescent="0.25">
      <c r="A1690">
        <v>7820</v>
      </c>
      <c r="B1690" s="15">
        <v>45300</v>
      </c>
      <c r="E1690" s="197" t="s">
        <v>267</v>
      </c>
      <c r="F1690">
        <v>4392</v>
      </c>
    </row>
    <row r="1691" spans="1:6" x14ac:dyDescent="0.25">
      <c r="A1691">
        <v>7820</v>
      </c>
      <c r="B1691" s="15">
        <v>45301</v>
      </c>
      <c r="E1691" s="160" t="s">
        <v>264</v>
      </c>
      <c r="F1691">
        <v>4393</v>
      </c>
    </row>
    <row r="1692" spans="1:6" x14ac:dyDescent="0.25">
      <c r="A1692">
        <v>7820</v>
      </c>
      <c r="B1692" s="15">
        <v>45302</v>
      </c>
      <c r="E1692" s="160" t="s">
        <v>267</v>
      </c>
      <c r="F1692">
        <v>4394</v>
      </c>
    </row>
    <row r="1693" spans="1:6" x14ac:dyDescent="0.25">
      <c r="A1693">
        <v>7820</v>
      </c>
      <c r="B1693" s="15">
        <v>45303</v>
      </c>
      <c r="E1693" s="197" t="s">
        <v>267</v>
      </c>
      <c r="F1693">
        <v>4395</v>
      </c>
    </row>
    <row r="1694" spans="1:6" x14ac:dyDescent="0.25">
      <c r="A1694">
        <v>7820</v>
      </c>
      <c r="B1694" s="15">
        <v>45304</v>
      </c>
      <c r="E1694" s="157"/>
      <c r="F1694">
        <v>4396</v>
      </c>
    </row>
    <row r="1695" spans="1:6" x14ac:dyDescent="0.25">
      <c r="A1695">
        <v>7820</v>
      </c>
      <c r="B1695" s="15">
        <v>45305</v>
      </c>
      <c r="E1695" s="157"/>
      <c r="F1695">
        <v>4397</v>
      </c>
    </row>
    <row r="1696" spans="1:6" x14ac:dyDescent="0.25">
      <c r="A1696">
        <v>7820</v>
      </c>
      <c r="B1696" s="15">
        <v>45306</v>
      </c>
      <c r="E1696" s="160" t="s">
        <v>267</v>
      </c>
      <c r="F1696">
        <v>4398</v>
      </c>
    </row>
    <row r="1697" spans="1:6" x14ac:dyDescent="0.25">
      <c r="A1697">
        <v>7820</v>
      </c>
      <c r="B1697" s="15">
        <v>45307</v>
      </c>
      <c r="E1697" s="197" t="s">
        <v>264</v>
      </c>
      <c r="F1697">
        <v>4399</v>
      </c>
    </row>
    <row r="1698" spans="1:6" x14ac:dyDescent="0.25">
      <c r="A1698">
        <v>7820</v>
      </c>
      <c r="B1698" s="15">
        <v>45308</v>
      </c>
      <c r="E1698" s="158"/>
      <c r="F1698">
        <v>4400</v>
      </c>
    </row>
    <row r="1699" spans="1:6" x14ac:dyDescent="0.25">
      <c r="A1699">
        <v>7820</v>
      </c>
      <c r="B1699" s="15">
        <v>45309</v>
      </c>
      <c r="E1699" s="160" t="s">
        <v>264</v>
      </c>
      <c r="F1699">
        <v>4401</v>
      </c>
    </row>
    <row r="1700" spans="1:6" x14ac:dyDescent="0.25">
      <c r="A1700">
        <v>7820</v>
      </c>
      <c r="B1700" s="15">
        <v>45310</v>
      </c>
      <c r="E1700" s="197" t="s">
        <v>267</v>
      </c>
      <c r="F1700">
        <v>4402</v>
      </c>
    </row>
    <row r="1701" spans="1:6" x14ac:dyDescent="0.25">
      <c r="A1701">
        <v>7820</v>
      </c>
      <c r="B1701" s="15">
        <v>45311</v>
      </c>
      <c r="E1701" s="160" t="s">
        <v>175</v>
      </c>
      <c r="F1701">
        <v>4403</v>
      </c>
    </row>
    <row r="1702" spans="1:6" x14ac:dyDescent="0.25">
      <c r="A1702">
        <v>7820</v>
      </c>
      <c r="B1702" s="15">
        <v>45312</v>
      </c>
      <c r="E1702" s="157"/>
      <c r="F1702">
        <v>4404</v>
      </c>
    </row>
    <row r="1703" spans="1:6" x14ac:dyDescent="0.25">
      <c r="A1703">
        <v>7820</v>
      </c>
      <c r="B1703" s="15">
        <v>45313</v>
      </c>
      <c r="E1703" s="160" t="s">
        <v>265</v>
      </c>
      <c r="F1703">
        <v>4405</v>
      </c>
    </row>
    <row r="1704" spans="1:6" x14ac:dyDescent="0.25">
      <c r="A1704">
        <v>7820</v>
      </c>
      <c r="B1704" s="15">
        <v>45314</v>
      </c>
      <c r="E1704" s="197" t="s">
        <v>267</v>
      </c>
      <c r="F1704">
        <v>4406</v>
      </c>
    </row>
    <row r="1705" spans="1:6" x14ac:dyDescent="0.25">
      <c r="A1705">
        <v>7820</v>
      </c>
      <c r="B1705" s="15">
        <v>45315</v>
      </c>
      <c r="E1705" s="160" t="s">
        <v>264</v>
      </c>
      <c r="F1705">
        <v>4407</v>
      </c>
    </row>
    <row r="1706" spans="1:6" x14ac:dyDescent="0.25">
      <c r="A1706">
        <v>7820</v>
      </c>
      <c r="B1706" s="15">
        <v>45316</v>
      </c>
      <c r="E1706" s="159" t="s">
        <v>267</v>
      </c>
      <c r="F1706">
        <v>4408</v>
      </c>
    </row>
    <row r="1707" spans="1:6" x14ac:dyDescent="0.25">
      <c r="A1707">
        <v>7820</v>
      </c>
      <c r="B1707" s="15">
        <v>45317</v>
      </c>
      <c r="E1707" s="197" t="s">
        <v>267</v>
      </c>
      <c r="F1707">
        <v>4409</v>
      </c>
    </row>
    <row r="1708" spans="1:6" x14ac:dyDescent="0.25">
      <c r="A1708">
        <v>7820</v>
      </c>
      <c r="B1708" s="15">
        <v>45318</v>
      </c>
      <c r="E1708" s="157"/>
      <c r="F1708">
        <v>4410</v>
      </c>
    </row>
    <row r="1709" spans="1:6" x14ac:dyDescent="0.25">
      <c r="A1709">
        <v>7820</v>
      </c>
      <c r="B1709" s="15">
        <v>45319</v>
      </c>
      <c r="E1709" s="157"/>
      <c r="F1709">
        <v>4411</v>
      </c>
    </row>
    <row r="1710" spans="1:6" x14ac:dyDescent="0.25">
      <c r="A1710">
        <v>7820</v>
      </c>
      <c r="B1710" s="15">
        <v>45320</v>
      </c>
      <c r="E1710" s="160" t="s">
        <v>267</v>
      </c>
      <c r="F1710">
        <v>4412</v>
      </c>
    </row>
    <row r="1711" spans="1:6" x14ac:dyDescent="0.25">
      <c r="A1711">
        <v>7820</v>
      </c>
      <c r="B1711" s="15">
        <v>45321</v>
      </c>
      <c r="E1711" s="197" t="s">
        <v>264</v>
      </c>
      <c r="F1711">
        <v>4413</v>
      </c>
    </row>
    <row r="1712" spans="1:6" x14ac:dyDescent="0.25">
      <c r="A1712">
        <v>7820</v>
      </c>
      <c r="B1712" s="15">
        <v>45322</v>
      </c>
      <c r="E1712" s="158"/>
      <c r="F1712">
        <v>4414</v>
      </c>
    </row>
    <row r="1713" spans="1:6" x14ac:dyDescent="0.25">
      <c r="A1713">
        <v>7820</v>
      </c>
      <c r="B1713" s="15">
        <v>45323</v>
      </c>
      <c r="E1713" s="160" t="s">
        <v>264</v>
      </c>
      <c r="F1713">
        <v>4415</v>
      </c>
    </row>
    <row r="1714" spans="1:6" x14ac:dyDescent="0.25">
      <c r="A1714">
        <v>7820</v>
      </c>
      <c r="B1714" s="15">
        <v>45324</v>
      </c>
      <c r="E1714" s="197" t="s">
        <v>267</v>
      </c>
      <c r="F1714">
        <v>4416</v>
      </c>
    </row>
    <row r="1715" spans="1:6" x14ac:dyDescent="0.25">
      <c r="A1715">
        <v>7820</v>
      </c>
      <c r="B1715" s="15">
        <v>45325</v>
      </c>
      <c r="E1715" s="160" t="s">
        <v>175</v>
      </c>
      <c r="F1715">
        <v>4417</v>
      </c>
    </row>
    <row r="1716" spans="1:6" x14ac:dyDescent="0.25">
      <c r="A1716">
        <v>7820</v>
      </c>
      <c r="B1716" s="15">
        <v>45326</v>
      </c>
      <c r="E1716" s="157"/>
      <c r="F1716">
        <v>4418</v>
      </c>
    </row>
    <row r="1717" spans="1:6" x14ac:dyDescent="0.25">
      <c r="A1717">
        <v>7820</v>
      </c>
      <c r="B1717" s="15">
        <v>45327</v>
      </c>
      <c r="E1717" s="160" t="s">
        <v>265</v>
      </c>
      <c r="F1717">
        <v>5217</v>
      </c>
    </row>
    <row r="1718" spans="1:6" x14ac:dyDescent="0.25">
      <c r="A1718">
        <v>7820</v>
      </c>
      <c r="B1718" s="15">
        <v>45328</v>
      </c>
      <c r="E1718" s="197" t="s">
        <v>267</v>
      </c>
      <c r="F1718">
        <v>5218</v>
      </c>
    </row>
    <row r="1719" spans="1:6" x14ac:dyDescent="0.25">
      <c r="A1719">
        <v>7820</v>
      </c>
      <c r="B1719" s="15">
        <v>45329</v>
      </c>
      <c r="E1719" s="160" t="s">
        <v>264</v>
      </c>
      <c r="F1719">
        <v>5219</v>
      </c>
    </row>
    <row r="1720" spans="1:6" x14ac:dyDescent="0.25">
      <c r="A1720">
        <v>7820</v>
      </c>
      <c r="B1720" s="15">
        <v>45330</v>
      </c>
      <c r="E1720" s="160" t="s">
        <v>267</v>
      </c>
      <c r="F1720">
        <v>5220</v>
      </c>
    </row>
    <row r="1721" spans="1:6" x14ac:dyDescent="0.25">
      <c r="A1721">
        <v>7820</v>
      </c>
      <c r="B1721" s="15">
        <v>45331</v>
      </c>
      <c r="E1721" s="197" t="s">
        <v>175</v>
      </c>
      <c r="F1721">
        <v>5221</v>
      </c>
    </row>
    <row r="1722" spans="1:6" x14ac:dyDescent="0.25">
      <c r="A1722">
        <v>7820</v>
      </c>
      <c r="B1722" s="15">
        <v>45332</v>
      </c>
      <c r="E1722" s="157"/>
      <c r="F1722">
        <v>5222</v>
      </c>
    </row>
    <row r="1723" spans="1:6" x14ac:dyDescent="0.25">
      <c r="A1723">
        <v>7820</v>
      </c>
      <c r="B1723" s="15">
        <v>45333</v>
      </c>
      <c r="E1723" s="157"/>
      <c r="F1723">
        <v>5223</v>
      </c>
    </row>
    <row r="1724" spans="1:6" x14ac:dyDescent="0.25">
      <c r="A1724">
        <v>7820</v>
      </c>
      <c r="B1724" s="15">
        <v>45334</v>
      </c>
      <c r="E1724" s="160" t="s">
        <v>267</v>
      </c>
      <c r="F1724">
        <v>5224</v>
      </c>
    </row>
    <row r="1725" spans="1:6" x14ac:dyDescent="0.25">
      <c r="A1725">
        <v>7820</v>
      </c>
      <c r="B1725" s="15">
        <v>45335</v>
      </c>
      <c r="E1725" s="197" t="s">
        <v>264</v>
      </c>
      <c r="F1725">
        <v>5225</v>
      </c>
    </row>
    <row r="1726" spans="1:6" x14ac:dyDescent="0.25">
      <c r="A1726">
        <v>7820</v>
      </c>
      <c r="B1726" s="15">
        <v>45336</v>
      </c>
      <c r="E1726" s="158"/>
      <c r="F1726">
        <v>5226</v>
      </c>
    </row>
    <row r="1727" spans="1:6" x14ac:dyDescent="0.25">
      <c r="A1727">
        <v>7820</v>
      </c>
      <c r="B1727" s="15">
        <v>45337</v>
      </c>
      <c r="E1727" s="160" t="s">
        <v>264</v>
      </c>
      <c r="F1727">
        <v>5227</v>
      </c>
    </row>
    <row r="1728" spans="1:6" x14ac:dyDescent="0.25">
      <c r="A1728">
        <v>7820</v>
      </c>
      <c r="B1728" s="15">
        <v>45338</v>
      </c>
      <c r="E1728" s="197" t="s">
        <v>267</v>
      </c>
      <c r="F1728">
        <v>5228</v>
      </c>
    </row>
    <row r="1729" spans="1:6" x14ac:dyDescent="0.25">
      <c r="A1729">
        <v>7820</v>
      </c>
      <c r="B1729" s="15">
        <v>45339</v>
      </c>
      <c r="E1729" s="160" t="s">
        <v>175</v>
      </c>
      <c r="F1729">
        <v>5229</v>
      </c>
    </row>
    <row r="1730" spans="1:6" x14ac:dyDescent="0.25">
      <c r="A1730">
        <v>7820</v>
      </c>
      <c r="B1730" s="15">
        <v>45340</v>
      </c>
      <c r="E1730" s="157"/>
      <c r="F1730">
        <v>5230</v>
      </c>
    </row>
    <row r="1731" spans="1:6" x14ac:dyDescent="0.25">
      <c r="A1731">
        <v>7820</v>
      </c>
      <c r="B1731" s="15">
        <v>45341</v>
      </c>
      <c r="E1731" s="160" t="s">
        <v>265</v>
      </c>
      <c r="F1731">
        <v>5231</v>
      </c>
    </row>
    <row r="1732" spans="1:6" x14ac:dyDescent="0.25">
      <c r="A1732">
        <v>7820</v>
      </c>
      <c r="B1732" s="15">
        <v>45342</v>
      </c>
      <c r="E1732" s="197" t="s">
        <v>267</v>
      </c>
      <c r="F1732">
        <v>5232</v>
      </c>
    </row>
    <row r="1733" spans="1:6" x14ac:dyDescent="0.25">
      <c r="A1733">
        <v>7820</v>
      </c>
      <c r="B1733" s="15">
        <v>45343</v>
      </c>
      <c r="E1733" s="160" t="s">
        <v>264</v>
      </c>
      <c r="F1733">
        <v>5233</v>
      </c>
    </row>
    <row r="1734" spans="1:6" x14ac:dyDescent="0.25">
      <c r="A1734">
        <v>7820</v>
      </c>
      <c r="B1734" s="15">
        <v>45344</v>
      </c>
      <c r="E1734" s="160" t="s">
        <v>267</v>
      </c>
      <c r="F1734">
        <v>5234</v>
      </c>
    </row>
    <row r="1735" spans="1:6" x14ac:dyDescent="0.25">
      <c r="A1735">
        <v>7820</v>
      </c>
      <c r="B1735" s="15">
        <v>45345</v>
      </c>
      <c r="E1735" s="197" t="s">
        <v>267</v>
      </c>
      <c r="F1735">
        <v>5235</v>
      </c>
    </row>
    <row r="1736" spans="1:6" x14ac:dyDescent="0.25">
      <c r="A1736">
        <v>7820</v>
      </c>
      <c r="B1736" s="15">
        <v>45346</v>
      </c>
      <c r="E1736" s="157"/>
      <c r="F1736">
        <v>5236</v>
      </c>
    </row>
    <row r="1737" spans="1:6" x14ac:dyDescent="0.25">
      <c r="A1737">
        <v>7820</v>
      </c>
      <c r="B1737" s="15">
        <v>45347</v>
      </c>
      <c r="E1737" s="157"/>
      <c r="F1737">
        <v>5237</v>
      </c>
    </row>
    <row r="1738" spans="1:6" x14ac:dyDescent="0.25">
      <c r="A1738">
        <v>7820</v>
      </c>
      <c r="B1738" s="15">
        <v>45348</v>
      </c>
      <c r="E1738" s="160" t="s">
        <v>267</v>
      </c>
      <c r="F1738">
        <v>5238</v>
      </c>
    </row>
    <row r="1739" spans="1:6" x14ac:dyDescent="0.25">
      <c r="A1739">
        <v>7820</v>
      </c>
      <c r="B1739" s="15">
        <v>45349</v>
      </c>
      <c r="E1739" s="197" t="s">
        <v>264</v>
      </c>
      <c r="F1739">
        <v>5239</v>
      </c>
    </row>
    <row r="1740" spans="1:6" x14ac:dyDescent="0.25">
      <c r="A1740">
        <v>7820</v>
      </c>
      <c r="B1740" s="15">
        <v>45350</v>
      </c>
      <c r="E1740" s="158"/>
      <c r="F1740">
        <v>5240</v>
      </c>
    </row>
    <row r="1741" spans="1:6" x14ac:dyDescent="0.25">
      <c r="A1741">
        <v>7820</v>
      </c>
      <c r="B1741" s="15">
        <v>45351</v>
      </c>
      <c r="E1741" s="160" t="s">
        <v>264</v>
      </c>
      <c r="F1741">
        <v>5241</v>
      </c>
    </row>
    <row r="1742" spans="1:6" x14ac:dyDescent="0.25">
      <c r="A1742">
        <v>7820</v>
      </c>
      <c r="B1742" s="15">
        <v>45352</v>
      </c>
      <c r="E1742" s="197" t="s">
        <v>267</v>
      </c>
      <c r="F1742">
        <v>5242</v>
      </c>
    </row>
    <row r="1743" spans="1:6" x14ac:dyDescent="0.25">
      <c r="A1743">
        <v>7820</v>
      </c>
      <c r="B1743" s="15">
        <v>45353</v>
      </c>
      <c r="E1743" s="160" t="s">
        <v>175</v>
      </c>
      <c r="F1743">
        <v>5243</v>
      </c>
    </row>
    <row r="1744" spans="1:6" x14ac:dyDescent="0.25">
      <c r="A1744">
        <v>7820</v>
      </c>
      <c r="B1744" s="15">
        <v>45354</v>
      </c>
      <c r="E1744" s="157"/>
      <c r="F1744">
        <v>5244</v>
      </c>
    </row>
    <row r="1745" spans="1:6" x14ac:dyDescent="0.25">
      <c r="A1745">
        <v>7820</v>
      </c>
      <c r="B1745" s="15">
        <v>45355</v>
      </c>
      <c r="E1745" s="125" t="s">
        <v>2</v>
      </c>
      <c r="F1745">
        <v>5917</v>
      </c>
    </row>
    <row r="1746" spans="1:6" x14ac:dyDescent="0.25">
      <c r="A1746">
        <v>7820</v>
      </c>
      <c r="B1746" s="15">
        <v>45356</v>
      </c>
      <c r="E1746" s="120" t="s">
        <v>2</v>
      </c>
      <c r="F1746">
        <v>5918</v>
      </c>
    </row>
    <row r="1747" spans="1:6" x14ac:dyDescent="0.25">
      <c r="A1747">
        <v>7820</v>
      </c>
      <c r="B1747" s="15">
        <v>45357</v>
      </c>
      <c r="E1747" s="125" t="s">
        <v>2</v>
      </c>
      <c r="F1747">
        <v>5919</v>
      </c>
    </row>
    <row r="1748" spans="1:6" x14ac:dyDescent="0.25">
      <c r="A1748">
        <v>7820</v>
      </c>
      <c r="B1748" s="15">
        <v>45358</v>
      </c>
      <c r="E1748" s="120" t="s">
        <v>2</v>
      </c>
      <c r="F1748">
        <v>5920</v>
      </c>
    </row>
    <row r="1749" spans="1:6" x14ac:dyDescent="0.25">
      <c r="A1749">
        <v>7820</v>
      </c>
      <c r="B1749" s="15">
        <v>45359</v>
      </c>
      <c r="E1749" s="120" t="s">
        <v>2</v>
      </c>
      <c r="F1749">
        <v>5921</v>
      </c>
    </row>
    <row r="1750" spans="1:6" x14ac:dyDescent="0.25">
      <c r="A1750">
        <v>7820</v>
      </c>
      <c r="B1750" s="15">
        <v>45360</v>
      </c>
      <c r="E1750" s="157"/>
      <c r="F1750">
        <v>5922</v>
      </c>
    </row>
    <row r="1751" spans="1:6" x14ac:dyDescent="0.25">
      <c r="A1751">
        <v>7820</v>
      </c>
      <c r="B1751" s="15">
        <v>45361</v>
      </c>
      <c r="E1751" s="157"/>
      <c r="F1751">
        <v>5923</v>
      </c>
    </row>
    <row r="1752" spans="1:6" x14ac:dyDescent="0.25">
      <c r="A1752">
        <v>7820</v>
      </c>
      <c r="B1752" s="15">
        <v>45362</v>
      </c>
      <c r="E1752" s="160" t="s">
        <v>267</v>
      </c>
      <c r="F1752">
        <v>5924</v>
      </c>
    </row>
    <row r="1753" spans="1:6" x14ac:dyDescent="0.25">
      <c r="A1753">
        <v>7820</v>
      </c>
      <c r="B1753" s="15">
        <v>45363</v>
      </c>
      <c r="E1753" s="197" t="s">
        <v>264</v>
      </c>
      <c r="F1753">
        <v>5925</v>
      </c>
    </row>
    <row r="1754" spans="1:6" x14ac:dyDescent="0.25">
      <c r="A1754">
        <v>7820</v>
      </c>
      <c r="B1754" s="15">
        <v>45364</v>
      </c>
      <c r="E1754" s="158"/>
      <c r="F1754">
        <v>5926</v>
      </c>
    </row>
    <row r="1755" spans="1:6" x14ac:dyDescent="0.25">
      <c r="A1755">
        <v>7820</v>
      </c>
      <c r="B1755" s="15">
        <v>45365</v>
      </c>
      <c r="E1755" s="160" t="s">
        <v>264</v>
      </c>
      <c r="F1755">
        <v>5927</v>
      </c>
    </row>
    <row r="1756" spans="1:6" x14ac:dyDescent="0.25">
      <c r="A1756">
        <v>7820</v>
      </c>
      <c r="B1756" s="15">
        <v>45366</v>
      </c>
      <c r="E1756" s="197" t="s">
        <v>267</v>
      </c>
      <c r="F1756">
        <v>5928</v>
      </c>
    </row>
    <row r="1757" spans="1:6" x14ac:dyDescent="0.25">
      <c r="A1757">
        <v>7820</v>
      </c>
      <c r="B1757" s="15">
        <v>45367</v>
      </c>
      <c r="E1757" s="160" t="s">
        <v>175</v>
      </c>
      <c r="F1757">
        <v>5929</v>
      </c>
    </row>
    <row r="1758" spans="1:6" x14ac:dyDescent="0.25">
      <c r="A1758">
        <v>7820</v>
      </c>
      <c r="B1758" s="15">
        <v>45368</v>
      </c>
      <c r="E1758" s="157"/>
      <c r="F1758">
        <v>5930</v>
      </c>
    </row>
    <row r="1759" spans="1:6" x14ac:dyDescent="0.25">
      <c r="A1759">
        <v>7820</v>
      </c>
      <c r="B1759" s="15">
        <v>45369</v>
      </c>
      <c r="E1759" s="160" t="s">
        <v>265</v>
      </c>
      <c r="F1759">
        <v>5931</v>
      </c>
    </row>
    <row r="1760" spans="1:6" x14ac:dyDescent="0.25">
      <c r="A1760">
        <v>7820</v>
      </c>
      <c r="B1760" s="15">
        <v>45370</v>
      </c>
      <c r="E1760" s="197" t="s">
        <v>267</v>
      </c>
      <c r="F1760">
        <v>5932</v>
      </c>
    </row>
    <row r="1761" spans="1:6" x14ac:dyDescent="0.25">
      <c r="A1761">
        <v>7820</v>
      </c>
      <c r="B1761" s="15">
        <v>45371</v>
      </c>
      <c r="E1761" s="160" t="s">
        <v>264</v>
      </c>
      <c r="F1761">
        <v>5933</v>
      </c>
    </row>
    <row r="1762" spans="1:6" x14ac:dyDescent="0.25">
      <c r="A1762">
        <v>7820</v>
      </c>
      <c r="B1762" s="15">
        <v>45372</v>
      </c>
      <c r="E1762" s="160" t="s">
        <v>267</v>
      </c>
      <c r="F1762">
        <v>5934</v>
      </c>
    </row>
    <row r="1763" spans="1:6" x14ac:dyDescent="0.25">
      <c r="A1763">
        <v>7820</v>
      </c>
      <c r="B1763" s="15">
        <v>45373</v>
      </c>
      <c r="E1763" s="197" t="s">
        <v>267</v>
      </c>
      <c r="F1763">
        <v>5935</v>
      </c>
    </row>
    <row r="1764" spans="1:6" x14ac:dyDescent="0.25">
      <c r="A1764">
        <v>7820</v>
      </c>
      <c r="B1764" s="15">
        <v>45374</v>
      </c>
      <c r="E1764" s="157"/>
      <c r="F1764">
        <v>5936</v>
      </c>
    </row>
    <row r="1765" spans="1:6" x14ac:dyDescent="0.25">
      <c r="A1765">
        <v>7820</v>
      </c>
      <c r="B1765" s="15">
        <v>45375</v>
      </c>
      <c r="E1765" s="157"/>
      <c r="F1765">
        <v>5937</v>
      </c>
    </row>
    <row r="1766" spans="1:6" x14ac:dyDescent="0.25">
      <c r="A1766">
        <v>7820</v>
      </c>
      <c r="B1766" s="15">
        <v>45376</v>
      </c>
      <c r="E1766" s="120" t="s">
        <v>2</v>
      </c>
      <c r="F1766">
        <v>5938</v>
      </c>
    </row>
    <row r="1767" spans="1:6" x14ac:dyDescent="0.25">
      <c r="A1767">
        <v>7820</v>
      </c>
      <c r="B1767" s="15">
        <v>45377</v>
      </c>
      <c r="E1767" s="117" t="s">
        <v>2</v>
      </c>
      <c r="F1767">
        <v>5939</v>
      </c>
    </row>
    <row r="1768" spans="1:6" x14ac:dyDescent="0.25">
      <c r="A1768">
        <v>7820</v>
      </c>
      <c r="B1768" s="15">
        <v>45378</v>
      </c>
      <c r="E1768" s="158"/>
      <c r="F1768">
        <v>5940</v>
      </c>
    </row>
    <row r="1769" spans="1:6" x14ac:dyDescent="0.25">
      <c r="A1769">
        <v>7820</v>
      </c>
      <c r="B1769" s="15">
        <v>45379</v>
      </c>
      <c r="E1769" s="117" t="s">
        <v>2</v>
      </c>
      <c r="F1769">
        <v>5941</v>
      </c>
    </row>
    <row r="1770" spans="1:6" x14ac:dyDescent="0.25">
      <c r="A1770">
        <v>7820</v>
      </c>
      <c r="B1770" s="15">
        <v>45380</v>
      </c>
      <c r="E1770" s="120" t="s">
        <v>2</v>
      </c>
      <c r="F1770">
        <v>5942</v>
      </c>
    </row>
    <row r="1771" spans="1:6" x14ac:dyDescent="0.25">
      <c r="A1771">
        <v>7820</v>
      </c>
      <c r="B1771" s="15">
        <v>45381</v>
      </c>
      <c r="E1771" s="121" t="s">
        <v>2</v>
      </c>
      <c r="F1771">
        <v>5943</v>
      </c>
    </row>
    <row r="1772" spans="1:6" x14ac:dyDescent="0.25">
      <c r="A1772">
        <v>7820</v>
      </c>
      <c r="B1772" s="15">
        <v>45382</v>
      </c>
      <c r="E1772" s="157"/>
      <c r="F1772">
        <v>5944</v>
      </c>
    </row>
    <row r="1773" spans="1:6" x14ac:dyDescent="0.25">
      <c r="A1773">
        <v>7820</v>
      </c>
      <c r="B1773" s="15">
        <v>45383</v>
      </c>
      <c r="E1773" s="119"/>
      <c r="F1773">
        <v>6659</v>
      </c>
    </row>
    <row r="1774" spans="1:6" x14ac:dyDescent="0.25">
      <c r="A1774">
        <v>7820</v>
      </c>
      <c r="B1774" s="15">
        <v>45384</v>
      </c>
      <c r="E1774" s="120" t="s">
        <v>2</v>
      </c>
      <c r="F1774">
        <v>6660</v>
      </c>
    </row>
    <row r="1775" spans="1:6" x14ac:dyDescent="0.25">
      <c r="A1775">
        <v>7820</v>
      </c>
      <c r="B1775" s="15">
        <v>45385</v>
      </c>
      <c r="E1775" s="117" t="s">
        <v>2</v>
      </c>
      <c r="F1775">
        <v>6661</v>
      </c>
    </row>
    <row r="1776" spans="1:6" x14ac:dyDescent="0.25">
      <c r="A1776">
        <v>7820</v>
      </c>
      <c r="B1776" s="15">
        <v>45386</v>
      </c>
      <c r="E1776" s="120" t="s">
        <v>2</v>
      </c>
      <c r="F1776">
        <v>6662</v>
      </c>
    </row>
    <row r="1777" spans="1:6" x14ac:dyDescent="0.25">
      <c r="A1777">
        <v>7820</v>
      </c>
      <c r="B1777" s="15">
        <v>45387</v>
      </c>
      <c r="E1777" s="120" t="s">
        <v>2</v>
      </c>
      <c r="F1777">
        <v>6663</v>
      </c>
    </row>
    <row r="1778" spans="1:6" x14ac:dyDescent="0.25">
      <c r="A1778">
        <v>7820</v>
      </c>
      <c r="B1778" s="15">
        <v>45388</v>
      </c>
      <c r="E1778" s="157"/>
      <c r="F1778">
        <v>6664</v>
      </c>
    </row>
    <row r="1779" spans="1:6" x14ac:dyDescent="0.25">
      <c r="A1779">
        <v>7820</v>
      </c>
      <c r="B1779" s="15">
        <v>45389</v>
      </c>
      <c r="E1779" s="157"/>
      <c r="F1779">
        <v>6665</v>
      </c>
    </row>
    <row r="1780" spans="1:6" x14ac:dyDescent="0.25">
      <c r="A1780">
        <v>7820</v>
      </c>
      <c r="B1780" s="15">
        <v>45390</v>
      </c>
      <c r="E1780" s="160" t="s">
        <v>267</v>
      </c>
      <c r="F1780">
        <v>6666</v>
      </c>
    </row>
    <row r="1781" spans="1:6" x14ac:dyDescent="0.25">
      <c r="A1781">
        <v>7820</v>
      </c>
      <c r="B1781" s="15">
        <v>45391</v>
      </c>
      <c r="E1781" s="197" t="s">
        <v>264</v>
      </c>
      <c r="F1781">
        <v>6667</v>
      </c>
    </row>
    <row r="1782" spans="1:6" x14ac:dyDescent="0.25">
      <c r="A1782">
        <v>7820</v>
      </c>
      <c r="B1782" s="15">
        <v>45392</v>
      </c>
      <c r="E1782" s="158"/>
      <c r="F1782">
        <v>6668</v>
      </c>
    </row>
    <row r="1783" spans="1:6" x14ac:dyDescent="0.25">
      <c r="A1783">
        <v>7820</v>
      </c>
      <c r="B1783" s="15">
        <v>45393</v>
      </c>
      <c r="E1783" s="160" t="s">
        <v>264</v>
      </c>
      <c r="F1783">
        <v>6669</v>
      </c>
    </row>
    <row r="1784" spans="1:6" x14ac:dyDescent="0.25">
      <c r="A1784">
        <v>7820</v>
      </c>
      <c r="B1784" s="15">
        <v>45394</v>
      </c>
      <c r="E1784" s="197" t="s">
        <v>267</v>
      </c>
      <c r="F1784">
        <v>6670</v>
      </c>
    </row>
    <row r="1785" spans="1:6" x14ac:dyDescent="0.25">
      <c r="A1785">
        <v>7820</v>
      </c>
      <c r="B1785" s="15">
        <v>45395</v>
      </c>
      <c r="E1785" s="160" t="s">
        <v>175</v>
      </c>
      <c r="F1785">
        <v>6671</v>
      </c>
    </row>
    <row r="1786" spans="1:6" x14ac:dyDescent="0.25">
      <c r="A1786">
        <v>7820</v>
      </c>
      <c r="B1786" s="15">
        <v>45396</v>
      </c>
      <c r="E1786" s="157"/>
      <c r="F1786">
        <v>6672</v>
      </c>
    </row>
    <row r="1787" spans="1:6" x14ac:dyDescent="0.25">
      <c r="A1787">
        <v>7820</v>
      </c>
      <c r="B1787" s="15">
        <v>45397</v>
      </c>
      <c r="E1787" s="160" t="s">
        <v>265</v>
      </c>
      <c r="F1787">
        <v>6673</v>
      </c>
    </row>
    <row r="1788" spans="1:6" x14ac:dyDescent="0.25">
      <c r="A1788">
        <v>7820</v>
      </c>
      <c r="B1788" s="15">
        <v>45398</v>
      </c>
      <c r="E1788" s="197" t="s">
        <v>267</v>
      </c>
      <c r="F1788">
        <v>6674</v>
      </c>
    </row>
    <row r="1789" spans="1:6" x14ac:dyDescent="0.25">
      <c r="A1789">
        <v>7820</v>
      </c>
      <c r="B1789" s="15">
        <v>45399</v>
      </c>
      <c r="E1789" s="160" t="s">
        <v>264</v>
      </c>
      <c r="F1789">
        <v>6675</v>
      </c>
    </row>
    <row r="1790" spans="1:6" x14ac:dyDescent="0.25">
      <c r="A1790">
        <v>7820</v>
      </c>
      <c r="B1790" s="15">
        <v>45400</v>
      </c>
      <c r="E1790" s="160" t="s">
        <v>267</v>
      </c>
      <c r="F1790">
        <v>6676</v>
      </c>
    </row>
    <row r="1791" spans="1:6" x14ac:dyDescent="0.25">
      <c r="A1791">
        <v>7820</v>
      </c>
      <c r="B1791" s="15">
        <v>45401</v>
      </c>
      <c r="E1791" s="197" t="s">
        <v>267</v>
      </c>
      <c r="F1791">
        <v>6677</v>
      </c>
    </row>
    <row r="1792" spans="1:6" x14ac:dyDescent="0.25">
      <c r="A1792">
        <v>7820</v>
      </c>
      <c r="B1792" s="15">
        <v>45402</v>
      </c>
      <c r="E1792" s="157"/>
      <c r="F1792">
        <v>6678</v>
      </c>
    </row>
    <row r="1793" spans="1:6" x14ac:dyDescent="0.25">
      <c r="A1793">
        <v>7820</v>
      </c>
      <c r="B1793" s="15">
        <v>45403</v>
      </c>
      <c r="E1793" s="157"/>
      <c r="F1793">
        <v>6679</v>
      </c>
    </row>
    <row r="1794" spans="1:6" x14ac:dyDescent="0.25">
      <c r="A1794">
        <v>7820</v>
      </c>
      <c r="B1794" s="15">
        <v>45404</v>
      </c>
      <c r="E1794" s="160" t="s">
        <v>267</v>
      </c>
      <c r="F1794">
        <v>6680</v>
      </c>
    </row>
    <row r="1795" spans="1:6" x14ac:dyDescent="0.25">
      <c r="A1795">
        <v>7820</v>
      </c>
      <c r="B1795" s="15">
        <v>45405</v>
      </c>
      <c r="E1795" s="197" t="s">
        <v>264</v>
      </c>
      <c r="F1795">
        <v>6681</v>
      </c>
    </row>
    <row r="1796" spans="1:6" x14ac:dyDescent="0.25">
      <c r="A1796">
        <v>7820</v>
      </c>
      <c r="B1796" s="15">
        <v>45406</v>
      </c>
      <c r="E1796" s="158"/>
      <c r="F1796">
        <v>6682</v>
      </c>
    </row>
    <row r="1797" spans="1:6" x14ac:dyDescent="0.25">
      <c r="A1797">
        <v>7820</v>
      </c>
      <c r="B1797" s="15">
        <v>45407</v>
      </c>
      <c r="E1797" s="160" t="s">
        <v>264</v>
      </c>
      <c r="F1797">
        <v>6683</v>
      </c>
    </row>
    <row r="1798" spans="1:6" x14ac:dyDescent="0.25">
      <c r="A1798">
        <v>7820</v>
      </c>
      <c r="B1798" s="15">
        <v>45408</v>
      </c>
      <c r="E1798" s="197" t="s">
        <v>267</v>
      </c>
      <c r="F1798">
        <v>6684</v>
      </c>
    </row>
    <row r="1799" spans="1:6" x14ac:dyDescent="0.25">
      <c r="A1799">
        <v>7820</v>
      </c>
      <c r="B1799" s="15">
        <v>45409</v>
      </c>
      <c r="E1799" s="160" t="s">
        <v>175</v>
      </c>
      <c r="F1799">
        <v>6685</v>
      </c>
    </row>
    <row r="1800" spans="1:6" x14ac:dyDescent="0.25">
      <c r="A1800">
        <v>7820</v>
      </c>
      <c r="B1800" s="15">
        <v>45410</v>
      </c>
      <c r="E1800" s="157"/>
      <c r="F1800">
        <v>6686</v>
      </c>
    </row>
    <row r="1801" spans="1:6" x14ac:dyDescent="0.25">
      <c r="A1801">
        <v>7820</v>
      </c>
      <c r="B1801" s="15">
        <v>45411</v>
      </c>
      <c r="E1801" s="160" t="s">
        <v>265</v>
      </c>
      <c r="F1801">
        <v>6687</v>
      </c>
    </row>
    <row r="1802" spans="1:6" x14ac:dyDescent="0.25">
      <c r="A1802">
        <v>7820</v>
      </c>
      <c r="B1802" s="15">
        <v>45412</v>
      </c>
      <c r="E1802" s="197" t="s">
        <v>267</v>
      </c>
      <c r="F1802">
        <v>6688</v>
      </c>
    </row>
    <row r="1803" spans="1:6" x14ac:dyDescent="0.25">
      <c r="A1803">
        <v>7820</v>
      </c>
      <c r="B1803" s="15">
        <v>45413</v>
      </c>
      <c r="E1803" s="158"/>
      <c r="F1803">
        <v>6689</v>
      </c>
    </row>
    <row r="1804" spans="1:6" x14ac:dyDescent="0.25">
      <c r="A1804">
        <v>7820</v>
      </c>
      <c r="B1804" s="15">
        <v>45414</v>
      </c>
      <c r="E1804" s="160" t="s">
        <v>267</v>
      </c>
      <c r="F1804">
        <v>6690</v>
      </c>
    </row>
    <row r="1805" spans="1:6" x14ac:dyDescent="0.25">
      <c r="A1805">
        <v>7820</v>
      </c>
      <c r="B1805" s="15">
        <v>45415</v>
      </c>
      <c r="E1805" s="197" t="s">
        <v>267</v>
      </c>
      <c r="F1805">
        <v>6691</v>
      </c>
    </row>
    <row r="1806" spans="1:6" x14ac:dyDescent="0.25">
      <c r="A1806">
        <v>7820</v>
      </c>
      <c r="B1806" s="15">
        <v>45416</v>
      </c>
      <c r="E1806" s="157"/>
      <c r="F1806">
        <v>6692</v>
      </c>
    </row>
    <row r="1807" spans="1:6" x14ac:dyDescent="0.25">
      <c r="A1807">
        <v>7820</v>
      </c>
      <c r="B1807" s="15">
        <v>45417</v>
      </c>
      <c r="E1807" s="157"/>
      <c r="F1807">
        <v>6693</v>
      </c>
    </row>
    <row r="1808" spans="1:6" x14ac:dyDescent="0.25">
      <c r="A1808">
        <v>7826</v>
      </c>
      <c r="B1808" s="15">
        <v>45264</v>
      </c>
      <c r="E1808" s="120" t="s">
        <v>1</v>
      </c>
      <c r="F1808">
        <v>4006</v>
      </c>
    </row>
    <row r="1809" spans="1:6" x14ac:dyDescent="0.25">
      <c r="A1809">
        <v>7826</v>
      </c>
      <c r="B1809" s="15">
        <v>45265</v>
      </c>
      <c r="E1809" s="158"/>
      <c r="F1809">
        <v>4007</v>
      </c>
    </row>
    <row r="1810" spans="1:6" x14ac:dyDescent="0.25">
      <c r="A1810">
        <v>7826</v>
      </c>
      <c r="B1810" s="15">
        <v>45266</v>
      </c>
      <c r="E1810" s="124" t="s">
        <v>1</v>
      </c>
      <c r="F1810">
        <v>4008</v>
      </c>
    </row>
    <row r="1811" spans="1:6" x14ac:dyDescent="0.25">
      <c r="A1811">
        <v>7826</v>
      </c>
      <c r="B1811" s="15">
        <v>45267</v>
      </c>
      <c r="E1811" s="120" t="s">
        <v>1</v>
      </c>
      <c r="F1811">
        <v>4009</v>
      </c>
    </row>
    <row r="1812" spans="1:6" x14ac:dyDescent="0.25">
      <c r="A1812">
        <v>7826</v>
      </c>
      <c r="B1812" s="15">
        <v>45268</v>
      </c>
      <c r="E1812" s="124" t="s">
        <v>1</v>
      </c>
      <c r="F1812">
        <v>4010</v>
      </c>
    </row>
    <row r="1813" spans="1:6" x14ac:dyDescent="0.25">
      <c r="A1813">
        <v>7826</v>
      </c>
      <c r="B1813" s="15">
        <v>45269</v>
      </c>
      <c r="E1813" s="121" t="s">
        <v>1</v>
      </c>
      <c r="F1813">
        <v>4011</v>
      </c>
    </row>
    <row r="1814" spans="1:6" x14ac:dyDescent="0.25">
      <c r="A1814">
        <v>7826</v>
      </c>
      <c r="B1814" s="15">
        <v>45270</v>
      </c>
      <c r="E1814" s="158"/>
      <c r="F1814">
        <v>4012</v>
      </c>
    </row>
    <row r="1815" spans="1:6" x14ac:dyDescent="0.25">
      <c r="A1815">
        <v>7826</v>
      </c>
      <c r="B1815" s="15">
        <v>45271</v>
      </c>
      <c r="E1815" s="124" t="s">
        <v>1</v>
      </c>
      <c r="F1815">
        <v>4013</v>
      </c>
    </row>
    <row r="1816" spans="1:6" x14ac:dyDescent="0.25">
      <c r="A1816">
        <v>7826</v>
      </c>
      <c r="B1816" s="15">
        <v>45272</v>
      </c>
      <c r="E1816" s="120" t="s">
        <v>1</v>
      </c>
      <c r="F1816">
        <v>4014</v>
      </c>
    </row>
    <row r="1817" spans="1:6" x14ac:dyDescent="0.25">
      <c r="A1817">
        <v>7826</v>
      </c>
      <c r="B1817" s="15">
        <v>45273</v>
      </c>
      <c r="E1817" s="124" t="s">
        <v>1</v>
      </c>
      <c r="F1817">
        <v>4015</v>
      </c>
    </row>
    <row r="1818" spans="1:6" x14ac:dyDescent="0.25">
      <c r="A1818">
        <v>7826</v>
      </c>
      <c r="B1818" s="15">
        <v>45274</v>
      </c>
      <c r="E1818" s="120" t="s">
        <v>1</v>
      </c>
      <c r="F1818">
        <v>4016</v>
      </c>
    </row>
    <row r="1819" spans="1:6" x14ac:dyDescent="0.25">
      <c r="A1819">
        <v>7826</v>
      </c>
      <c r="B1819" s="15">
        <v>45275</v>
      </c>
      <c r="E1819" s="120" t="s">
        <v>1</v>
      </c>
      <c r="F1819">
        <v>4017</v>
      </c>
    </row>
    <row r="1820" spans="1:6" x14ac:dyDescent="0.25">
      <c r="A1820">
        <v>7826</v>
      </c>
      <c r="B1820" s="15">
        <v>45276</v>
      </c>
      <c r="E1820" s="158"/>
      <c r="F1820">
        <v>4018</v>
      </c>
    </row>
    <row r="1821" spans="1:6" x14ac:dyDescent="0.25">
      <c r="A1821">
        <v>7826</v>
      </c>
      <c r="B1821" s="15">
        <v>45277</v>
      </c>
      <c r="E1821" s="158"/>
      <c r="F1821">
        <v>4019</v>
      </c>
    </row>
    <row r="1822" spans="1:6" x14ac:dyDescent="0.25">
      <c r="A1822">
        <v>7826</v>
      </c>
      <c r="B1822" s="15">
        <v>45278</v>
      </c>
      <c r="E1822" s="120" t="s">
        <v>1</v>
      </c>
      <c r="F1822">
        <v>4020</v>
      </c>
    </row>
    <row r="1823" spans="1:6" x14ac:dyDescent="0.25">
      <c r="A1823">
        <v>7826</v>
      </c>
      <c r="B1823" s="15">
        <v>45279</v>
      </c>
      <c r="E1823" s="158"/>
      <c r="F1823">
        <v>4021</v>
      </c>
    </row>
    <row r="1824" spans="1:6" x14ac:dyDescent="0.25">
      <c r="A1824">
        <v>7826</v>
      </c>
      <c r="B1824" s="15">
        <v>45280</v>
      </c>
      <c r="E1824" s="124" t="s">
        <v>1</v>
      </c>
      <c r="F1824">
        <v>4022</v>
      </c>
    </row>
    <row r="1825" spans="1:6" x14ac:dyDescent="0.25">
      <c r="A1825">
        <v>7826</v>
      </c>
      <c r="B1825" s="15">
        <v>45281</v>
      </c>
      <c r="E1825" s="120" t="s">
        <v>1</v>
      </c>
      <c r="F1825">
        <v>4023</v>
      </c>
    </row>
    <row r="1826" spans="1:6" x14ac:dyDescent="0.25">
      <c r="A1826">
        <v>7826</v>
      </c>
      <c r="B1826" s="15">
        <v>45282</v>
      </c>
      <c r="E1826" s="124" t="s">
        <v>1</v>
      </c>
      <c r="F1826">
        <v>4024</v>
      </c>
    </row>
    <row r="1827" spans="1:6" x14ac:dyDescent="0.25">
      <c r="A1827">
        <v>7826</v>
      </c>
      <c r="B1827" s="15">
        <v>45283</v>
      </c>
      <c r="E1827" s="121" t="s">
        <v>1</v>
      </c>
      <c r="F1827">
        <v>4025</v>
      </c>
    </row>
    <row r="1828" spans="1:6" x14ac:dyDescent="0.25">
      <c r="A1828">
        <v>7826</v>
      </c>
      <c r="B1828" s="15">
        <v>45284</v>
      </c>
      <c r="E1828" s="158"/>
      <c r="F1828">
        <v>4026</v>
      </c>
    </row>
    <row r="1829" spans="1:6" x14ac:dyDescent="0.25">
      <c r="A1829">
        <v>7826</v>
      </c>
      <c r="B1829" s="15">
        <v>45285</v>
      </c>
      <c r="E1829" s="155"/>
      <c r="F1829">
        <v>4027</v>
      </c>
    </row>
    <row r="1830" spans="1:6" x14ac:dyDescent="0.25">
      <c r="A1830">
        <v>7826</v>
      </c>
      <c r="B1830" s="15">
        <v>45286</v>
      </c>
      <c r="E1830" s="120" t="s">
        <v>1</v>
      </c>
      <c r="F1830">
        <v>4028</v>
      </c>
    </row>
    <row r="1831" spans="1:6" x14ac:dyDescent="0.25">
      <c r="A1831">
        <v>7826</v>
      </c>
      <c r="B1831" s="15">
        <v>45287</v>
      </c>
      <c r="E1831" s="124" t="s">
        <v>1</v>
      </c>
      <c r="F1831">
        <v>4029</v>
      </c>
    </row>
    <row r="1832" spans="1:6" x14ac:dyDescent="0.25">
      <c r="A1832">
        <v>7826</v>
      </c>
      <c r="B1832" s="15">
        <v>45288</v>
      </c>
      <c r="E1832" s="120" t="s">
        <v>1</v>
      </c>
      <c r="F1832">
        <v>4030</v>
      </c>
    </row>
    <row r="1833" spans="1:6" x14ac:dyDescent="0.25">
      <c r="A1833">
        <v>7826</v>
      </c>
      <c r="B1833" s="15">
        <v>45289</v>
      </c>
      <c r="E1833" s="120" t="s">
        <v>1</v>
      </c>
      <c r="F1833">
        <v>4031</v>
      </c>
    </row>
    <row r="1834" spans="1:6" x14ac:dyDescent="0.25">
      <c r="A1834">
        <v>7826</v>
      </c>
      <c r="B1834" s="15">
        <v>45290</v>
      </c>
      <c r="E1834" s="158"/>
      <c r="F1834">
        <v>4032</v>
      </c>
    </row>
    <row r="1835" spans="1:6" x14ac:dyDescent="0.25">
      <c r="A1835">
        <v>7826</v>
      </c>
      <c r="B1835" s="15">
        <v>45291</v>
      </c>
      <c r="E1835" s="158"/>
      <c r="F1835">
        <v>4033</v>
      </c>
    </row>
    <row r="1836" spans="1:6" x14ac:dyDescent="0.25">
      <c r="A1836">
        <v>7826</v>
      </c>
      <c r="B1836" s="15">
        <v>45292</v>
      </c>
      <c r="E1836" s="119"/>
      <c r="F1836">
        <v>4839</v>
      </c>
    </row>
    <row r="1837" spans="1:6" x14ac:dyDescent="0.25">
      <c r="A1837">
        <v>7826</v>
      </c>
      <c r="B1837" s="15">
        <v>45293</v>
      </c>
      <c r="E1837" s="158"/>
      <c r="F1837">
        <v>4840</v>
      </c>
    </row>
    <row r="1838" spans="1:6" x14ac:dyDescent="0.25">
      <c r="A1838">
        <v>7826</v>
      </c>
      <c r="B1838" s="15">
        <v>45294</v>
      </c>
      <c r="E1838" s="160" t="s">
        <v>264</v>
      </c>
      <c r="F1838">
        <v>4841</v>
      </c>
    </row>
    <row r="1839" spans="1:6" x14ac:dyDescent="0.25">
      <c r="A1839">
        <v>7826</v>
      </c>
      <c r="B1839" s="15">
        <v>45295</v>
      </c>
      <c r="E1839" s="160" t="s">
        <v>267</v>
      </c>
      <c r="F1839">
        <v>4842</v>
      </c>
    </row>
    <row r="1840" spans="1:6" x14ac:dyDescent="0.25">
      <c r="A1840">
        <v>7826</v>
      </c>
      <c r="B1840" s="15">
        <v>45296</v>
      </c>
      <c r="E1840" s="160" t="s">
        <v>264</v>
      </c>
      <c r="F1840">
        <v>4843</v>
      </c>
    </row>
    <row r="1841" spans="1:6" x14ac:dyDescent="0.25">
      <c r="A1841">
        <v>7826</v>
      </c>
      <c r="B1841" s="15">
        <v>45297</v>
      </c>
      <c r="E1841" s="160" t="s">
        <v>175</v>
      </c>
      <c r="F1841">
        <v>4844</v>
      </c>
    </row>
    <row r="1842" spans="1:6" x14ac:dyDescent="0.25">
      <c r="A1842">
        <v>7826</v>
      </c>
      <c r="B1842" s="15">
        <v>45298</v>
      </c>
      <c r="E1842" s="158"/>
      <c r="F1842">
        <v>4845</v>
      </c>
    </row>
    <row r="1843" spans="1:6" x14ac:dyDescent="0.25">
      <c r="A1843">
        <v>7826</v>
      </c>
      <c r="B1843" s="15">
        <v>45299</v>
      </c>
      <c r="E1843" s="160" t="s">
        <v>265</v>
      </c>
      <c r="F1843">
        <v>4846</v>
      </c>
    </row>
    <row r="1844" spans="1:6" x14ac:dyDescent="0.25">
      <c r="A1844">
        <v>7826</v>
      </c>
      <c r="B1844" s="15">
        <v>45300</v>
      </c>
      <c r="E1844" s="160" t="s">
        <v>267</v>
      </c>
      <c r="F1844">
        <v>4847</v>
      </c>
    </row>
    <row r="1845" spans="1:6" x14ac:dyDescent="0.25">
      <c r="A1845">
        <v>7826</v>
      </c>
      <c r="B1845" s="15">
        <v>45301</v>
      </c>
      <c r="E1845" s="160" t="s">
        <v>264</v>
      </c>
      <c r="F1845">
        <v>4848</v>
      </c>
    </row>
    <row r="1846" spans="1:6" x14ac:dyDescent="0.25">
      <c r="A1846">
        <v>7826</v>
      </c>
      <c r="B1846" s="15">
        <v>45302</v>
      </c>
      <c r="E1846" s="160" t="s">
        <v>267</v>
      </c>
      <c r="F1846">
        <v>4849</v>
      </c>
    </row>
    <row r="1847" spans="1:6" x14ac:dyDescent="0.25">
      <c r="A1847">
        <v>7826</v>
      </c>
      <c r="B1847" s="15">
        <v>45303</v>
      </c>
      <c r="E1847" s="160" t="s">
        <v>267</v>
      </c>
      <c r="F1847">
        <v>4850</v>
      </c>
    </row>
    <row r="1848" spans="1:6" x14ac:dyDescent="0.25">
      <c r="A1848">
        <v>7826</v>
      </c>
      <c r="B1848" s="15">
        <v>45304</v>
      </c>
      <c r="E1848" s="158"/>
      <c r="F1848">
        <v>4851</v>
      </c>
    </row>
    <row r="1849" spans="1:6" x14ac:dyDescent="0.25">
      <c r="A1849">
        <v>7826</v>
      </c>
      <c r="B1849" s="15">
        <v>45305</v>
      </c>
      <c r="E1849" s="158"/>
      <c r="F1849">
        <v>4852</v>
      </c>
    </row>
    <row r="1850" spans="1:6" x14ac:dyDescent="0.25">
      <c r="A1850">
        <v>7826</v>
      </c>
      <c r="B1850" s="15">
        <v>45306</v>
      </c>
      <c r="E1850" s="160" t="s">
        <v>267</v>
      </c>
      <c r="F1850">
        <v>4853</v>
      </c>
    </row>
    <row r="1851" spans="1:6" x14ac:dyDescent="0.25">
      <c r="A1851">
        <v>7826</v>
      </c>
      <c r="B1851" s="15">
        <v>45307</v>
      </c>
      <c r="E1851" s="158"/>
      <c r="F1851">
        <v>4854</v>
      </c>
    </row>
    <row r="1852" spans="1:6" x14ac:dyDescent="0.25">
      <c r="A1852">
        <v>7826</v>
      </c>
      <c r="B1852" s="15">
        <v>45308</v>
      </c>
      <c r="E1852" s="160" t="s">
        <v>264</v>
      </c>
      <c r="F1852">
        <v>4855</v>
      </c>
    </row>
    <row r="1853" spans="1:6" x14ac:dyDescent="0.25">
      <c r="A1853">
        <v>7826</v>
      </c>
      <c r="B1853" s="15">
        <v>45309</v>
      </c>
      <c r="E1853" s="160" t="s">
        <v>267</v>
      </c>
      <c r="F1853">
        <v>4856</v>
      </c>
    </row>
    <row r="1854" spans="1:6" x14ac:dyDescent="0.25">
      <c r="A1854">
        <v>7826</v>
      </c>
      <c r="B1854" s="15">
        <v>45310</v>
      </c>
      <c r="E1854" s="160" t="s">
        <v>264</v>
      </c>
      <c r="F1854">
        <v>4857</v>
      </c>
    </row>
    <row r="1855" spans="1:6" x14ac:dyDescent="0.25">
      <c r="A1855">
        <v>7826</v>
      </c>
      <c r="B1855" s="15">
        <v>45311</v>
      </c>
      <c r="E1855" s="160" t="s">
        <v>175</v>
      </c>
      <c r="F1855">
        <v>4858</v>
      </c>
    </row>
    <row r="1856" spans="1:6" x14ac:dyDescent="0.25">
      <c r="A1856">
        <v>7826</v>
      </c>
      <c r="B1856" s="15">
        <v>45312</v>
      </c>
      <c r="E1856" s="158"/>
      <c r="F1856">
        <v>4859</v>
      </c>
    </row>
    <row r="1857" spans="1:6" x14ac:dyDescent="0.25">
      <c r="A1857">
        <v>7826</v>
      </c>
      <c r="B1857" s="15">
        <v>45313</v>
      </c>
      <c r="E1857" s="160" t="s">
        <v>265</v>
      </c>
      <c r="F1857">
        <v>4860</v>
      </c>
    </row>
    <row r="1858" spans="1:6" x14ac:dyDescent="0.25">
      <c r="A1858">
        <v>7826</v>
      </c>
      <c r="B1858" s="15">
        <v>45314</v>
      </c>
      <c r="E1858" s="160" t="s">
        <v>267</v>
      </c>
      <c r="F1858">
        <v>4861</v>
      </c>
    </row>
    <row r="1859" spans="1:6" x14ac:dyDescent="0.25">
      <c r="A1859">
        <v>7826</v>
      </c>
      <c r="B1859" s="15">
        <v>45315</v>
      </c>
      <c r="E1859" s="160" t="s">
        <v>264</v>
      </c>
      <c r="F1859">
        <v>4862</v>
      </c>
    </row>
    <row r="1860" spans="1:6" x14ac:dyDescent="0.25">
      <c r="A1860">
        <v>7826</v>
      </c>
      <c r="B1860" s="15">
        <v>45316</v>
      </c>
      <c r="E1860" s="160" t="s">
        <v>267</v>
      </c>
      <c r="F1860">
        <v>4863</v>
      </c>
    </row>
    <row r="1861" spans="1:6" x14ac:dyDescent="0.25">
      <c r="A1861">
        <v>7826</v>
      </c>
      <c r="B1861" s="15">
        <v>45317</v>
      </c>
      <c r="E1861" s="160" t="s">
        <v>267</v>
      </c>
      <c r="F1861">
        <v>4864</v>
      </c>
    </row>
    <row r="1862" spans="1:6" x14ac:dyDescent="0.25">
      <c r="A1862">
        <v>7826</v>
      </c>
      <c r="B1862" s="15">
        <v>45318</v>
      </c>
      <c r="E1862" s="158"/>
      <c r="F1862">
        <v>4865</v>
      </c>
    </row>
    <row r="1863" spans="1:6" x14ac:dyDescent="0.25">
      <c r="A1863">
        <v>7826</v>
      </c>
      <c r="B1863" s="15">
        <v>45319</v>
      </c>
      <c r="E1863" s="158"/>
      <c r="F1863">
        <v>4866</v>
      </c>
    </row>
    <row r="1864" spans="1:6" x14ac:dyDescent="0.25">
      <c r="A1864">
        <v>7826</v>
      </c>
      <c r="B1864" s="15">
        <v>45320</v>
      </c>
      <c r="E1864" s="160" t="s">
        <v>267</v>
      </c>
      <c r="F1864">
        <v>4867</v>
      </c>
    </row>
    <row r="1865" spans="1:6" x14ac:dyDescent="0.25">
      <c r="A1865">
        <v>7826</v>
      </c>
      <c r="B1865" s="15">
        <v>45321</v>
      </c>
      <c r="E1865" s="158"/>
      <c r="F1865">
        <v>4868</v>
      </c>
    </row>
    <row r="1866" spans="1:6" x14ac:dyDescent="0.25">
      <c r="A1866">
        <v>7826</v>
      </c>
      <c r="B1866" s="15">
        <v>45322</v>
      </c>
      <c r="E1866" s="160" t="s">
        <v>264</v>
      </c>
      <c r="F1866">
        <v>4869</v>
      </c>
    </row>
    <row r="1867" spans="1:6" x14ac:dyDescent="0.25">
      <c r="A1867">
        <v>7826</v>
      </c>
      <c r="B1867" s="15">
        <v>45323</v>
      </c>
      <c r="E1867" s="160" t="s">
        <v>267</v>
      </c>
      <c r="F1867">
        <v>4870</v>
      </c>
    </row>
    <row r="1868" spans="1:6" x14ac:dyDescent="0.25">
      <c r="A1868">
        <v>7826</v>
      </c>
      <c r="B1868" s="15">
        <v>45324</v>
      </c>
      <c r="E1868" s="160" t="s">
        <v>264</v>
      </c>
      <c r="F1868">
        <v>4871</v>
      </c>
    </row>
    <row r="1869" spans="1:6" x14ac:dyDescent="0.25">
      <c r="A1869">
        <v>7826</v>
      </c>
      <c r="B1869" s="15">
        <v>45325</v>
      </c>
      <c r="E1869" s="160" t="s">
        <v>175</v>
      </c>
      <c r="F1869">
        <v>4872</v>
      </c>
    </row>
    <row r="1870" spans="1:6" x14ac:dyDescent="0.25">
      <c r="A1870">
        <v>7826</v>
      </c>
      <c r="B1870" s="15">
        <v>45326</v>
      </c>
      <c r="E1870" s="158"/>
      <c r="F1870">
        <v>4873</v>
      </c>
    </row>
    <row r="1871" spans="1:6" x14ac:dyDescent="0.25">
      <c r="A1871">
        <v>7826</v>
      </c>
      <c r="B1871" s="15">
        <v>45327</v>
      </c>
      <c r="E1871" s="160" t="s">
        <v>265</v>
      </c>
      <c r="F1871">
        <v>5581</v>
      </c>
    </row>
    <row r="1872" spans="1:6" x14ac:dyDescent="0.25">
      <c r="A1872">
        <v>7826</v>
      </c>
      <c r="B1872" s="15">
        <v>45328</v>
      </c>
      <c r="E1872" s="160" t="s">
        <v>267</v>
      </c>
      <c r="F1872">
        <v>5582</v>
      </c>
    </row>
    <row r="1873" spans="1:6" x14ac:dyDescent="0.25">
      <c r="A1873">
        <v>7826</v>
      </c>
      <c r="B1873" s="15">
        <v>45329</v>
      </c>
      <c r="E1873" s="160" t="s">
        <v>264</v>
      </c>
      <c r="F1873">
        <v>5583</v>
      </c>
    </row>
    <row r="1874" spans="1:6" x14ac:dyDescent="0.25">
      <c r="A1874">
        <v>7826</v>
      </c>
      <c r="B1874" s="15">
        <v>45330</v>
      </c>
      <c r="E1874" s="160" t="s">
        <v>267</v>
      </c>
      <c r="F1874">
        <v>5584</v>
      </c>
    </row>
    <row r="1875" spans="1:6" x14ac:dyDescent="0.25">
      <c r="A1875">
        <v>7826</v>
      </c>
      <c r="B1875" s="15">
        <v>45331</v>
      </c>
      <c r="E1875" s="160" t="s">
        <v>267</v>
      </c>
      <c r="F1875">
        <v>5585</v>
      </c>
    </row>
    <row r="1876" spans="1:6" x14ac:dyDescent="0.25">
      <c r="A1876">
        <v>7826</v>
      </c>
      <c r="B1876" s="15">
        <v>45332</v>
      </c>
      <c r="E1876" s="158"/>
      <c r="F1876">
        <v>5586</v>
      </c>
    </row>
    <row r="1877" spans="1:6" x14ac:dyDescent="0.25">
      <c r="A1877">
        <v>7826</v>
      </c>
      <c r="B1877" s="15">
        <v>45333</v>
      </c>
      <c r="E1877" s="158"/>
      <c r="F1877">
        <v>5587</v>
      </c>
    </row>
    <row r="1878" spans="1:6" x14ac:dyDescent="0.25">
      <c r="A1878">
        <v>7826</v>
      </c>
      <c r="B1878" s="15">
        <v>45334</v>
      </c>
      <c r="E1878" s="160" t="s">
        <v>267</v>
      </c>
      <c r="F1878">
        <v>5588</v>
      </c>
    </row>
    <row r="1879" spans="1:6" x14ac:dyDescent="0.25">
      <c r="A1879">
        <v>7826</v>
      </c>
      <c r="B1879" s="15">
        <v>45335</v>
      </c>
      <c r="E1879" s="158"/>
      <c r="F1879">
        <v>5589</v>
      </c>
    </row>
    <row r="1880" spans="1:6" x14ac:dyDescent="0.25">
      <c r="A1880">
        <v>7826</v>
      </c>
      <c r="B1880" s="15">
        <v>45336</v>
      </c>
      <c r="E1880" s="160" t="s">
        <v>264</v>
      </c>
      <c r="F1880">
        <v>5590</v>
      </c>
    </row>
    <row r="1881" spans="1:6" x14ac:dyDescent="0.25">
      <c r="A1881">
        <v>7826</v>
      </c>
      <c r="B1881" s="15">
        <v>45337</v>
      </c>
      <c r="E1881" s="160" t="s">
        <v>267</v>
      </c>
      <c r="F1881">
        <v>5591</v>
      </c>
    </row>
    <row r="1882" spans="1:6" x14ac:dyDescent="0.25">
      <c r="A1882">
        <v>7826</v>
      </c>
      <c r="B1882" s="15">
        <v>45338</v>
      </c>
      <c r="E1882" s="160" t="s">
        <v>264</v>
      </c>
      <c r="F1882">
        <v>5592</v>
      </c>
    </row>
    <row r="1883" spans="1:6" x14ac:dyDescent="0.25">
      <c r="A1883">
        <v>7826</v>
      </c>
      <c r="B1883" s="15">
        <v>45339</v>
      </c>
      <c r="E1883" s="160" t="s">
        <v>175</v>
      </c>
      <c r="F1883">
        <v>5593</v>
      </c>
    </row>
    <row r="1884" spans="1:6" x14ac:dyDescent="0.25">
      <c r="A1884">
        <v>7826</v>
      </c>
      <c r="B1884" s="15">
        <v>45340</v>
      </c>
      <c r="E1884" s="158"/>
      <c r="F1884">
        <v>5594</v>
      </c>
    </row>
    <row r="1885" spans="1:6" x14ac:dyDescent="0.25">
      <c r="A1885">
        <v>7826</v>
      </c>
      <c r="B1885" s="15">
        <v>45341</v>
      </c>
      <c r="E1885" s="160" t="s">
        <v>265</v>
      </c>
      <c r="F1885">
        <v>5595</v>
      </c>
    </row>
    <row r="1886" spans="1:6" x14ac:dyDescent="0.25">
      <c r="A1886">
        <v>7826</v>
      </c>
      <c r="B1886" s="15">
        <v>45342</v>
      </c>
      <c r="E1886" s="160" t="s">
        <v>267</v>
      </c>
      <c r="F1886">
        <v>5596</v>
      </c>
    </row>
    <row r="1887" spans="1:6" x14ac:dyDescent="0.25">
      <c r="A1887">
        <v>7826</v>
      </c>
      <c r="B1887" s="15">
        <v>45343</v>
      </c>
      <c r="E1887" s="160" t="s">
        <v>264</v>
      </c>
      <c r="F1887">
        <v>5597</v>
      </c>
    </row>
    <row r="1888" spans="1:6" x14ac:dyDescent="0.25">
      <c r="A1888">
        <v>7826</v>
      </c>
      <c r="B1888" s="15">
        <v>45344</v>
      </c>
      <c r="E1888" s="160" t="s">
        <v>267</v>
      </c>
      <c r="F1888">
        <v>5598</v>
      </c>
    </row>
    <row r="1889" spans="1:6" x14ac:dyDescent="0.25">
      <c r="A1889">
        <v>7826</v>
      </c>
      <c r="B1889" s="15">
        <v>45345</v>
      </c>
      <c r="E1889" s="160" t="s">
        <v>267</v>
      </c>
      <c r="F1889">
        <v>5599</v>
      </c>
    </row>
    <row r="1890" spans="1:6" x14ac:dyDescent="0.25">
      <c r="A1890">
        <v>7826</v>
      </c>
      <c r="B1890" s="15">
        <v>45346</v>
      </c>
      <c r="E1890" s="158"/>
      <c r="F1890">
        <v>5600</v>
      </c>
    </row>
    <row r="1891" spans="1:6" x14ac:dyDescent="0.25">
      <c r="A1891">
        <v>7826</v>
      </c>
      <c r="B1891" s="15">
        <v>45347</v>
      </c>
      <c r="E1891" s="158"/>
      <c r="F1891">
        <v>5601</v>
      </c>
    </row>
    <row r="1892" spans="1:6" x14ac:dyDescent="0.25">
      <c r="A1892">
        <v>7826</v>
      </c>
      <c r="B1892" s="15">
        <v>45348</v>
      </c>
      <c r="E1892" s="160" t="s">
        <v>267</v>
      </c>
      <c r="F1892">
        <v>5602</v>
      </c>
    </row>
    <row r="1893" spans="1:6" x14ac:dyDescent="0.25">
      <c r="A1893">
        <v>7826</v>
      </c>
      <c r="B1893" s="15">
        <v>45349</v>
      </c>
      <c r="E1893" s="158"/>
      <c r="F1893">
        <v>5603</v>
      </c>
    </row>
    <row r="1894" spans="1:6" x14ac:dyDescent="0.25">
      <c r="A1894">
        <v>7826</v>
      </c>
      <c r="B1894" s="15">
        <v>45350</v>
      </c>
      <c r="E1894" s="160" t="s">
        <v>264</v>
      </c>
      <c r="F1894">
        <v>5604</v>
      </c>
    </row>
    <row r="1895" spans="1:6" x14ac:dyDescent="0.25">
      <c r="A1895">
        <v>7826</v>
      </c>
      <c r="B1895" s="15">
        <v>45351</v>
      </c>
      <c r="E1895" s="160" t="s">
        <v>267</v>
      </c>
      <c r="F1895">
        <v>5605</v>
      </c>
    </row>
    <row r="1896" spans="1:6" x14ac:dyDescent="0.25">
      <c r="A1896">
        <v>7826</v>
      </c>
      <c r="B1896" s="15">
        <v>45352</v>
      </c>
      <c r="E1896" s="160" t="s">
        <v>264</v>
      </c>
      <c r="F1896">
        <v>5606</v>
      </c>
    </row>
    <row r="1897" spans="1:6" x14ac:dyDescent="0.25">
      <c r="A1897">
        <v>7826</v>
      </c>
      <c r="B1897" s="15">
        <v>45353</v>
      </c>
      <c r="E1897" s="160" t="s">
        <v>175</v>
      </c>
      <c r="F1897">
        <v>5607</v>
      </c>
    </row>
    <row r="1898" spans="1:6" x14ac:dyDescent="0.25">
      <c r="A1898">
        <v>7826</v>
      </c>
      <c r="B1898" s="15">
        <v>45354</v>
      </c>
      <c r="E1898" s="158"/>
      <c r="F1898">
        <v>5608</v>
      </c>
    </row>
    <row r="1899" spans="1:6" x14ac:dyDescent="0.25">
      <c r="A1899">
        <v>7826</v>
      </c>
      <c r="B1899" s="15">
        <v>45355</v>
      </c>
      <c r="E1899" s="160" t="s">
        <v>265</v>
      </c>
      <c r="F1899">
        <v>6281</v>
      </c>
    </row>
    <row r="1900" spans="1:6" x14ac:dyDescent="0.25">
      <c r="A1900">
        <v>7826</v>
      </c>
      <c r="B1900" s="15">
        <v>45356</v>
      </c>
      <c r="E1900" s="160" t="s">
        <v>267</v>
      </c>
      <c r="F1900">
        <v>6282</v>
      </c>
    </row>
    <row r="1901" spans="1:6" x14ac:dyDescent="0.25">
      <c r="A1901">
        <v>7826</v>
      </c>
      <c r="B1901" s="15">
        <v>45357</v>
      </c>
      <c r="E1901" s="160" t="s">
        <v>264</v>
      </c>
      <c r="F1901">
        <v>6283</v>
      </c>
    </row>
    <row r="1902" spans="1:6" x14ac:dyDescent="0.25">
      <c r="A1902">
        <v>7826</v>
      </c>
      <c r="B1902" s="15">
        <v>45358</v>
      </c>
      <c r="E1902" s="160" t="s">
        <v>267</v>
      </c>
      <c r="F1902">
        <v>6284</v>
      </c>
    </row>
    <row r="1903" spans="1:6" x14ac:dyDescent="0.25">
      <c r="A1903">
        <v>7826</v>
      </c>
      <c r="B1903" s="15">
        <v>45359</v>
      </c>
      <c r="E1903" s="160" t="s">
        <v>267</v>
      </c>
      <c r="F1903">
        <v>6285</v>
      </c>
    </row>
    <row r="1904" spans="1:6" x14ac:dyDescent="0.25">
      <c r="A1904">
        <v>7826</v>
      </c>
      <c r="B1904" s="15">
        <v>45360</v>
      </c>
      <c r="E1904" s="158"/>
      <c r="F1904">
        <v>6286</v>
      </c>
    </row>
    <row r="1905" spans="1:6" x14ac:dyDescent="0.25">
      <c r="A1905">
        <v>7826</v>
      </c>
      <c r="B1905" s="15">
        <v>45361</v>
      </c>
      <c r="E1905" s="158"/>
      <c r="F1905">
        <v>6287</v>
      </c>
    </row>
    <row r="1906" spans="1:6" x14ac:dyDescent="0.25">
      <c r="A1906">
        <v>7826</v>
      </c>
      <c r="B1906" s="15">
        <v>45362</v>
      </c>
      <c r="E1906" s="160" t="s">
        <v>267</v>
      </c>
      <c r="F1906">
        <v>6288</v>
      </c>
    </row>
    <row r="1907" spans="1:6" x14ac:dyDescent="0.25">
      <c r="A1907">
        <v>7826</v>
      </c>
      <c r="B1907" s="15">
        <v>45363</v>
      </c>
      <c r="E1907" s="158"/>
      <c r="F1907">
        <v>6289</v>
      </c>
    </row>
    <row r="1908" spans="1:6" x14ac:dyDescent="0.25">
      <c r="A1908">
        <v>7826</v>
      </c>
      <c r="B1908" s="15">
        <v>45364</v>
      </c>
      <c r="E1908" s="160" t="s">
        <v>264</v>
      </c>
      <c r="F1908">
        <v>6290</v>
      </c>
    </row>
    <row r="1909" spans="1:6" x14ac:dyDescent="0.25">
      <c r="A1909">
        <v>7826</v>
      </c>
      <c r="B1909" s="15">
        <v>45365</v>
      </c>
      <c r="E1909" s="160" t="s">
        <v>267</v>
      </c>
      <c r="F1909">
        <v>6291</v>
      </c>
    </row>
    <row r="1910" spans="1:6" x14ac:dyDescent="0.25">
      <c r="A1910">
        <v>7826</v>
      </c>
      <c r="B1910" s="15">
        <v>45366</v>
      </c>
      <c r="E1910" s="160" t="s">
        <v>264</v>
      </c>
      <c r="F1910">
        <v>6292</v>
      </c>
    </row>
    <row r="1911" spans="1:6" x14ac:dyDescent="0.25">
      <c r="A1911">
        <v>7826</v>
      </c>
      <c r="B1911" s="15">
        <v>45367</v>
      </c>
      <c r="E1911" s="160" t="s">
        <v>175</v>
      </c>
      <c r="F1911">
        <v>6293</v>
      </c>
    </row>
    <row r="1912" spans="1:6" x14ac:dyDescent="0.25">
      <c r="A1912">
        <v>7826</v>
      </c>
      <c r="B1912" s="15">
        <v>45368</v>
      </c>
      <c r="E1912" s="158"/>
      <c r="F1912">
        <v>6294</v>
      </c>
    </row>
    <row r="1913" spans="1:6" x14ac:dyDescent="0.25">
      <c r="A1913">
        <v>7826</v>
      </c>
      <c r="B1913" s="15">
        <v>45369</v>
      </c>
      <c r="E1913" s="160" t="s">
        <v>265</v>
      </c>
      <c r="F1913">
        <v>6295</v>
      </c>
    </row>
    <row r="1914" spans="1:6" x14ac:dyDescent="0.25">
      <c r="A1914">
        <v>7826</v>
      </c>
      <c r="B1914" s="15">
        <v>45370</v>
      </c>
      <c r="E1914" s="160" t="s">
        <v>267</v>
      </c>
      <c r="F1914">
        <v>6296</v>
      </c>
    </row>
    <row r="1915" spans="1:6" x14ac:dyDescent="0.25">
      <c r="A1915">
        <v>7826</v>
      </c>
      <c r="B1915" s="15">
        <v>45371</v>
      </c>
      <c r="E1915" s="160" t="s">
        <v>264</v>
      </c>
      <c r="F1915">
        <v>6297</v>
      </c>
    </row>
    <row r="1916" spans="1:6" x14ac:dyDescent="0.25">
      <c r="A1916">
        <v>7826</v>
      </c>
      <c r="B1916" s="15">
        <v>45372</v>
      </c>
      <c r="E1916" s="160" t="s">
        <v>267</v>
      </c>
      <c r="F1916">
        <v>6298</v>
      </c>
    </row>
    <row r="1917" spans="1:6" x14ac:dyDescent="0.25">
      <c r="A1917">
        <v>7826</v>
      </c>
      <c r="B1917" s="15">
        <v>45373</v>
      </c>
      <c r="E1917" s="160" t="s">
        <v>267</v>
      </c>
      <c r="F1917">
        <v>6299</v>
      </c>
    </row>
    <row r="1918" spans="1:6" x14ac:dyDescent="0.25">
      <c r="A1918">
        <v>7826</v>
      </c>
      <c r="B1918" s="15">
        <v>45374</v>
      </c>
      <c r="E1918" s="158"/>
      <c r="F1918">
        <v>6300</v>
      </c>
    </row>
    <row r="1919" spans="1:6" x14ac:dyDescent="0.25">
      <c r="A1919">
        <v>7826</v>
      </c>
      <c r="B1919" s="15">
        <v>45375</v>
      </c>
      <c r="E1919" s="158"/>
      <c r="F1919">
        <v>6301</v>
      </c>
    </row>
    <row r="1920" spans="1:6" x14ac:dyDescent="0.25">
      <c r="A1920">
        <v>7826</v>
      </c>
      <c r="B1920" s="15">
        <v>45376</v>
      </c>
      <c r="E1920" s="160" t="s">
        <v>267</v>
      </c>
      <c r="F1920">
        <v>6302</v>
      </c>
    </row>
    <row r="1921" spans="1:6" x14ac:dyDescent="0.25">
      <c r="A1921">
        <v>7826</v>
      </c>
      <c r="B1921" s="15">
        <v>45377</v>
      </c>
      <c r="E1921" s="158"/>
      <c r="F1921">
        <v>6303</v>
      </c>
    </row>
    <row r="1922" spans="1:6" x14ac:dyDescent="0.25">
      <c r="A1922">
        <v>7826</v>
      </c>
      <c r="B1922" s="15">
        <v>45378</v>
      </c>
      <c r="E1922" s="160" t="s">
        <v>264</v>
      </c>
      <c r="F1922">
        <v>6304</v>
      </c>
    </row>
    <row r="1923" spans="1:6" x14ac:dyDescent="0.25">
      <c r="A1923">
        <v>7826</v>
      </c>
      <c r="B1923" s="15">
        <v>45379</v>
      </c>
      <c r="E1923" s="160" t="s">
        <v>267</v>
      </c>
      <c r="F1923">
        <v>6305</v>
      </c>
    </row>
    <row r="1924" spans="1:6" x14ac:dyDescent="0.25">
      <c r="A1924">
        <v>7826</v>
      </c>
      <c r="B1924" s="15">
        <v>45380</v>
      </c>
      <c r="E1924" s="160" t="s">
        <v>264</v>
      </c>
      <c r="F1924">
        <v>6306</v>
      </c>
    </row>
    <row r="1925" spans="1:6" x14ac:dyDescent="0.25">
      <c r="A1925">
        <v>7826</v>
      </c>
      <c r="B1925" s="15">
        <v>45381</v>
      </c>
      <c r="E1925" s="160" t="s">
        <v>175</v>
      </c>
      <c r="F1925">
        <v>6307</v>
      </c>
    </row>
    <row r="1926" spans="1:6" x14ac:dyDescent="0.25">
      <c r="A1926">
        <v>7826</v>
      </c>
      <c r="B1926" s="15">
        <v>45382</v>
      </c>
      <c r="E1926" s="158"/>
      <c r="F1926">
        <v>6308</v>
      </c>
    </row>
    <row r="1927" spans="1:6" x14ac:dyDescent="0.25">
      <c r="A1927">
        <v>7826</v>
      </c>
      <c r="B1927" s="15">
        <v>45383</v>
      </c>
      <c r="E1927" s="119"/>
      <c r="F1927">
        <v>7114</v>
      </c>
    </row>
    <row r="1928" spans="1:6" x14ac:dyDescent="0.25">
      <c r="A1928">
        <v>7826</v>
      </c>
      <c r="B1928" s="15">
        <v>45384</v>
      </c>
      <c r="E1928" s="202" t="s">
        <v>276</v>
      </c>
      <c r="F1928">
        <v>7115</v>
      </c>
    </row>
    <row r="1929" spans="1:6" x14ac:dyDescent="0.25">
      <c r="A1929">
        <v>7826</v>
      </c>
      <c r="B1929" s="15">
        <v>45385</v>
      </c>
      <c r="E1929" s="160" t="s">
        <v>264</v>
      </c>
      <c r="F1929">
        <v>7116</v>
      </c>
    </row>
    <row r="1930" spans="1:6" x14ac:dyDescent="0.25">
      <c r="A1930">
        <v>7826</v>
      </c>
      <c r="B1930" s="15">
        <v>45386</v>
      </c>
      <c r="E1930" s="160" t="s">
        <v>267</v>
      </c>
      <c r="F1930">
        <v>7117</v>
      </c>
    </row>
    <row r="1931" spans="1:6" x14ac:dyDescent="0.25">
      <c r="A1931">
        <v>7826</v>
      </c>
      <c r="B1931" s="15">
        <v>45387</v>
      </c>
      <c r="E1931" s="160" t="s">
        <v>267</v>
      </c>
      <c r="F1931">
        <v>7118</v>
      </c>
    </row>
    <row r="1932" spans="1:6" x14ac:dyDescent="0.25">
      <c r="A1932">
        <v>7826</v>
      </c>
      <c r="B1932" s="15">
        <v>45388</v>
      </c>
      <c r="E1932" s="158"/>
      <c r="F1932">
        <v>7119</v>
      </c>
    </row>
    <row r="1933" spans="1:6" x14ac:dyDescent="0.25">
      <c r="A1933">
        <v>7826</v>
      </c>
      <c r="B1933" s="15">
        <v>45389</v>
      </c>
      <c r="E1933" s="158"/>
      <c r="F1933">
        <v>7120</v>
      </c>
    </row>
    <row r="1934" spans="1:6" x14ac:dyDescent="0.25">
      <c r="A1934">
        <v>7826</v>
      </c>
      <c r="B1934" s="15">
        <v>45390</v>
      </c>
      <c r="E1934" s="160" t="s">
        <v>267</v>
      </c>
      <c r="F1934">
        <v>7121</v>
      </c>
    </row>
    <row r="1935" spans="1:6" x14ac:dyDescent="0.25">
      <c r="A1935">
        <v>7826</v>
      </c>
      <c r="B1935" s="15">
        <v>45391</v>
      </c>
      <c r="E1935" s="158"/>
      <c r="F1935">
        <v>7122</v>
      </c>
    </row>
    <row r="1936" spans="1:6" x14ac:dyDescent="0.25">
      <c r="A1936">
        <v>7826</v>
      </c>
      <c r="B1936" s="15">
        <v>45392</v>
      </c>
      <c r="E1936" s="160" t="s">
        <v>264</v>
      </c>
      <c r="F1936">
        <v>7123</v>
      </c>
    </row>
    <row r="1937" spans="1:6" x14ac:dyDescent="0.25">
      <c r="A1937">
        <v>7826</v>
      </c>
      <c r="B1937" s="15">
        <v>45393</v>
      </c>
      <c r="E1937" s="160" t="s">
        <v>267</v>
      </c>
      <c r="F1937">
        <v>7124</v>
      </c>
    </row>
    <row r="1938" spans="1:6" x14ac:dyDescent="0.25">
      <c r="A1938">
        <v>7826</v>
      </c>
      <c r="B1938" s="15">
        <v>45394</v>
      </c>
      <c r="E1938" s="160" t="s">
        <v>264</v>
      </c>
      <c r="F1938">
        <v>7125</v>
      </c>
    </row>
    <row r="1939" spans="1:6" x14ac:dyDescent="0.25">
      <c r="A1939">
        <v>7826</v>
      </c>
      <c r="B1939" s="15">
        <v>45395</v>
      </c>
      <c r="E1939" s="160" t="s">
        <v>175</v>
      </c>
      <c r="F1939">
        <v>7126</v>
      </c>
    </row>
    <row r="1940" spans="1:6" x14ac:dyDescent="0.25">
      <c r="A1940">
        <v>7826</v>
      </c>
      <c r="B1940" s="15">
        <v>45396</v>
      </c>
      <c r="E1940" s="158"/>
      <c r="F1940">
        <v>7127</v>
      </c>
    </row>
    <row r="1941" spans="1:6" x14ac:dyDescent="0.25">
      <c r="A1941">
        <v>7826</v>
      </c>
      <c r="B1941" s="15">
        <v>45397</v>
      </c>
      <c r="E1941" s="160" t="s">
        <v>265</v>
      </c>
      <c r="F1941">
        <v>7128</v>
      </c>
    </row>
    <row r="1942" spans="1:6" x14ac:dyDescent="0.25">
      <c r="A1942">
        <v>7826</v>
      </c>
      <c r="B1942" s="15">
        <v>45398</v>
      </c>
      <c r="E1942" s="160" t="s">
        <v>267</v>
      </c>
      <c r="F1942">
        <v>7129</v>
      </c>
    </row>
    <row r="1943" spans="1:6" x14ac:dyDescent="0.25">
      <c r="A1943">
        <v>7826</v>
      </c>
      <c r="B1943" s="15">
        <v>45399</v>
      </c>
      <c r="E1943" s="160" t="s">
        <v>264</v>
      </c>
      <c r="F1943">
        <v>7130</v>
      </c>
    </row>
    <row r="1944" spans="1:6" x14ac:dyDescent="0.25">
      <c r="A1944">
        <v>7826</v>
      </c>
      <c r="B1944" s="15">
        <v>45400</v>
      </c>
      <c r="E1944" s="160" t="s">
        <v>267</v>
      </c>
      <c r="F1944">
        <v>7131</v>
      </c>
    </row>
    <row r="1945" spans="1:6" x14ac:dyDescent="0.25">
      <c r="A1945">
        <v>7826</v>
      </c>
      <c r="B1945" s="15">
        <v>45401</v>
      </c>
      <c r="E1945" s="160" t="s">
        <v>267</v>
      </c>
      <c r="F1945">
        <v>7132</v>
      </c>
    </row>
    <row r="1946" spans="1:6" x14ac:dyDescent="0.25">
      <c r="A1946">
        <v>7826</v>
      </c>
      <c r="B1946" s="15">
        <v>45402</v>
      </c>
      <c r="E1946" s="158"/>
      <c r="F1946">
        <v>7133</v>
      </c>
    </row>
    <row r="1947" spans="1:6" x14ac:dyDescent="0.25">
      <c r="A1947">
        <v>7826</v>
      </c>
      <c r="B1947" s="15">
        <v>45403</v>
      </c>
      <c r="E1947" s="158"/>
      <c r="F1947">
        <v>7134</v>
      </c>
    </row>
    <row r="1948" spans="1:6" x14ac:dyDescent="0.25">
      <c r="A1948">
        <v>7826</v>
      </c>
      <c r="B1948" s="15">
        <v>45404</v>
      </c>
      <c r="E1948" s="160" t="s">
        <v>267</v>
      </c>
      <c r="F1948">
        <v>7135</v>
      </c>
    </row>
    <row r="1949" spans="1:6" x14ac:dyDescent="0.25">
      <c r="A1949">
        <v>7826</v>
      </c>
      <c r="B1949" s="15">
        <v>45405</v>
      </c>
      <c r="E1949" s="158"/>
      <c r="F1949">
        <v>7136</v>
      </c>
    </row>
    <row r="1950" spans="1:6" x14ac:dyDescent="0.25">
      <c r="A1950">
        <v>7826</v>
      </c>
      <c r="B1950" s="15">
        <v>45406</v>
      </c>
      <c r="E1950" s="160" t="s">
        <v>264</v>
      </c>
      <c r="F1950">
        <v>7137</v>
      </c>
    </row>
    <row r="1951" spans="1:6" x14ac:dyDescent="0.25">
      <c r="A1951">
        <v>7826</v>
      </c>
      <c r="B1951" s="15">
        <v>45407</v>
      </c>
      <c r="E1951" s="160" t="s">
        <v>267</v>
      </c>
      <c r="F1951">
        <v>7138</v>
      </c>
    </row>
    <row r="1952" spans="1:6" x14ac:dyDescent="0.25">
      <c r="A1952">
        <v>7826</v>
      </c>
      <c r="B1952" s="15">
        <v>45408</v>
      </c>
      <c r="E1952" s="160" t="s">
        <v>264</v>
      </c>
      <c r="F1952">
        <v>7139</v>
      </c>
    </row>
    <row r="1953" spans="1:6" x14ac:dyDescent="0.25">
      <c r="A1953">
        <v>7826</v>
      </c>
      <c r="B1953" s="15">
        <v>45409</v>
      </c>
      <c r="E1953" s="160" t="s">
        <v>175</v>
      </c>
      <c r="F1953">
        <v>7140</v>
      </c>
    </row>
    <row r="1954" spans="1:6" x14ac:dyDescent="0.25">
      <c r="A1954">
        <v>7826</v>
      </c>
      <c r="B1954" s="15">
        <v>45410</v>
      </c>
      <c r="E1954" s="158"/>
      <c r="F1954">
        <v>7141</v>
      </c>
    </row>
    <row r="1955" spans="1:6" x14ac:dyDescent="0.25">
      <c r="A1955">
        <v>7826</v>
      </c>
      <c r="B1955" s="15">
        <v>45411</v>
      </c>
      <c r="E1955" s="160" t="s">
        <v>265</v>
      </c>
      <c r="F1955">
        <v>7142</v>
      </c>
    </row>
    <row r="1956" spans="1:6" x14ac:dyDescent="0.25">
      <c r="A1956">
        <v>7826</v>
      </c>
      <c r="B1956" s="15">
        <v>45412</v>
      </c>
      <c r="E1956" s="160" t="s">
        <v>267</v>
      </c>
      <c r="F1956">
        <v>7143</v>
      </c>
    </row>
    <row r="1957" spans="1:6" x14ac:dyDescent="0.25">
      <c r="A1957">
        <v>7826</v>
      </c>
      <c r="B1957" s="15">
        <v>45413</v>
      </c>
      <c r="E1957" s="158"/>
      <c r="F1957">
        <v>7144</v>
      </c>
    </row>
    <row r="1958" spans="1:6" x14ac:dyDescent="0.25">
      <c r="A1958">
        <v>7826</v>
      </c>
      <c r="B1958" s="15">
        <v>45414</v>
      </c>
      <c r="E1958" s="160" t="s">
        <v>267</v>
      </c>
      <c r="F1958">
        <v>7145</v>
      </c>
    </row>
    <row r="1959" spans="1:6" x14ac:dyDescent="0.25">
      <c r="A1959">
        <v>7826</v>
      </c>
      <c r="B1959" s="15">
        <v>45415</v>
      </c>
      <c r="E1959" s="160" t="s">
        <v>267</v>
      </c>
      <c r="F1959">
        <v>7146</v>
      </c>
    </row>
    <row r="1960" spans="1:6" x14ac:dyDescent="0.25">
      <c r="A1960">
        <v>7826</v>
      </c>
      <c r="B1960" s="15">
        <v>45416</v>
      </c>
      <c r="E1960" s="158"/>
      <c r="F1960">
        <v>7147</v>
      </c>
    </row>
    <row r="1961" spans="1:6" x14ac:dyDescent="0.25">
      <c r="A1961">
        <v>7826</v>
      </c>
      <c r="B1961" s="15">
        <v>45417</v>
      </c>
      <c r="E1961" s="158"/>
      <c r="F1961">
        <v>7148</v>
      </c>
    </row>
    <row r="1962" spans="1:6" x14ac:dyDescent="0.25">
      <c r="A1962">
        <v>7840</v>
      </c>
      <c r="B1962" s="15">
        <v>45264</v>
      </c>
      <c r="E1962" s="117" t="s">
        <v>174</v>
      </c>
      <c r="F1962">
        <v>3810</v>
      </c>
    </row>
    <row r="1963" spans="1:6" x14ac:dyDescent="0.25">
      <c r="A1963">
        <v>7840</v>
      </c>
      <c r="B1963" s="15">
        <v>45265</v>
      </c>
      <c r="E1963" s="119" t="s">
        <v>118</v>
      </c>
      <c r="F1963">
        <v>3811</v>
      </c>
    </row>
    <row r="1964" spans="1:6" x14ac:dyDescent="0.25">
      <c r="A1964">
        <v>7840</v>
      </c>
      <c r="B1964" s="15">
        <v>45266</v>
      </c>
      <c r="E1964" s="202" t="s">
        <v>118</v>
      </c>
      <c r="F1964">
        <v>3812</v>
      </c>
    </row>
    <row r="1965" spans="1:6" x14ac:dyDescent="0.25">
      <c r="A1965">
        <v>7840</v>
      </c>
      <c r="B1965" s="15">
        <v>45267</v>
      </c>
      <c r="E1965" s="202" t="s">
        <v>118</v>
      </c>
      <c r="F1965">
        <v>3813</v>
      </c>
    </row>
    <row r="1966" spans="1:6" x14ac:dyDescent="0.25">
      <c r="A1966">
        <v>7840</v>
      </c>
      <c r="B1966" s="15">
        <v>45268</v>
      </c>
      <c r="E1966" s="202" t="s">
        <v>118</v>
      </c>
      <c r="F1966">
        <v>3814</v>
      </c>
    </row>
    <row r="1967" spans="1:6" x14ac:dyDescent="0.25">
      <c r="A1967">
        <v>7840</v>
      </c>
      <c r="B1967" s="15">
        <v>45269</v>
      </c>
      <c r="E1967" s="121" t="s">
        <v>2</v>
      </c>
      <c r="F1967">
        <v>3815</v>
      </c>
    </row>
    <row r="1968" spans="1:6" x14ac:dyDescent="0.25">
      <c r="A1968">
        <v>7840</v>
      </c>
      <c r="B1968" s="15">
        <v>45270</v>
      </c>
      <c r="E1968" s="157"/>
      <c r="F1968">
        <v>3816</v>
      </c>
    </row>
    <row r="1969" spans="1:6" x14ac:dyDescent="0.25">
      <c r="A1969">
        <v>7840</v>
      </c>
      <c r="B1969" s="15">
        <v>45271</v>
      </c>
      <c r="E1969" s="119"/>
      <c r="F1969">
        <v>3817</v>
      </c>
    </row>
    <row r="1970" spans="1:6" x14ac:dyDescent="0.25">
      <c r="A1970">
        <v>7840</v>
      </c>
      <c r="B1970" s="15">
        <v>45272</v>
      </c>
      <c r="E1970" s="197" t="s">
        <v>263</v>
      </c>
      <c r="F1970">
        <v>3818</v>
      </c>
    </row>
    <row r="1971" spans="1:6" x14ac:dyDescent="0.25">
      <c r="A1971">
        <v>7840</v>
      </c>
      <c r="B1971" s="15">
        <v>45273</v>
      </c>
      <c r="E1971" s="160" t="s">
        <v>263</v>
      </c>
      <c r="F1971">
        <v>3819</v>
      </c>
    </row>
    <row r="1972" spans="1:6" x14ac:dyDescent="0.25">
      <c r="A1972">
        <v>7840</v>
      </c>
      <c r="B1972" s="15">
        <v>45274</v>
      </c>
      <c r="E1972" s="159" t="s">
        <v>268</v>
      </c>
      <c r="F1972">
        <v>3820</v>
      </c>
    </row>
    <row r="1973" spans="1:6" x14ac:dyDescent="0.25">
      <c r="A1973">
        <v>7840</v>
      </c>
      <c r="B1973" s="15">
        <v>45275</v>
      </c>
      <c r="E1973" s="197" t="s">
        <v>263</v>
      </c>
      <c r="F1973">
        <v>3821</v>
      </c>
    </row>
    <row r="1974" spans="1:6" x14ac:dyDescent="0.25">
      <c r="A1974">
        <v>7840</v>
      </c>
      <c r="B1974" s="15">
        <v>45276</v>
      </c>
      <c r="E1974" s="157"/>
      <c r="F1974">
        <v>3822</v>
      </c>
    </row>
    <row r="1975" spans="1:6" x14ac:dyDescent="0.25">
      <c r="A1975">
        <v>7840</v>
      </c>
      <c r="B1975" s="15">
        <v>45277</v>
      </c>
      <c r="E1975" s="157"/>
      <c r="F1975">
        <v>3823</v>
      </c>
    </row>
    <row r="1976" spans="1:6" x14ac:dyDescent="0.25">
      <c r="A1976">
        <v>7840</v>
      </c>
      <c r="B1976" s="15">
        <v>45278</v>
      </c>
      <c r="E1976" s="160" t="s">
        <v>263</v>
      </c>
      <c r="F1976">
        <v>3824</v>
      </c>
    </row>
    <row r="1977" spans="1:6" x14ac:dyDescent="0.25">
      <c r="A1977">
        <v>7840</v>
      </c>
      <c r="B1977" s="15">
        <v>45279</v>
      </c>
      <c r="E1977" s="158"/>
      <c r="F1977">
        <v>3825</v>
      </c>
    </row>
    <row r="1978" spans="1:6" x14ac:dyDescent="0.25">
      <c r="A1978">
        <v>7840</v>
      </c>
      <c r="B1978" s="15">
        <v>45280</v>
      </c>
      <c r="E1978" s="160" t="s">
        <v>268</v>
      </c>
      <c r="F1978">
        <v>3826</v>
      </c>
    </row>
    <row r="1979" spans="1:6" x14ac:dyDescent="0.25">
      <c r="A1979">
        <v>7840</v>
      </c>
      <c r="B1979" s="15">
        <v>45281</v>
      </c>
      <c r="E1979" s="197" t="s">
        <v>263</v>
      </c>
      <c r="F1979">
        <v>3827</v>
      </c>
    </row>
    <row r="1980" spans="1:6" x14ac:dyDescent="0.25">
      <c r="A1980">
        <v>7840</v>
      </c>
      <c r="B1980" s="15">
        <v>45282</v>
      </c>
      <c r="E1980" s="197" t="s">
        <v>175</v>
      </c>
      <c r="F1980">
        <v>3828</v>
      </c>
    </row>
    <row r="1981" spans="1:6" x14ac:dyDescent="0.25">
      <c r="A1981">
        <v>7840</v>
      </c>
      <c r="B1981" s="15">
        <v>45283</v>
      </c>
      <c r="E1981" s="160" t="s">
        <v>175</v>
      </c>
      <c r="F1981">
        <v>3829</v>
      </c>
    </row>
    <row r="1982" spans="1:6" x14ac:dyDescent="0.25">
      <c r="A1982">
        <v>7840</v>
      </c>
      <c r="B1982" s="15">
        <v>45284</v>
      </c>
      <c r="E1982" s="157"/>
      <c r="F1982">
        <v>3830</v>
      </c>
    </row>
    <row r="1983" spans="1:6" x14ac:dyDescent="0.25">
      <c r="A1983">
        <v>7840</v>
      </c>
      <c r="B1983" s="15">
        <v>45285</v>
      </c>
      <c r="E1983" s="119"/>
      <c r="F1983">
        <v>3831</v>
      </c>
    </row>
    <row r="1984" spans="1:6" x14ac:dyDescent="0.25">
      <c r="A1984">
        <v>7840</v>
      </c>
      <c r="B1984" s="15">
        <v>45286</v>
      </c>
      <c r="E1984" s="202" t="s">
        <v>163</v>
      </c>
      <c r="F1984">
        <v>3832</v>
      </c>
    </row>
    <row r="1985" spans="1:6" x14ac:dyDescent="0.25">
      <c r="A1985">
        <v>7840</v>
      </c>
      <c r="B1985" s="15">
        <v>45287</v>
      </c>
      <c r="E1985" s="160" t="s">
        <v>263</v>
      </c>
      <c r="F1985">
        <v>3833</v>
      </c>
    </row>
    <row r="1986" spans="1:6" x14ac:dyDescent="0.25">
      <c r="A1986">
        <v>7840</v>
      </c>
      <c r="B1986" s="15">
        <v>45288</v>
      </c>
      <c r="E1986" s="197" t="s">
        <v>268</v>
      </c>
      <c r="F1986">
        <v>3834</v>
      </c>
    </row>
    <row r="1987" spans="1:6" x14ac:dyDescent="0.25">
      <c r="A1987">
        <v>7840</v>
      </c>
      <c r="B1987" s="15">
        <v>45289</v>
      </c>
      <c r="E1987" s="197" t="s">
        <v>175</v>
      </c>
      <c r="F1987">
        <v>3835</v>
      </c>
    </row>
    <row r="1988" spans="1:6" x14ac:dyDescent="0.25">
      <c r="A1988">
        <v>7840</v>
      </c>
      <c r="B1988" s="15">
        <v>45290</v>
      </c>
      <c r="E1988" s="157"/>
      <c r="F1988">
        <v>3836</v>
      </c>
    </row>
    <row r="1989" spans="1:6" x14ac:dyDescent="0.25">
      <c r="A1989">
        <v>7840</v>
      </c>
      <c r="B1989" s="15">
        <v>45291</v>
      </c>
      <c r="E1989" s="157"/>
      <c r="F1989">
        <v>3837</v>
      </c>
    </row>
    <row r="1990" spans="1:6" x14ac:dyDescent="0.25">
      <c r="A1990">
        <v>7840</v>
      </c>
      <c r="B1990" s="15">
        <v>45292</v>
      </c>
      <c r="E1990" s="119"/>
      <c r="F1990">
        <v>4594</v>
      </c>
    </row>
    <row r="1991" spans="1:6" x14ac:dyDescent="0.25">
      <c r="A1991">
        <v>7840</v>
      </c>
      <c r="B1991" s="15">
        <v>45293</v>
      </c>
      <c r="E1991" s="158"/>
      <c r="F1991">
        <v>4595</v>
      </c>
    </row>
    <row r="1992" spans="1:6" x14ac:dyDescent="0.25">
      <c r="A1992">
        <v>7840</v>
      </c>
      <c r="B1992" s="15">
        <v>45294</v>
      </c>
      <c r="E1992" s="160" t="s">
        <v>268</v>
      </c>
      <c r="F1992">
        <v>4596</v>
      </c>
    </row>
    <row r="1993" spans="1:6" x14ac:dyDescent="0.25">
      <c r="A1993">
        <v>7840</v>
      </c>
      <c r="B1993" s="15">
        <v>45295</v>
      </c>
      <c r="E1993" s="197" t="s">
        <v>263</v>
      </c>
      <c r="F1993">
        <v>4597</v>
      </c>
    </row>
    <row r="1994" spans="1:6" x14ac:dyDescent="0.25">
      <c r="A1994">
        <v>7840</v>
      </c>
      <c r="B1994" s="15">
        <v>45296</v>
      </c>
      <c r="E1994" s="197" t="s">
        <v>268</v>
      </c>
      <c r="F1994">
        <v>4598</v>
      </c>
    </row>
    <row r="1995" spans="1:6" x14ac:dyDescent="0.25">
      <c r="A1995">
        <v>7840</v>
      </c>
      <c r="B1995" s="15">
        <v>45297</v>
      </c>
      <c r="E1995" s="160" t="s">
        <v>175</v>
      </c>
      <c r="F1995">
        <v>4599</v>
      </c>
    </row>
    <row r="1996" spans="1:6" x14ac:dyDescent="0.25">
      <c r="A1996">
        <v>7840</v>
      </c>
      <c r="B1996" s="15">
        <v>45298</v>
      </c>
      <c r="E1996" s="157"/>
      <c r="F1996">
        <v>4600</v>
      </c>
    </row>
    <row r="1997" spans="1:6" x14ac:dyDescent="0.25">
      <c r="A1997">
        <v>7840</v>
      </c>
      <c r="B1997" s="15">
        <v>45299</v>
      </c>
      <c r="E1997" s="119"/>
      <c r="F1997">
        <v>4601</v>
      </c>
    </row>
    <row r="1998" spans="1:6" x14ac:dyDescent="0.25">
      <c r="A1998">
        <v>7840</v>
      </c>
      <c r="B1998" s="15">
        <v>45300</v>
      </c>
      <c r="E1998" s="160" t="s">
        <v>263</v>
      </c>
      <c r="F1998">
        <v>4602</v>
      </c>
    </row>
    <row r="1999" spans="1:6" x14ac:dyDescent="0.25">
      <c r="A1999">
        <v>7840</v>
      </c>
      <c r="B1999" s="15">
        <v>45301</v>
      </c>
      <c r="E1999" s="160" t="s">
        <v>263</v>
      </c>
      <c r="F1999">
        <v>4603</v>
      </c>
    </row>
    <row r="2000" spans="1:6" x14ac:dyDescent="0.25">
      <c r="A2000">
        <v>7840</v>
      </c>
      <c r="B2000" s="15">
        <v>45302</v>
      </c>
      <c r="E2000" s="197" t="s">
        <v>268</v>
      </c>
      <c r="F2000">
        <v>4604</v>
      </c>
    </row>
    <row r="2001" spans="1:6" x14ac:dyDescent="0.25">
      <c r="A2001">
        <v>7840</v>
      </c>
      <c r="B2001" s="15">
        <v>45303</v>
      </c>
      <c r="E2001" s="117" t="s">
        <v>2</v>
      </c>
      <c r="F2001">
        <v>4605</v>
      </c>
    </row>
    <row r="2002" spans="1:6" x14ac:dyDescent="0.25">
      <c r="A2002">
        <v>7840</v>
      </c>
      <c r="B2002" s="15">
        <v>45304</v>
      </c>
      <c r="E2002" s="157"/>
      <c r="F2002">
        <v>4606</v>
      </c>
    </row>
    <row r="2003" spans="1:6" x14ac:dyDescent="0.25">
      <c r="A2003">
        <v>7840</v>
      </c>
      <c r="B2003" s="15">
        <v>45305</v>
      </c>
      <c r="E2003" s="157"/>
      <c r="F2003">
        <v>4607</v>
      </c>
    </row>
    <row r="2004" spans="1:6" x14ac:dyDescent="0.25">
      <c r="A2004">
        <v>7840</v>
      </c>
      <c r="B2004" s="15">
        <v>45306</v>
      </c>
      <c r="E2004" s="204" t="s">
        <v>263</v>
      </c>
      <c r="F2004">
        <v>4608</v>
      </c>
    </row>
    <row r="2005" spans="1:6" x14ac:dyDescent="0.25">
      <c r="A2005">
        <v>7840</v>
      </c>
      <c r="B2005" s="15">
        <v>45307</v>
      </c>
      <c r="E2005" s="158"/>
      <c r="F2005">
        <v>4609</v>
      </c>
    </row>
    <row r="2006" spans="1:6" x14ac:dyDescent="0.25">
      <c r="A2006">
        <v>7840</v>
      </c>
      <c r="B2006" s="15">
        <v>45308</v>
      </c>
      <c r="E2006" s="160" t="s">
        <v>268</v>
      </c>
      <c r="F2006">
        <v>4610</v>
      </c>
    </row>
    <row r="2007" spans="1:6" x14ac:dyDescent="0.25">
      <c r="A2007">
        <v>7840</v>
      </c>
      <c r="B2007" s="15">
        <v>45309</v>
      </c>
      <c r="E2007" s="197" t="s">
        <v>263</v>
      </c>
      <c r="F2007">
        <v>4611</v>
      </c>
    </row>
    <row r="2008" spans="1:6" x14ac:dyDescent="0.25">
      <c r="A2008">
        <v>7840</v>
      </c>
      <c r="B2008" s="15">
        <v>45310</v>
      </c>
      <c r="E2008" s="197" t="s">
        <v>268</v>
      </c>
      <c r="F2008">
        <v>4612</v>
      </c>
    </row>
    <row r="2009" spans="1:6" x14ac:dyDescent="0.25">
      <c r="A2009">
        <v>7840</v>
      </c>
      <c r="B2009" s="15">
        <v>45311</v>
      </c>
      <c r="E2009" s="121" t="s">
        <v>2</v>
      </c>
      <c r="F2009">
        <v>4613</v>
      </c>
    </row>
    <row r="2010" spans="1:6" x14ac:dyDescent="0.25">
      <c r="A2010">
        <v>7840</v>
      </c>
      <c r="B2010" s="15">
        <v>45312</v>
      </c>
      <c r="E2010" s="157"/>
      <c r="F2010">
        <v>4614</v>
      </c>
    </row>
    <row r="2011" spans="1:6" x14ac:dyDescent="0.25">
      <c r="A2011">
        <v>7840</v>
      </c>
      <c r="B2011" s="15">
        <v>45313</v>
      </c>
      <c r="E2011" s="119"/>
      <c r="F2011">
        <v>4615</v>
      </c>
    </row>
    <row r="2012" spans="1:6" x14ac:dyDescent="0.25">
      <c r="A2012">
        <v>7840</v>
      </c>
      <c r="B2012" s="15">
        <v>45314</v>
      </c>
      <c r="E2012" s="160" t="s">
        <v>263</v>
      </c>
      <c r="F2012">
        <v>4616</v>
      </c>
    </row>
    <row r="2013" spans="1:6" x14ac:dyDescent="0.25">
      <c r="A2013">
        <v>7840</v>
      </c>
      <c r="B2013" s="15">
        <v>45315</v>
      </c>
      <c r="E2013" s="117" t="s">
        <v>2</v>
      </c>
      <c r="F2013">
        <v>4617</v>
      </c>
    </row>
    <row r="2014" spans="1:6" x14ac:dyDescent="0.25">
      <c r="A2014">
        <v>7840</v>
      </c>
      <c r="B2014" s="15">
        <v>45316</v>
      </c>
      <c r="E2014" s="120" t="s">
        <v>2</v>
      </c>
      <c r="F2014">
        <v>4618</v>
      </c>
    </row>
    <row r="2015" spans="1:6" x14ac:dyDescent="0.25">
      <c r="A2015">
        <v>7840</v>
      </c>
      <c r="B2015" s="15">
        <v>45317</v>
      </c>
      <c r="E2015" s="117" t="s">
        <v>2</v>
      </c>
      <c r="F2015">
        <v>4619</v>
      </c>
    </row>
    <row r="2016" spans="1:6" x14ac:dyDescent="0.25">
      <c r="A2016">
        <v>7840</v>
      </c>
      <c r="B2016" s="15">
        <v>45318</v>
      </c>
      <c r="E2016" s="157"/>
      <c r="F2016">
        <v>4620</v>
      </c>
    </row>
    <row r="2017" spans="1:6" x14ac:dyDescent="0.25">
      <c r="A2017">
        <v>7840</v>
      </c>
      <c r="B2017" s="15">
        <v>45319</v>
      </c>
      <c r="E2017" s="157"/>
      <c r="F2017">
        <v>4621</v>
      </c>
    </row>
    <row r="2018" spans="1:6" x14ac:dyDescent="0.25">
      <c r="A2018">
        <v>7840</v>
      </c>
      <c r="B2018" s="15">
        <v>45320</v>
      </c>
      <c r="E2018" s="204" t="s">
        <v>263</v>
      </c>
      <c r="F2018">
        <v>4622</v>
      </c>
    </row>
    <row r="2019" spans="1:6" x14ac:dyDescent="0.25">
      <c r="A2019">
        <v>7840</v>
      </c>
      <c r="B2019" s="15">
        <v>45321</v>
      </c>
      <c r="E2019" s="158"/>
      <c r="F2019">
        <v>4623</v>
      </c>
    </row>
    <row r="2020" spans="1:6" x14ac:dyDescent="0.25">
      <c r="A2020">
        <v>7840</v>
      </c>
      <c r="B2020" s="15">
        <v>45322</v>
      </c>
      <c r="E2020" s="160" t="s">
        <v>268</v>
      </c>
      <c r="F2020">
        <v>4624</v>
      </c>
    </row>
    <row r="2021" spans="1:6" x14ac:dyDescent="0.25">
      <c r="A2021">
        <v>7840</v>
      </c>
      <c r="B2021" s="15">
        <v>45323</v>
      </c>
      <c r="E2021" s="197" t="s">
        <v>263</v>
      </c>
      <c r="F2021">
        <v>4625</v>
      </c>
    </row>
    <row r="2022" spans="1:6" x14ac:dyDescent="0.25">
      <c r="A2022">
        <v>7840</v>
      </c>
      <c r="B2022" s="15">
        <v>45324</v>
      </c>
      <c r="E2022" s="197" t="s">
        <v>268</v>
      </c>
      <c r="F2022">
        <v>4626</v>
      </c>
    </row>
    <row r="2023" spans="1:6" x14ac:dyDescent="0.25">
      <c r="A2023">
        <v>7840</v>
      </c>
      <c r="B2023" s="15">
        <v>45325</v>
      </c>
      <c r="E2023" s="160" t="s">
        <v>175</v>
      </c>
      <c r="F2023">
        <v>4627</v>
      </c>
    </row>
    <row r="2024" spans="1:6" x14ac:dyDescent="0.25">
      <c r="A2024">
        <v>7840</v>
      </c>
      <c r="B2024" s="15">
        <v>45326</v>
      </c>
      <c r="E2024" s="157"/>
      <c r="F2024">
        <v>4628</v>
      </c>
    </row>
    <row r="2025" spans="1:6" x14ac:dyDescent="0.25">
      <c r="A2025">
        <v>7840</v>
      </c>
      <c r="B2025" s="15">
        <v>45327</v>
      </c>
      <c r="E2025" s="119"/>
      <c r="F2025">
        <v>5385</v>
      </c>
    </row>
    <row r="2026" spans="1:6" x14ac:dyDescent="0.25">
      <c r="A2026">
        <v>7840</v>
      </c>
      <c r="B2026" s="15">
        <v>45328</v>
      </c>
      <c r="E2026" s="160" t="s">
        <v>263</v>
      </c>
      <c r="F2026">
        <v>5386</v>
      </c>
    </row>
    <row r="2027" spans="1:6" x14ac:dyDescent="0.25">
      <c r="A2027">
        <v>7840</v>
      </c>
      <c r="B2027" s="15">
        <v>45329</v>
      </c>
      <c r="E2027" s="160" t="s">
        <v>263</v>
      </c>
      <c r="F2027">
        <v>5387</v>
      </c>
    </row>
    <row r="2028" spans="1:6" x14ac:dyDescent="0.25">
      <c r="A2028">
        <v>7840</v>
      </c>
      <c r="B2028" s="15">
        <v>45330</v>
      </c>
      <c r="E2028" s="197" t="s">
        <v>268</v>
      </c>
      <c r="F2028">
        <v>5388</v>
      </c>
    </row>
    <row r="2029" spans="1:6" x14ac:dyDescent="0.25">
      <c r="A2029">
        <v>7840</v>
      </c>
      <c r="B2029" s="15">
        <v>45331</v>
      </c>
      <c r="E2029" s="197" t="s">
        <v>263</v>
      </c>
      <c r="F2029">
        <v>5389</v>
      </c>
    </row>
    <row r="2030" spans="1:6" x14ac:dyDescent="0.25">
      <c r="A2030">
        <v>7840</v>
      </c>
      <c r="B2030" s="15">
        <v>45332</v>
      </c>
      <c r="E2030" s="157"/>
      <c r="F2030">
        <v>5390</v>
      </c>
    </row>
    <row r="2031" spans="1:6" x14ac:dyDescent="0.25">
      <c r="A2031">
        <v>7840</v>
      </c>
      <c r="B2031" s="15">
        <v>45333</v>
      </c>
      <c r="E2031" s="157"/>
      <c r="F2031">
        <v>5391</v>
      </c>
    </row>
    <row r="2032" spans="1:6" x14ac:dyDescent="0.25">
      <c r="A2032">
        <v>7840</v>
      </c>
      <c r="B2032" s="15">
        <v>45334</v>
      </c>
      <c r="E2032" s="204" t="s">
        <v>263</v>
      </c>
      <c r="F2032">
        <v>5392</v>
      </c>
    </row>
    <row r="2033" spans="1:6" x14ac:dyDescent="0.25">
      <c r="A2033">
        <v>7840</v>
      </c>
      <c r="B2033" s="15">
        <v>45335</v>
      </c>
      <c r="E2033" s="158"/>
      <c r="F2033">
        <v>5393</v>
      </c>
    </row>
    <row r="2034" spans="1:6" x14ac:dyDescent="0.25">
      <c r="A2034">
        <v>7840</v>
      </c>
      <c r="B2034" s="15">
        <v>45336</v>
      </c>
      <c r="E2034" s="120" t="s">
        <v>2</v>
      </c>
      <c r="F2034">
        <v>5394</v>
      </c>
    </row>
    <row r="2035" spans="1:6" x14ac:dyDescent="0.25">
      <c r="A2035">
        <v>7840</v>
      </c>
      <c r="B2035" s="15">
        <v>45337</v>
      </c>
      <c r="E2035" s="117" t="s">
        <v>2</v>
      </c>
      <c r="F2035">
        <v>5395</v>
      </c>
    </row>
    <row r="2036" spans="1:6" x14ac:dyDescent="0.25">
      <c r="A2036">
        <v>7840</v>
      </c>
      <c r="B2036" s="15">
        <v>45338</v>
      </c>
      <c r="E2036" s="120" t="s">
        <v>2</v>
      </c>
      <c r="F2036">
        <v>5396</v>
      </c>
    </row>
    <row r="2037" spans="1:6" x14ac:dyDescent="0.25">
      <c r="A2037">
        <v>7840</v>
      </c>
      <c r="B2037" s="15">
        <v>45339</v>
      </c>
      <c r="E2037" s="121" t="s">
        <v>2</v>
      </c>
      <c r="F2037">
        <v>5397</v>
      </c>
    </row>
    <row r="2038" spans="1:6" x14ac:dyDescent="0.25">
      <c r="A2038">
        <v>7840</v>
      </c>
      <c r="B2038" s="15">
        <v>45340</v>
      </c>
      <c r="E2038" s="157"/>
      <c r="F2038">
        <v>5398</v>
      </c>
    </row>
    <row r="2039" spans="1:6" x14ac:dyDescent="0.25">
      <c r="A2039">
        <v>7840</v>
      </c>
      <c r="B2039" s="15">
        <v>45341</v>
      </c>
      <c r="E2039" s="119"/>
      <c r="F2039">
        <v>5399</v>
      </c>
    </row>
    <row r="2040" spans="1:6" x14ac:dyDescent="0.25">
      <c r="A2040">
        <v>7840</v>
      </c>
      <c r="B2040" s="15">
        <v>45342</v>
      </c>
      <c r="E2040" s="160" t="s">
        <v>263</v>
      </c>
      <c r="F2040">
        <v>5400</v>
      </c>
    </row>
    <row r="2041" spans="1:6" x14ac:dyDescent="0.25">
      <c r="A2041">
        <v>7840</v>
      </c>
      <c r="B2041" s="15">
        <v>45343</v>
      </c>
      <c r="E2041" s="160" t="s">
        <v>263</v>
      </c>
      <c r="F2041">
        <v>5401</v>
      </c>
    </row>
    <row r="2042" spans="1:6" x14ac:dyDescent="0.25">
      <c r="A2042">
        <v>7840</v>
      </c>
      <c r="B2042" s="15">
        <v>45344</v>
      </c>
      <c r="E2042" s="197" t="s">
        <v>268</v>
      </c>
      <c r="F2042">
        <v>5402</v>
      </c>
    </row>
    <row r="2043" spans="1:6" x14ac:dyDescent="0.25">
      <c r="A2043">
        <v>7840</v>
      </c>
      <c r="B2043" s="15">
        <v>45345</v>
      </c>
      <c r="E2043" s="197" t="s">
        <v>263</v>
      </c>
      <c r="F2043">
        <v>5403</v>
      </c>
    </row>
    <row r="2044" spans="1:6" x14ac:dyDescent="0.25">
      <c r="A2044">
        <v>7840</v>
      </c>
      <c r="B2044" s="15">
        <v>45346</v>
      </c>
      <c r="E2044" s="157"/>
      <c r="F2044">
        <v>5404</v>
      </c>
    </row>
    <row r="2045" spans="1:6" x14ac:dyDescent="0.25">
      <c r="A2045">
        <v>7840</v>
      </c>
      <c r="B2045" s="15">
        <v>45347</v>
      </c>
      <c r="E2045" s="157"/>
      <c r="F2045">
        <v>5405</v>
      </c>
    </row>
    <row r="2046" spans="1:6" x14ac:dyDescent="0.25">
      <c r="A2046">
        <v>7840</v>
      </c>
      <c r="B2046" s="15">
        <v>45348</v>
      </c>
      <c r="E2046" s="160" t="s">
        <v>263</v>
      </c>
      <c r="F2046">
        <v>5406</v>
      </c>
    </row>
    <row r="2047" spans="1:6" x14ac:dyDescent="0.25">
      <c r="A2047">
        <v>7840</v>
      </c>
      <c r="B2047" s="15">
        <v>45349</v>
      </c>
      <c r="E2047" s="158"/>
      <c r="F2047">
        <v>5407</v>
      </c>
    </row>
    <row r="2048" spans="1:6" x14ac:dyDescent="0.25">
      <c r="A2048">
        <v>7840</v>
      </c>
      <c r="B2048" s="15">
        <v>45350</v>
      </c>
      <c r="E2048" s="160" t="s">
        <v>268</v>
      </c>
      <c r="F2048">
        <v>5408</v>
      </c>
    </row>
    <row r="2049" spans="1:6" x14ac:dyDescent="0.25">
      <c r="A2049">
        <v>7840</v>
      </c>
      <c r="B2049" s="15">
        <v>45351</v>
      </c>
      <c r="E2049" s="197" t="s">
        <v>263</v>
      </c>
      <c r="F2049">
        <v>5409</v>
      </c>
    </row>
    <row r="2050" spans="1:6" x14ac:dyDescent="0.25">
      <c r="A2050">
        <v>7840</v>
      </c>
      <c r="B2050" s="15">
        <v>45352</v>
      </c>
      <c r="E2050" s="197" t="s">
        <v>268</v>
      </c>
      <c r="F2050">
        <v>5410</v>
      </c>
    </row>
    <row r="2051" spans="1:6" x14ac:dyDescent="0.25">
      <c r="A2051">
        <v>7840</v>
      </c>
      <c r="B2051" s="15">
        <v>45353</v>
      </c>
      <c r="E2051" s="160" t="s">
        <v>175</v>
      </c>
      <c r="F2051">
        <v>5411</v>
      </c>
    </row>
    <row r="2052" spans="1:6" x14ac:dyDescent="0.25">
      <c r="A2052">
        <v>7840</v>
      </c>
      <c r="B2052" s="15">
        <v>45354</v>
      </c>
      <c r="E2052" s="157"/>
      <c r="F2052">
        <v>5412</v>
      </c>
    </row>
    <row r="2053" spans="1:6" x14ac:dyDescent="0.25">
      <c r="A2053">
        <v>7840</v>
      </c>
      <c r="B2053" s="15">
        <v>45355</v>
      </c>
      <c r="E2053" s="119"/>
      <c r="F2053">
        <v>6085</v>
      </c>
    </row>
    <row r="2054" spans="1:6" x14ac:dyDescent="0.25">
      <c r="A2054">
        <v>7840</v>
      </c>
      <c r="B2054" s="15">
        <v>45356</v>
      </c>
      <c r="E2054" s="160" t="s">
        <v>263</v>
      </c>
      <c r="F2054">
        <v>6086</v>
      </c>
    </row>
    <row r="2055" spans="1:6" x14ac:dyDescent="0.25">
      <c r="A2055">
        <v>7840</v>
      </c>
      <c r="B2055" s="15">
        <v>45357</v>
      </c>
      <c r="E2055" s="160" t="s">
        <v>263</v>
      </c>
      <c r="F2055">
        <v>6087</v>
      </c>
    </row>
    <row r="2056" spans="1:6" x14ac:dyDescent="0.25">
      <c r="A2056">
        <v>7840</v>
      </c>
      <c r="B2056" s="15">
        <v>45358</v>
      </c>
      <c r="E2056" s="197" t="s">
        <v>268</v>
      </c>
      <c r="F2056">
        <v>6088</v>
      </c>
    </row>
    <row r="2057" spans="1:6" x14ac:dyDescent="0.25">
      <c r="A2057">
        <v>7840</v>
      </c>
      <c r="B2057" s="15">
        <v>45359</v>
      </c>
      <c r="E2057" s="125" t="s">
        <v>2</v>
      </c>
      <c r="F2057">
        <v>6089</v>
      </c>
    </row>
    <row r="2058" spans="1:6" x14ac:dyDescent="0.25">
      <c r="A2058">
        <v>7840</v>
      </c>
      <c r="B2058" s="15">
        <v>45360</v>
      </c>
      <c r="E2058" s="157"/>
      <c r="F2058">
        <v>6090</v>
      </c>
    </row>
    <row r="2059" spans="1:6" x14ac:dyDescent="0.25">
      <c r="A2059">
        <v>7840</v>
      </c>
      <c r="B2059" s="15">
        <v>45361</v>
      </c>
      <c r="E2059" s="157"/>
      <c r="F2059">
        <v>6091</v>
      </c>
    </row>
    <row r="2060" spans="1:6" x14ac:dyDescent="0.25">
      <c r="A2060">
        <v>7840</v>
      </c>
      <c r="B2060" s="15">
        <v>45362</v>
      </c>
      <c r="E2060" s="204" t="s">
        <v>263</v>
      </c>
      <c r="F2060">
        <v>6092</v>
      </c>
    </row>
    <row r="2061" spans="1:6" x14ac:dyDescent="0.25">
      <c r="A2061">
        <v>7840</v>
      </c>
      <c r="B2061" s="15">
        <v>45363</v>
      </c>
      <c r="E2061" s="158"/>
      <c r="F2061">
        <v>6093</v>
      </c>
    </row>
    <row r="2062" spans="1:6" x14ac:dyDescent="0.25">
      <c r="A2062">
        <v>7840</v>
      </c>
      <c r="B2062" s="15">
        <v>45364</v>
      </c>
      <c r="E2062" s="160" t="s">
        <v>268</v>
      </c>
      <c r="F2062">
        <v>6094</v>
      </c>
    </row>
    <row r="2063" spans="1:6" x14ac:dyDescent="0.25">
      <c r="A2063">
        <v>7840</v>
      </c>
      <c r="B2063" s="15">
        <v>45365</v>
      </c>
      <c r="E2063" s="160" t="s">
        <v>263</v>
      </c>
      <c r="F2063">
        <v>6095</v>
      </c>
    </row>
    <row r="2064" spans="1:6" x14ac:dyDescent="0.25">
      <c r="A2064">
        <v>7840</v>
      </c>
      <c r="B2064" s="15">
        <v>45366</v>
      </c>
      <c r="E2064" s="202" t="s">
        <v>118</v>
      </c>
      <c r="F2064">
        <v>6096</v>
      </c>
    </row>
    <row r="2065" spans="1:6" x14ac:dyDescent="0.25">
      <c r="A2065">
        <v>7840</v>
      </c>
      <c r="B2065" s="15">
        <v>45367</v>
      </c>
      <c r="E2065" s="121" t="s">
        <v>2</v>
      </c>
      <c r="F2065">
        <v>6097</v>
      </c>
    </row>
    <row r="2066" spans="1:6" x14ac:dyDescent="0.25">
      <c r="A2066">
        <v>7840</v>
      </c>
      <c r="B2066" s="15">
        <v>45368</v>
      </c>
      <c r="E2066" s="157"/>
      <c r="F2066">
        <v>6098</v>
      </c>
    </row>
    <row r="2067" spans="1:6" x14ac:dyDescent="0.25">
      <c r="A2067">
        <v>7840</v>
      </c>
      <c r="B2067" s="15">
        <v>45369</v>
      </c>
      <c r="E2067" s="202" t="s">
        <v>275</v>
      </c>
      <c r="F2067">
        <v>6099</v>
      </c>
    </row>
    <row r="2068" spans="1:6" x14ac:dyDescent="0.25">
      <c r="A2068">
        <v>7840</v>
      </c>
      <c r="B2068" s="15">
        <v>45370</v>
      </c>
      <c r="E2068" s="127" t="s">
        <v>287</v>
      </c>
      <c r="F2068">
        <v>6100</v>
      </c>
    </row>
    <row r="2069" spans="1:6" x14ac:dyDescent="0.25">
      <c r="A2069">
        <v>7840</v>
      </c>
      <c r="B2069" s="15">
        <v>45371</v>
      </c>
      <c r="E2069" s="125" t="s">
        <v>2</v>
      </c>
      <c r="F2069">
        <v>6101</v>
      </c>
    </row>
    <row r="2070" spans="1:6" x14ac:dyDescent="0.25">
      <c r="A2070">
        <v>7840</v>
      </c>
      <c r="B2070" s="15">
        <v>45372</v>
      </c>
      <c r="E2070" s="122" t="s">
        <v>2</v>
      </c>
      <c r="F2070">
        <v>6102</v>
      </c>
    </row>
    <row r="2071" spans="1:6" x14ac:dyDescent="0.25">
      <c r="A2071">
        <v>7840</v>
      </c>
      <c r="B2071" s="15">
        <v>45373</v>
      </c>
      <c r="E2071" s="125" t="s">
        <v>2</v>
      </c>
      <c r="F2071">
        <v>6103</v>
      </c>
    </row>
    <row r="2072" spans="1:6" x14ac:dyDescent="0.25">
      <c r="A2072">
        <v>7840</v>
      </c>
      <c r="B2072" s="15">
        <v>45374</v>
      </c>
      <c r="E2072" s="157"/>
      <c r="F2072">
        <v>6104</v>
      </c>
    </row>
    <row r="2073" spans="1:6" x14ac:dyDescent="0.25">
      <c r="A2073">
        <v>7840</v>
      </c>
      <c r="B2073" s="15">
        <v>45375</v>
      </c>
      <c r="E2073" s="157"/>
      <c r="F2073">
        <v>6105</v>
      </c>
    </row>
    <row r="2074" spans="1:6" x14ac:dyDescent="0.25">
      <c r="A2074">
        <v>7840</v>
      </c>
      <c r="B2074" s="15">
        <v>45376</v>
      </c>
      <c r="E2074" s="125" t="s">
        <v>2</v>
      </c>
      <c r="F2074">
        <v>6106</v>
      </c>
    </row>
    <row r="2075" spans="1:6" x14ac:dyDescent="0.25">
      <c r="A2075">
        <v>7840</v>
      </c>
      <c r="B2075" s="15">
        <v>45377</v>
      </c>
      <c r="E2075" s="158"/>
      <c r="F2075">
        <v>6107</v>
      </c>
    </row>
    <row r="2076" spans="1:6" x14ac:dyDescent="0.25">
      <c r="A2076">
        <v>7840</v>
      </c>
      <c r="B2076" s="15">
        <v>45378</v>
      </c>
      <c r="E2076" s="202" t="s">
        <v>118</v>
      </c>
      <c r="F2076">
        <v>6108</v>
      </c>
    </row>
    <row r="2077" spans="1:6" x14ac:dyDescent="0.25">
      <c r="A2077">
        <v>7840</v>
      </c>
      <c r="B2077" s="15">
        <v>45379</v>
      </c>
      <c r="E2077" s="202" t="s">
        <v>118</v>
      </c>
      <c r="F2077">
        <v>6109</v>
      </c>
    </row>
    <row r="2078" spans="1:6" x14ac:dyDescent="0.25">
      <c r="A2078">
        <v>7840</v>
      </c>
      <c r="B2078" s="15">
        <v>45380</v>
      </c>
      <c r="E2078" s="202" t="s">
        <v>118</v>
      </c>
      <c r="F2078">
        <v>6110</v>
      </c>
    </row>
    <row r="2079" spans="1:6" x14ac:dyDescent="0.25">
      <c r="A2079">
        <v>7840</v>
      </c>
      <c r="B2079" s="15">
        <v>45381</v>
      </c>
      <c r="E2079" s="121" t="s">
        <v>2</v>
      </c>
      <c r="F2079">
        <v>6111</v>
      </c>
    </row>
    <row r="2080" spans="1:6" x14ac:dyDescent="0.25">
      <c r="A2080">
        <v>7840</v>
      </c>
      <c r="B2080" s="15">
        <v>45382</v>
      </c>
      <c r="E2080" s="157"/>
      <c r="F2080">
        <v>6112</v>
      </c>
    </row>
    <row r="2081" spans="1:6" x14ac:dyDescent="0.25">
      <c r="A2081">
        <v>7840</v>
      </c>
      <c r="B2081" s="15">
        <v>45383</v>
      </c>
      <c r="E2081" s="119"/>
      <c r="F2081">
        <v>6869</v>
      </c>
    </row>
    <row r="2082" spans="1:6" x14ac:dyDescent="0.25">
      <c r="A2082">
        <v>7840</v>
      </c>
      <c r="B2082" s="15">
        <v>45384</v>
      </c>
      <c r="E2082" s="125" t="s">
        <v>2</v>
      </c>
      <c r="F2082">
        <v>6870</v>
      </c>
    </row>
    <row r="2083" spans="1:6" x14ac:dyDescent="0.25">
      <c r="A2083">
        <v>7840</v>
      </c>
      <c r="B2083" s="15">
        <v>45385</v>
      </c>
      <c r="E2083" s="125" t="s">
        <v>2</v>
      </c>
      <c r="F2083">
        <v>6871</v>
      </c>
    </row>
    <row r="2084" spans="1:6" x14ac:dyDescent="0.25">
      <c r="A2084">
        <v>7840</v>
      </c>
      <c r="B2084" s="15">
        <v>45386</v>
      </c>
      <c r="E2084" s="122" t="s">
        <v>2</v>
      </c>
      <c r="F2084">
        <v>6872</v>
      </c>
    </row>
    <row r="2085" spans="1:6" x14ac:dyDescent="0.25">
      <c r="A2085">
        <v>7840</v>
      </c>
      <c r="B2085" s="15">
        <v>45387</v>
      </c>
      <c r="E2085" s="125" t="s">
        <v>2</v>
      </c>
      <c r="F2085">
        <v>6873</v>
      </c>
    </row>
    <row r="2086" spans="1:6" x14ac:dyDescent="0.25">
      <c r="A2086">
        <v>7840</v>
      </c>
      <c r="B2086" s="15">
        <v>45388</v>
      </c>
      <c r="E2086" s="157"/>
      <c r="F2086">
        <v>6874</v>
      </c>
    </row>
    <row r="2087" spans="1:6" x14ac:dyDescent="0.25">
      <c r="A2087">
        <v>7840</v>
      </c>
      <c r="B2087" s="15">
        <v>45389</v>
      </c>
      <c r="E2087" s="157"/>
      <c r="F2087">
        <v>6875</v>
      </c>
    </row>
    <row r="2088" spans="1:6" x14ac:dyDescent="0.25">
      <c r="A2088">
        <v>7840</v>
      </c>
      <c r="B2088" s="15">
        <v>45390</v>
      </c>
      <c r="E2088" s="125" t="s">
        <v>2</v>
      </c>
      <c r="F2088">
        <v>6876</v>
      </c>
    </row>
    <row r="2089" spans="1:6" x14ac:dyDescent="0.25">
      <c r="A2089">
        <v>7840</v>
      </c>
      <c r="B2089" s="15">
        <v>45391</v>
      </c>
      <c r="E2089" s="158"/>
      <c r="F2089">
        <v>6877</v>
      </c>
    </row>
    <row r="2090" spans="1:6" x14ac:dyDescent="0.25">
      <c r="A2090">
        <v>7840</v>
      </c>
      <c r="B2090" s="15">
        <v>45392</v>
      </c>
      <c r="E2090" s="120" t="s">
        <v>2</v>
      </c>
      <c r="F2090">
        <v>6878</v>
      </c>
    </row>
    <row r="2091" spans="1:6" x14ac:dyDescent="0.25">
      <c r="A2091">
        <v>7840</v>
      </c>
      <c r="B2091" s="15">
        <v>45393</v>
      </c>
      <c r="E2091" s="125" t="s">
        <v>2</v>
      </c>
      <c r="F2091">
        <v>6879</v>
      </c>
    </row>
    <row r="2092" spans="1:6" x14ac:dyDescent="0.25">
      <c r="A2092">
        <v>7840</v>
      </c>
      <c r="B2092" s="15">
        <v>45394</v>
      </c>
      <c r="E2092" s="120" t="s">
        <v>2</v>
      </c>
      <c r="F2092">
        <v>6880</v>
      </c>
    </row>
    <row r="2093" spans="1:6" x14ac:dyDescent="0.25">
      <c r="A2093">
        <v>7840</v>
      </c>
      <c r="B2093" s="15">
        <v>45395</v>
      </c>
      <c r="E2093" s="121" t="s">
        <v>2</v>
      </c>
      <c r="F2093">
        <v>6881</v>
      </c>
    </row>
    <row r="2094" spans="1:6" x14ac:dyDescent="0.25">
      <c r="A2094">
        <v>7840</v>
      </c>
      <c r="B2094" s="15">
        <v>45396</v>
      </c>
      <c r="E2094" s="157"/>
      <c r="F2094">
        <v>6882</v>
      </c>
    </row>
    <row r="2095" spans="1:6" x14ac:dyDescent="0.25">
      <c r="A2095">
        <v>7840</v>
      </c>
      <c r="B2095" s="15">
        <v>45397</v>
      </c>
      <c r="E2095" s="119"/>
      <c r="F2095">
        <v>6883</v>
      </c>
    </row>
    <row r="2096" spans="1:6" x14ac:dyDescent="0.25">
      <c r="A2096">
        <v>7840</v>
      </c>
      <c r="B2096" s="15">
        <v>45398</v>
      </c>
      <c r="E2096" s="160" t="s">
        <v>263</v>
      </c>
      <c r="F2096">
        <v>6884</v>
      </c>
    </row>
    <row r="2097" spans="1:6" x14ac:dyDescent="0.25">
      <c r="A2097">
        <v>7840</v>
      </c>
      <c r="B2097" s="15">
        <v>45399</v>
      </c>
      <c r="E2097" s="160" t="s">
        <v>263</v>
      </c>
      <c r="F2097">
        <v>6885</v>
      </c>
    </row>
    <row r="2098" spans="1:6" x14ac:dyDescent="0.25">
      <c r="A2098">
        <v>7840</v>
      </c>
      <c r="B2098" s="15">
        <v>45400</v>
      </c>
      <c r="E2098" s="197" t="s">
        <v>268</v>
      </c>
      <c r="F2098">
        <v>6886</v>
      </c>
    </row>
    <row r="2099" spans="1:6" x14ac:dyDescent="0.25">
      <c r="A2099">
        <v>7840</v>
      </c>
      <c r="B2099" s="15">
        <v>45401</v>
      </c>
      <c r="E2099" s="197" t="s">
        <v>263</v>
      </c>
      <c r="F2099">
        <v>6887</v>
      </c>
    </row>
    <row r="2100" spans="1:6" x14ac:dyDescent="0.25">
      <c r="A2100">
        <v>7840</v>
      </c>
      <c r="B2100" s="15">
        <v>45402</v>
      </c>
      <c r="E2100" s="157"/>
      <c r="F2100">
        <v>6888</v>
      </c>
    </row>
    <row r="2101" spans="1:6" x14ac:dyDescent="0.25">
      <c r="A2101">
        <v>7840</v>
      </c>
      <c r="B2101" s="15">
        <v>45403</v>
      </c>
      <c r="E2101" s="157"/>
      <c r="F2101">
        <v>6889</v>
      </c>
    </row>
    <row r="2102" spans="1:6" x14ac:dyDescent="0.25">
      <c r="A2102">
        <v>7840</v>
      </c>
      <c r="B2102" s="15">
        <v>45404</v>
      </c>
      <c r="E2102" s="204" t="s">
        <v>263</v>
      </c>
      <c r="F2102">
        <v>6890</v>
      </c>
    </row>
    <row r="2103" spans="1:6" x14ac:dyDescent="0.25">
      <c r="A2103">
        <v>7840</v>
      </c>
      <c r="B2103" s="15">
        <v>45405</v>
      </c>
      <c r="E2103" s="158"/>
      <c r="F2103">
        <v>6891</v>
      </c>
    </row>
    <row r="2104" spans="1:6" x14ac:dyDescent="0.25">
      <c r="A2104">
        <v>7840</v>
      </c>
      <c r="B2104" s="15">
        <v>45406</v>
      </c>
      <c r="E2104" s="160" t="s">
        <v>268</v>
      </c>
      <c r="F2104">
        <v>6892</v>
      </c>
    </row>
    <row r="2105" spans="1:6" x14ac:dyDescent="0.25">
      <c r="A2105">
        <v>7840</v>
      </c>
      <c r="B2105" s="15">
        <v>45407</v>
      </c>
      <c r="E2105" s="197" t="s">
        <v>263</v>
      </c>
      <c r="F2105">
        <v>6893</v>
      </c>
    </row>
    <row r="2106" spans="1:6" x14ac:dyDescent="0.25">
      <c r="A2106">
        <v>7840</v>
      </c>
      <c r="B2106" s="15">
        <v>45408</v>
      </c>
      <c r="E2106" s="197" t="s">
        <v>268</v>
      </c>
      <c r="F2106">
        <v>6894</v>
      </c>
    </row>
    <row r="2107" spans="1:6" x14ac:dyDescent="0.25">
      <c r="A2107">
        <v>7840</v>
      </c>
      <c r="B2107" s="15">
        <v>45409</v>
      </c>
      <c r="E2107" s="160" t="s">
        <v>175</v>
      </c>
      <c r="F2107">
        <v>6895</v>
      </c>
    </row>
    <row r="2108" spans="1:6" x14ac:dyDescent="0.25">
      <c r="A2108">
        <v>7840</v>
      </c>
      <c r="B2108" s="15">
        <v>45410</v>
      </c>
      <c r="E2108" s="157"/>
      <c r="F2108">
        <v>6896</v>
      </c>
    </row>
    <row r="2109" spans="1:6" x14ac:dyDescent="0.25">
      <c r="A2109">
        <v>7840</v>
      </c>
      <c r="B2109" s="15">
        <v>45411</v>
      </c>
      <c r="E2109" s="119"/>
      <c r="F2109">
        <v>6897</v>
      </c>
    </row>
    <row r="2110" spans="1:6" x14ac:dyDescent="0.25">
      <c r="A2110">
        <v>7840</v>
      </c>
      <c r="B2110" s="15">
        <v>45412</v>
      </c>
      <c r="E2110" s="160" t="s">
        <v>263</v>
      </c>
      <c r="F2110">
        <v>6898</v>
      </c>
    </row>
    <row r="2111" spans="1:6" x14ac:dyDescent="0.25">
      <c r="A2111">
        <v>7840</v>
      </c>
      <c r="B2111" s="15">
        <v>45413</v>
      </c>
      <c r="E2111" s="158"/>
      <c r="F2111">
        <v>6899</v>
      </c>
    </row>
    <row r="2112" spans="1:6" x14ac:dyDescent="0.25">
      <c r="A2112">
        <v>7840</v>
      </c>
      <c r="B2112" s="15">
        <v>45414</v>
      </c>
      <c r="E2112" s="160" t="s">
        <v>268</v>
      </c>
      <c r="F2112">
        <v>6900</v>
      </c>
    </row>
    <row r="2113" spans="1:6" x14ac:dyDescent="0.25">
      <c r="A2113">
        <v>7840</v>
      </c>
      <c r="B2113" s="15">
        <v>45415</v>
      </c>
      <c r="E2113" s="197" t="s">
        <v>263</v>
      </c>
      <c r="F2113">
        <v>6901</v>
      </c>
    </row>
    <row r="2114" spans="1:6" x14ac:dyDescent="0.25">
      <c r="A2114">
        <v>7840</v>
      </c>
      <c r="B2114" s="15">
        <v>45416</v>
      </c>
      <c r="E2114" s="157"/>
      <c r="F2114">
        <v>6902</v>
      </c>
    </row>
    <row r="2115" spans="1:6" x14ac:dyDescent="0.25">
      <c r="A2115">
        <v>7840</v>
      </c>
      <c r="B2115" s="15">
        <v>45417</v>
      </c>
      <c r="E2115" s="157"/>
      <c r="F2115">
        <v>6903</v>
      </c>
    </row>
    <row r="2116" spans="1:6" x14ac:dyDescent="0.25">
      <c r="A2116">
        <v>7841</v>
      </c>
      <c r="B2116" s="15">
        <v>45264</v>
      </c>
      <c r="E2116" s="160" t="s">
        <v>263</v>
      </c>
      <c r="F2116">
        <v>3474</v>
      </c>
    </row>
    <row r="2117" spans="1:6" x14ac:dyDescent="0.25">
      <c r="A2117">
        <v>7841</v>
      </c>
      <c r="B2117" s="15">
        <v>45265</v>
      </c>
      <c r="E2117" s="160" t="s">
        <v>266</v>
      </c>
      <c r="F2117">
        <v>3475</v>
      </c>
    </row>
    <row r="2118" spans="1:6" x14ac:dyDescent="0.25">
      <c r="A2118">
        <v>7841</v>
      </c>
      <c r="B2118" s="15">
        <v>45266</v>
      </c>
      <c r="E2118" s="157"/>
      <c r="F2118">
        <v>3476</v>
      </c>
    </row>
    <row r="2119" spans="1:6" x14ac:dyDescent="0.25">
      <c r="A2119">
        <v>7841</v>
      </c>
      <c r="B2119" s="15">
        <v>45267</v>
      </c>
      <c r="E2119" s="160" t="s">
        <v>263</v>
      </c>
      <c r="F2119">
        <v>3477</v>
      </c>
    </row>
    <row r="2120" spans="1:6" x14ac:dyDescent="0.25">
      <c r="A2120">
        <v>7841</v>
      </c>
      <c r="B2120" s="15">
        <v>45268</v>
      </c>
      <c r="E2120" s="160" t="s">
        <v>266</v>
      </c>
      <c r="F2120">
        <v>3478</v>
      </c>
    </row>
    <row r="2121" spans="1:6" x14ac:dyDescent="0.25">
      <c r="A2121">
        <v>7841</v>
      </c>
      <c r="B2121" s="15">
        <v>45269</v>
      </c>
      <c r="E2121" s="160" t="s">
        <v>175</v>
      </c>
      <c r="F2121">
        <v>3479</v>
      </c>
    </row>
    <row r="2122" spans="1:6" x14ac:dyDescent="0.25">
      <c r="A2122">
        <v>7841</v>
      </c>
      <c r="B2122" s="15">
        <v>45270</v>
      </c>
      <c r="E2122" s="157"/>
      <c r="F2122">
        <v>3480</v>
      </c>
    </row>
    <row r="2123" spans="1:6" x14ac:dyDescent="0.25">
      <c r="A2123">
        <v>7841</v>
      </c>
      <c r="B2123" s="15">
        <v>45271</v>
      </c>
      <c r="E2123" s="160" t="s">
        <v>263</v>
      </c>
      <c r="F2123">
        <v>3481</v>
      </c>
    </row>
    <row r="2124" spans="1:6" x14ac:dyDescent="0.25">
      <c r="A2124">
        <v>7841</v>
      </c>
      <c r="B2124" s="15">
        <v>45272</v>
      </c>
      <c r="E2124" s="120" t="s">
        <v>1</v>
      </c>
      <c r="F2124">
        <v>3482</v>
      </c>
    </row>
    <row r="2125" spans="1:6" x14ac:dyDescent="0.25">
      <c r="A2125">
        <v>7841</v>
      </c>
      <c r="B2125" s="15">
        <v>45273</v>
      </c>
      <c r="E2125" s="157"/>
      <c r="F2125">
        <v>3483</v>
      </c>
    </row>
    <row r="2126" spans="1:6" x14ac:dyDescent="0.25">
      <c r="A2126">
        <v>7841</v>
      </c>
      <c r="B2126" s="15">
        <v>45274</v>
      </c>
      <c r="E2126" s="160" t="s">
        <v>263</v>
      </c>
      <c r="F2126">
        <v>3484</v>
      </c>
    </row>
    <row r="2127" spans="1:6" x14ac:dyDescent="0.25">
      <c r="A2127">
        <v>7841</v>
      </c>
      <c r="B2127" s="15">
        <v>45275</v>
      </c>
      <c r="E2127" s="160" t="s">
        <v>266</v>
      </c>
      <c r="F2127">
        <v>3485</v>
      </c>
    </row>
    <row r="2128" spans="1:6" x14ac:dyDescent="0.25">
      <c r="A2128">
        <v>7841</v>
      </c>
      <c r="B2128" s="15">
        <v>45276</v>
      </c>
      <c r="E2128" s="157"/>
      <c r="F2128">
        <v>3486</v>
      </c>
    </row>
    <row r="2129" spans="1:6" x14ac:dyDescent="0.25">
      <c r="A2129">
        <v>7841</v>
      </c>
      <c r="B2129" s="15">
        <v>45277</v>
      </c>
      <c r="E2129" s="157"/>
      <c r="F2129">
        <v>3487</v>
      </c>
    </row>
    <row r="2130" spans="1:6" x14ac:dyDescent="0.25">
      <c r="A2130">
        <v>7841</v>
      </c>
      <c r="B2130" s="15">
        <v>45278</v>
      </c>
      <c r="E2130" s="160" t="s">
        <v>263</v>
      </c>
      <c r="F2130">
        <v>3488</v>
      </c>
    </row>
    <row r="2131" spans="1:6" x14ac:dyDescent="0.25">
      <c r="A2131">
        <v>7841</v>
      </c>
      <c r="B2131" s="15">
        <v>45279</v>
      </c>
      <c r="E2131" s="160" t="s">
        <v>266</v>
      </c>
      <c r="F2131">
        <v>3489</v>
      </c>
    </row>
    <row r="2132" spans="1:6" x14ac:dyDescent="0.25">
      <c r="A2132">
        <v>7841</v>
      </c>
      <c r="B2132" s="15">
        <v>45280</v>
      </c>
      <c r="E2132" s="157"/>
      <c r="F2132">
        <v>3490</v>
      </c>
    </row>
    <row r="2133" spans="1:6" x14ac:dyDescent="0.25">
      <c r="A2133">
        <v>7841</v>
      </c>
      <c r="B2133" s="15">
        <v>45281</v>
      </c>
      <c r="E2133" s="160" t="s">
        <v>263</v>
      </c>
      <c r="F2133">
        <v>3491</v>
      </c>
    </row>
    <row r="2134" spans="1:6" x14ac:dyDescent="0.25">
      <c r="A2134">
        <v>7841</v>
      </c>
      <c r="B2134" s="15">
        <v>45282</v>
      </c>
      <c r="E2134" s="160" t="s">
        <v>175</v>
      </c>
      <c r="F2134">
        <v>3492</v>
      </c>
    </row>
    <row r="2135" spans="1:6" x14ac:dyDescent="0.25">
      <c r="A2135">
        <v>7841</v>
      </c>
      <c r="B2135" s="15">
        <v>45283</v>
      </c>
      <c r="E2135" s="121" t="s">
        <v>2</v>
      </c>
      <c r="F2135">
        <v>3493</v>
      </c>
    </row>
    <row r="2136" spans="1:6" x14ac:dyDescent="0.25">
      <c r="A2136">
        <v>7841</v>
      </c>
      <c r="B2136" s="15">
        <v>45284</v>
      </c>
      <c r="E2136" s="157"/>
      <c r="F2136">
        <v>3494</v>
      </c>
    </row>
    <row r="2137" spans="1:6" x14ac:dyDescent="0.25">
      <c r="A2137">
        <v>7841</v>
      </c>
      <c r="B2137" s="15">
        <v>45285</v>
      </c>
      <c r="E2137" s="119"/>
      <c r="F2137">
        <v>3495</v>
      </c>
    </row>
    <row r="2138" spans="1:6" x14ac:dyDescent="0.25">
      <c r="A2138">
        <v>7841</v>
      </c>
      <c r="B2138" s="15">
        <v>45286</v>
      </c>
      <c r="E2138" s="120" t="s">
        <v>2</v>
      </c>
      <c r="F2138">
        <v>3496</v>
      </c>
    </row>
    <row r="2139" spans="1:6" x14ac:dyDescent="0.25">
      <c r="A2139">
        <v>7841</v>
      </c>
      <c r="B2139" s="15">
        <v>45287</v>
      </c>
      <c r="E2139" s="157"/>
      <c r="F2139">
        <v>3497</v>
      </c>
    </row>
    <row r="2140" spans="1:6" x14ac:dyDescent="0.25">
      <c r="A2140">
        <v>7841</v>
      </c>
      <c r="B2140" s="15">
        <v>45288</v>
      </c>
      <c r="E2140" s="117" t="s">
        <v>2</v>
      </c>
      <c r="F2140">
        <v>3498</v>
      </c>
    </row>
    <row r="2141" spans="1:6" x14ac:dyDescent="0.25">
      <c r="A2141">
        <v>7841</v>
      </c>
      <c r="B2141" s="15">
        <v>45289</v>
      </c>
      <c r="E2141" s="120" t="s">
        <v>2</v>
      </c>
      <c r="F2141">
        <v>3499</v>
      </c>
    </row>
    <row r="2142" spans="1:6" x14ac:dyDescent="0.25">
      <c r="A2142">
        <v>7841</v>
      </c>
      <c r="B2142" s="15">
        <v>45290</v>
      </c>
      <c r="E2142" s="157"/>
      <c r="F2142">
        <v>3500</v>
      </c>
    </row>
    <row r="2143" spans="1:6" x14ac:dyDescent="0.25">
      <c r="A2143">
        <v>7841</v>
      </c>
      <c r="B2143" s="15">
        <v>45291</v>
      </c>
      <c r="E2143" s="157"/>
      <c r="F2143">
        <v>3501</v>
      </c>
    </row>
    <row r="2144" spans="1:6" x14ac:dyDescent="0.25">
      <c r="A2144">
        <v>7841</v>
      </c>
      <c r="B2144" s="15">
        <v>45292</v>
      </c>
      <c r="E2144" s="119"/>
      <c r="F2144">
        <v>4209</v>
      </c>
    </row>
    <row r="2145" spans="1:6" x14ac:dyDescent="0.25">
      <c r="A2145">
        <v>7841</v>
      </c>
      <c r="B2145" s="15">
        <v>45293</v>
      </c>
      <c r="E2145" s="160" t="s">
        <v>266</v>
      </c>
      <c r="F2145">
        <v>4210</v>
      </c>
    </row>
    <row r="2146" spans="1:6" x14ac:dyDescent="0.25">
      <c r="A2146">
        <v>7841</v>
      </c>
      <c r="B2146" s="15">
        <v>45294</v>
      </c>
      <c r="E2146" s="157"/>
      <c r="F2146">
        <v>4211</v>
      </c>
    </row>
    <row r="2147" spans="1:6" x14ac:dyDescent="0.25">
      <c r="A2147">
        <v>7841</v>
      </c>
      <c r="B2147" s="15">
        <v>45295</v>
      </c>
      <c r="E2147" s="160" t="s">
        <v>263</v>
      </c>
      <c r="F2147">
        <v>4212</v>
      </c>
    </row>
    <row r="2148" spans="1:6" x14ac:dyDescent="0.25">
      <c r="A2148">
        <v>7841</v>
      </c>
      <c r="B2148" s="15">
        <v>45296</v>
      </c>
      <c r="E2148" s="160" t="s">
        <v>266</v>
      </c>
      <c r="F2148">
        <v>4213</v>
      </c>
    </row>
    <row r="2149" spans="1:6" x14ac:dyDescent="0.25">
      <c r="A2149">
        <v>7841</v>
      </c>
      <c r="B2149" s="15">
        <v>45297</v>
      </c>
      <c r="E2149" s="160" t="s">
        <v>175</v>
      </c>
      <c r="F2149">
        <v>4214</v>
      </c>
    </row>
    <row r="2150" spans="1:6" x14ac:dyDescent="0.25">
      <c r="A2150">
        <v>7841</v>
      </c>
      <c r="B2150" s="15">
        <v>45298</v>
      </c>
      <c r="E2150" s="157"/>
      <c r="F2150">
        <v>4215</v>
      </c>
    </row>
    <row r="2151" spans="1:6" x14ac:dyDescent="0.25">
      <c r="A2151">
        <v>7841</v>
      </c>
      <c r="B2151" s="15">
        <v>45299</v>
      </c>
      <c r="E2151" s="160" t="s">
        <v>263</v>
      </c>
      <c r="F2151">
        <v>4216</v>
      </c>
    </row>
    <row r="2152" spans="1:6" x14ac:dyDescent="0.25">
      <c r="A2152">
        <v>7841</v>
      </c>
      <c r="B2152" s="15">
        <v>45300</v>
      </c>
      <c r="E2152" s="160" t="s">
        <v>266</v>
      </c>
      <c r="F2152">
        <v>4217</v>
      </c>
    </row>
    <row r="2153" spans="1:6" x14ac:dyDescent="0.25">
      <c r="A2153">
        <v>7841</v>
      </c>
      <c r="B2153" s="15">
        <v>45301</v>
      </c>
      <c r="E2153" s="157"/>
      <c r="F2153">
        <v>4218</v>
      </c>
    </row>
    <row r="2154" spans="1:6" x14ac:dyDescent="0.25">
      <c r="A2154">
        <v>7841</v>
      </c>
      <c r="B2154" s="15">
        <v>45302</v>
      </c>
      <c r="E2154" s="160" t="s">
        <v>263</v>
      </c>
      <c r="F2154">
        <v>4219</v>
      </c>
    </row>
    <row r="2155" spans="1:6" x14ac:dyDescent="0.25">
      <c r="A2155">
        <v>7841</v>
      </c>
      <c r="B2155" s="15">
        <v>45303</v>
      </c>
      <c r="E2155" s="160" t="s">
        <v>266</v>
      </c>
      <c r="F2155">
        <v>4220</v>
      </c>
    </row>
    <row r="2156" spans="1:6" x14ac:dyDescent="0.25">
      <c r="A2156">
        <v>7841</v>
      </c>
      <c r="B2156" s="15">
        <v>45304</v>
      </c>
      <c r="E2156" s="157"/>
      <c r="F2156">
        <v>4221</v>
      </c>
    </row>
    <row r="2157" spans="1:6" x14ac:dyDescent="0.25">
      <c r="A2157">
        <v>7841</v>
      </c>
      <c r="B2157" s="15">
        <v>45305</v>
      </c>
      <c r="E2157" s="157"/>
      <c r="F2157">
        <v>4222</v>
      </c>
    </row>
    <row r="2158" spans="1:6" x14ac:dyDescent="0.25">
      <c r="A2158">
        <v>7841</v>
      </c>
      <c r="B2158" s="15">
        <v>45306</v>
      </c>
      <c r="E2158" s="160" t="s">
        <v>263</v>
      </c>
      <c r="F2158">
        <v>4223</v>
      </c>
    </row>
    <row r="2159" spans="1:6" x14ac:dyDescent="0.25">
      <c r="A2159">
        <v>7841</v>
      </c>
      <c r="B2159" s="15">
        <v>45307</v>
      </c>
      <c r="E2159" s="160" t="s">
        <v>266</v>
      </c>
      <c r="F2159">
        <v>4224</v>
      </c>
    </row>
    <row r="2160" spans="1:6" x14ac:dyDescent="0.25">
      <c r="A2160">
        <v>7841</v>
      </c>
      <c r="B2160" s="15">
        <v>45308</v>
      </c>
      <c r="E2160" s="157"/>
      <c r="F2160">
        <v>4225</v>
      </c>
    </row>
    <row r="2161" spans="1:6" x14ac:dyDescent="0.25">
      <c r="A2161">
        <v>7841</v>
      </c>
      <c r="B2161" s="15">
        <v>45309</v>
      </c>
      <c r="E2161" s="160" t="s">
        <v>263</v>
      </c>
      <c r="F2161">
        <v>4226</v>
      </c>
    </row>
    <row r="2162" spans="1:6" x14ac:dyDescent="0.25">
      <c r="A2162">
        <v>7841</v>
      </c>
      <c r="B2162" s="15">
        <v>45310</v>
      </c>
      <c r="E2162" s="160" t="s">
        <v>266</v>
      </c>
      <c r="F2162">
        <v>4227</v>
      </c>
    </row>
    <row r="2163" spans="1:6" x14ac:dyDescent="0.25">
      <c r="A2163">
        <v>7841</v>
      </c>
      <c r="B2163" s="15">
        <v>45311</v>
      </c>
      <c r="E2163" s="160" t="s">
        <v>175</v>
      </c>
      <c r="F2163">
        <v>4228</v>
      </c>
    </row>
    <row r="2164" spans="1:6" x14ac:dyDescent="0.25">
      <c r="A2164">
        <v>7841</v>
      </c>
      <c r="B2164" s="15">
        <v>45312</v>
      </c>
      <c r="E2164" s="157"/>
      <c r="F2164">
        <v>4229</v>
      </c>
    </row>
    <row r="2165" spans="1:6" x14ac:dyDescent="0.25">
      <c r="A2165">
        <v>7841</v>
      </c>
      <c r="B2165" s="15">
        <v>45313</v>
      </c>
      <c r="E2165" s="160" t="s">
        <v>263</v>
      </c>
      <c r="F2165">
        <v>4230</v>
      </c>
    </row>
    <row r="2166" spans="1:6" x14ac:dyDescent="0.25">
      <c r="A2166">
        <v>7841</v>
      </c>
      <c r="B2166" s="15">
        <v>45314</v>
      </c>
      <c r="E2166" s="160" t="s">
        <v>266</v>
      </c>
      <c r="F2166">
        <v>4231</v>
      </c>
    </row>
    <row r="2167" spans="1:6" x14ac:dyDescent="0.25">
      <c r="A2167">
        <v>7841</v>
      </c>
      <c r="B2167" s="15">
        <v>45315</v>
      </c>
      <c r="E2167" s="157"/>
      <c r="F2167">
        <v>4232</v>
      </c>
    </row>
    <row r="2168" spans="1:6" x14ac:dyDescent="0.25">
      <c r="A2168">
        <v>7841</v>
      </c>
      <c r="B2168" s="15">
        <v>45316</v>
      </c>
      <c r="E2168" s="160" t="s">
        <v>263</v>
      </c>
      <c r="F2168">
        <v>4233</v>
      </c>
    </row>
    <row r="2169" spans="1:6" x14ac:dyDescent="0.25">
      <c r="A2169">
        <v>7841</v>
      </c>
      <c r="B2169" s="15">
        <v>45317</v>
      </c>
      <c r="E2169" s="160" t="s">
        <v>266</v>
      </c>
      <c r="F2169">
        <v>4234</v>
      </c>
    </row>
    <row r="2170" spans="1:6" x14ac:dyDescent="0.25">
      <c r="A2170">
        <v>7841</v>
      </c>
      <c r="B2170" s="15">
        <v>45318</v>
      </c>
      <c r="E2170" s="157"/>
      <c r="F2170">
        <v>4235</v>
      </c>
    </row>
    <row r="2171" spans="1:6" x14ac:dyDescent="0.25">
      <c r="A2171">
        <v>7841</v>
      </c>
      <c r="B2171" s="15">
        <v>45319</v>
      </c>
      <c r="E2171" s="157"/>
      <c r="F2171">
        <v>4236</v>
      </c>
    </row>
    <row r="2172" spans="1:6" x14ac:dyDescent="0.25">
      <c r="A2172">
        <v>7841</v>
      </c>
      <c r="B2172" s="15">
        <v>45320</v>
      </c>
      <c r="E2172" s="160" t="s">
        <v>263</v>
      </c>
      <c r="F2172">
        <v>4237</v>
      </c>
    </row>
    <row r="2173" spans="1:6" x14ac:dyDescent="0.25">
      <c r="A2173">
        <v>7841</v>
      </c>
      <c r="B2173" s="15">
        <v>45321</v>
      </c>
      <c r="E2173" s="160" t="s">
        <v>266</v>
      </c>
      <c r="F2173">
        <v>4238</v>
      </c>
    </row>
    <row r="2174" spans="1:6" x14ac:dyDescent="0.25">
      <c r="A2174">
        <v>7841</v>
      </c>
      <c r="B2174" s="15">
        <v>45322</v>
      </c>
      <c r="E2174" s="157"/>
      <c r="F2174">
        <v>4239</v>
      </c>
    </row>
    <row r="2175" spans="1:6" x14ac:dyDescent="0.25">
      <c r="A2175">
        <v>7841</v>
      </c>
      <c r="B2175" s="15">
        <v>45323</v>
      </c>
      <c r="E2175" s="160" t="s">
        <v>263</v>
      </c>
      <c r="F2175">
        <v>4240</v>
      </c>
    </row>
    <row r="2176" spans="1:6" x14ac:dyDescent="0.25">
      <c r="A2176">
        <v>7841</v>
      </c>
      <c r="B2176" s="15">
        <v>45324</v>
      </c>
      <c r="E2176" s="160" t="s">
        <v>266</v>
      </c>
      <c r="F2176">
        <v>4241</v>
      </c>
    </row>
    <row r="2177" spans="1:6" x14ac:dyDescent="0.25">
      <c r="A2177">
        <v>7841</v>
      </c>
      <c r="B2177" s="15">
        <v>45325</v>
      </c>
      <c r="E2177" s="160" t="s">
        <v>175</v>
      </c>
      <c r="F2177">
        <v>4242</v>
      </c>
    </row>
    <row r="2178" spans="1:6" x14ac:dyDescent="0.25">
      <c r="A2178">
        <v>7841</v>
      </c>
      <c r="B2178" s="15">
        <v>45326</v>
      </c>
      <c r="E2178" s="157"/>
      <c r="F2178">
        <v>4243</v>
      </c>
    </row>
    <row r="2179" spans="1:6" x14ac:dyDescent="0.25">
      <c r="A2179">
        <v>7841</v>
      </c>
      <c r="B2179" s="15">
        <v>45327</v>
      </c>
      <c r="E2179" s="160" t="s">
        <v>263</v>
      </c>
      <c r="F2179">
        <v>5077</v>
      </c>
    </row>
    <row r="2180" spans="1:6" x14ac:dyDescent="0.25">
      <c r="A2180">
        <v>7841</v>
      </c>
      <c r="B2180" s="15">
        <v>45328</v>
      </c>
      <c r="E2180" s="160" t="s">
        <v>266</v>
      </c>
      <c r="F2180">
        <v>5078</v>
      </c>
    </row>
    <row r="2181" spans="1:6" x14ac:dyDescent="0.25">
      <c r="A2181">
        <v>7841</v>
      </c>
      <c r="B2181" s="15">
        <v>45329</v>
      </c>
      <c r="E2181" s="157"/>
      <c r="F2181">
        <v>5079</v>
      </c>
    </row>
    <row r="2182" spans="1:6" x14ac:dyDescent="0.25">
      <c r="A2182">
        <v>7841</v>
      </c>
      <c r="B2182" s="15">
        <v>45330</v>
      </c>
      <c r="E2182" s="160" t="s">
        <v>263</v>
      </c>
      <c r="F2182">
        <v>5080</v>
      </c>
    </row>
    <row r="2183" spans="1:6" x14ac:dyDescent="0.25">
      <c r="A2183">
        <v>7841</v>
      </c>
      <c r="B2183" s="15">
        <v>45331</v>
      </c>
      <c r="E2183" s="160" t="s">
        <v>266</v>
      </c>
      <c r="F2183">
        <v>5081</v>
      </c>
    </row>
    <row r="2184" spans="1:6" x14ac:dyDescent="0.25">
      <c r="A2184">
        <v>7841</v>
      </c>
      <c r="B2184" s="15">
        <v>45332</v>
      </c>
      <c r="E2184" s="157"/>
      <c r="F2184">
        <v>5082</v>
      </c>
    </row>
    <row r="2185" spans="1:6" x14ac:dyDescent="0.25">
      <c r="A2185">
        <v>7841</v>
      </c>
      <c r="B2185" s="15">
        <v>45333</v>
      </c>
      <c r="E2185" s="157"/>
      <c r="F2185">
        <v>5083</v>
      </c>
    </row>
    <row r="2186" spans="1:6" x14ac:dyDescent="0.25">
      <c r="A2186">
        <v>7841</v>
      </c>
      <c r="B2186" s="15">
        <v>45334</v>
      </c>
      <c r="E2186" s="160" t="s">
        <v>263</v>
      </c>
      <c r="F2186">
        <v>5084</v>
      </c>
    </row>
    <row r="2187" spans="1:6" x14ac:dyDescent="0.25">
      <c r="A2187">
        <v>7841</v>
      </c>
      <c r="B2187" s="15">
        <v>45335</v>
      </c>
      <c r="E2187" s="160" t="s">
        <v>266</v>
      </c>
      <c r="F2187">
        <v>5085</v>
      </c>
    </row>
    <row r="2188" spans="1:6" x14ac:dyDescent="0.25">
      <c r="A2188">
        <v>7841</v>
      </c>
      <c r="B2188" s="15">
        <v>45336</v>
      </c>
      <c r="E2188" s="157"/>
      <c r="F2188">
        <v>5086</v>
      </c>
    </row>
    <row r="2189" spans="1:6" x14ac:dyDescent="0.25">
      <c r="A2189">
        <v>7841</v>
      </c>
      <c r="B2189" s="15">
        <v>45337</v>
      </c>
      <c r="E2189" s="160" t="s">
        <v>263</v>
      </c>
      <c r="F2189">
        <v>5087</v>
      </c>
    </row>
    <row r="2190" spans="1:6" x14ac:dyDescent="0.25">
      <c r="A2190">
        <v>7841</v>
      </c>
      <c r="B2190" s="15">
        <v>45338</v>
      </c>
      <c r="E2190" s="160" t="s">
        <v>266</v>
      </c>
      <c r="F2190">
        <v>5088</v>
      </c>
    </row>
    <row r="2191" spans="1:6" x14ac:dyDescent="0.25">
      <c r="A2191">
        <v>7841</v>
      </c>
      <c r="B2191" s="15">
        <v>45339</v>
      </c>
      <c r="E2191" s="121" t="s">
        <v>2</v>
      </c>
      <c r="F2191">
        <v>5089</v>
      </c>
    </row>
    <row r="2192" spans="1:6" x14ac:dyDescent="0.25">
      <c r="A2192">
        <v>7841</v>
      </c>
      <c r="B2192" s="15">
        <v>45340</v>
      </c>
      <c r="E2192" s="157"/>
      <c r="F2192">
        <v>5090</v>
      </c>
    </row>
    <row r="2193" spans="1:6" x14ac:dyDescent="0.25">
      <c r="A2193">
        <v>7841</v>
      </c>
      <c r="B2193" s="15">
        <v>45341</v>
      </c>
      <c r="E2193" s="117" t="s">
        <v>2</v>
      </c>
      <c r="F2193">
        <v>5091</v>
      </c>
    </row>
    <row r="2194" spans="1:6" x14ac:dyDescent="0.25">
      <c r="A2194">
        <v>7841</v>
      </c>
      <c r="B2194" s="15">
        <v>45342</v>
      </c>
      <c r="E2194" s="120" t="s">
        <v>2</v>
      </c>
      <c r="F2194">
        <v>5092</v>
      </c>
    </row>
    <row r="2195" spans="1:6" x14ac:dyDescent="0.25">
      <c r="A2195">
        <v>7841</v>
      </c>
      <c r="B2195" s="15">
        <v>45343</v>
      </c>
      <c r="E2195" s="157"/>
      <c r="F2195">
        <v>5093</v>
      </c>
    </row>
    <row r="2196" spans="1:6" x14ac:dyDescent="0.25">
      <c r="A2196">
        <v>7841</v>
      </c>
      <c r="B2196" s="15">
        <v>45344</v>
      </c>
      <c r="E2196" s="117" t="s">
        <v>2</v>
      </c>
      <c r="F2196">
        <v>5094</v>
      </c>
    </row>
    <row r="2197" spans="1:6" x14ac:dyDescent="0.25">
      <c r="A2197">
        <v>7841</v>
      </c>
      <c r="B2197" s="15">
        <v>45345</v>
      </c>
      <c r="E2197" s="120" t="s">
        <v>2</v>
      </c>
      <c r="F2197">
        <v>5095</v>
      </c>
    </row>
    <row r="2198" spans="1:6" x14ac:dyDescent="0.25">
      <c r="A2198">
        <v>7841</v>
      </c>
      <c r="B2198" s="15">
        <v>45346</v>
      </c>
      <c r="E2198" s="157"/>
      <c r="F2198">
        <v>5096</v>
      </c>
    </row>
    <row r="2199" spans="1:6" x14ac:dyDescent="0.25">
      <c r="A2199">
        <v>7841</v>
      </c>
      <c r="B2199" s="15">
        <v>45347</v>
      </c>
      <c r="E2199" s="157"/>
      <c r="F2199">
        <v>5097</v>
      </c>
    </row>
    <row r="2200" spans="1:6" x14ac:dyDescent="0.25">
      <c r="A2200">
        <v>7841</v>
      </c>
      <c r="B2200" s="15">
        <v>45348</v>
      </c>
      <c r="E2200" s="160" t="s">
        <v>263</v>
      </c>
      <c r="F2200">
        <v>5098</v>
      </c>
    </row>
    <row r="2201" spans="1:6" x14ac:dyDescent="0.25">
      <c r="A2201">
        <v>7841</v>
      </c>
      <c r="B2201" s="15">
        <v>45349</v>
      </c>
      <c r="E2201" s="160" t="s">
        <v>266</v>
      </c>
      <c r="F2201">
        <v>5099</v>
      </c>
    </row>
    <row r="2202" spans="1:6" x14ac:dyDescent="0.25">
      <c r="A2202">
        <v>7841</v>
      </c>
      <c r="B2202" s="15">
        <v>45350</v>
      </c>
      <c r="E2202" s="157"/>
      <c r="F2202">
        <v>5100</v>
      </c>
    </row>
    <row r="2203" spans="1:6" x14ac:dyDescent="0.25">
      <c r="A2203">
        <v>7841</v>
      </c>
      <c r="B2203" s="15">
        <v>45351</v>
      </c>
      <c r="E2203" s="160" t="s">
        <v>263</v>
      </c>
      <c r="F2203">
        <v>5101</v>
      </c>
    </row>
    <row r="2204" spans="1:6" x14ac:dyDescent="0.25">
      <c r="A2204">
        <v>7841</v>
      </c>
      <c r="B2204" s="15">
        <v>45352</v>
      </c>
      <c r="E2204" s="160" t="s">
        <v>266</v>
      </c>
      <c r="F2204">
        <v>5102</v>
      </c>
    </row>
    <row r="2205" spans="1:6" x14ac:dyDescent="0.25">
      <c r="A2205">
        <v>7841</v>
      </c>
      <c r="B2205" s="15">
        <v>45353</v>
      </c>
      <c r="E2205" s="160" t="s">
        <v>175</v>
      </c>
      <c r="F2205">
        <v>5103</v>
      </c>
    </row>
    <row r="2206" spans="1:6" x14ac:dyDescent="0.25">
      <c r="A2206">
        <v>7841</v>
      </c>
      <c r="B2206" s="15">
        <v>45354</v>
      </c>
      <c r="E2206" s="157"/>
      <c r="F2206">
        <v>5104</v>
      </c>
    </row>
    <row r="2207" spans="1:6" x14ac:dyDescent="0.25">
      <c r="A2207">
        <v>7841</v>
      </c>
      <c r="B2207" s="15">
        <v>45355</v>
      </c>
      <c r="E2207" s="160" t="s">
        <v>263</v>
      </c>
      <c r="F2207">
        <v>5777</v>
      </c>
    </row>
    <row r="2208" spans="1:6" x14ac:dyDescent="0.25">
      <c r="A2208">
        <v>7841</v>
      </c>
      <c r="B2208" s="15">
        <v>45356</v>
      </c>
      <c r="E2208" s="160" t="s">
        <v>266</v>
      </c>
      <c r="F2208">
        <v>5778</v>
      </c>
    </row>
    <row r="2209" spans="1:6" x14ac:dyDescent="0.25">
      <c r="A2209">
        <v>7841</v>
      </c>
      <c r="B2209" s="15">
        <v>45357</v>
      </c>
      <c r="E2209" s="157"/>
      <c r="F2209">
        <v>5779</v>
      </c>
    </row>
    <row r="2210" spans="1:6" x14ac:dyDescent="0.25">
      <c r="A2210">
        <v>7841</v>
      </c>
      <c r="B2210" s="15">
        <v>45358</v>
      </c>
      <c r="E2210" s="160" t="s">
        <v>263</v>
      </c>
      <c r="F2210">
        <v>5780</v>
      </c>
    </row>
    <row r="2211" spans="1:6" x14ac:dyDescent="0.25">
      <c r="A2211">
        <v>7841</v>
      </c>
      <c r="B2211" s="15">
        <v>45359</v>
      </c>
      <c r="E2211" s="160" t="s">
        <v>266</v>
      </c>
      <c r="F2211">
        <v>5781</v>
      </c>
    </row>
    <row r="2212" spans="1:6" x14ac:dyDescent="0.25">
      <c r="A2212">
        <v>7841</v>
      </c>
      <c r="B2212" s="15">
        <v>45360</v>
      </c>
      <c r="E2212" s="157"/>
      <c r="F2212">
        <v>5782</v>
      </c>
    </row>
    <row r="2213" spans="1:6" x14ac:dyDescent="0.25">
      <c r="A2213">
        <v>7841</v>
      </c>
      <c r="B2213" s="15">
        <v>45361</v>
      </c>
      <c r="E2213" s="157"/>
      <c r="F2213">
        <v>5783</v>
      </c>
    </row>
    <row r="2214" spans="1:6" x14ac:dyDescent="0.25">
      <c r="A2214">
        <v>7841</v>
      </c>
      <c r="B2214" s="15">
        <v>45362</v>
      </c>
      <c r="E2214" s="160" t="s">
        <v>263</v>
      </c>
      <c r="F2214">
        <v>5784</v>
      </c>
    </row>
    <row r="2215" spans="1:6" x14ac:dyDescent="0.25">
      <c r="A2215">
        <v>7841</v>
      </c>
      <c r="B2215" s="15">
        <v>45363</v>
      </c>
      <c r="E2215" s="160" t="s">
        <v>266</v>
      </c>
      <c r="F2215">
        <v>5785</v>
      </c>
    </row>
    <row r="2216" spans="1:6" x14ac:dyDescent="0.25">
      <c r="A2216">
        <v>7841</v>
      </c>
      <c r="B2216" s="15">
        <v>45364</v>
      </c>
      <c r="E2216" s="157"/>
      <c r="F2216">
        <v>5786</v>
      </c>
    </row>
    <row r="2217" spans="1:6" x14ac:dyDescent="0.25">
      <c r="A2217">
        <v>7841</v>
      </c>
      <c r="B2217" s="15">
        <v>45365</v>
      </c>
      <c r="E2217" s="160" t="s">
        <v>263</v>
      </c>
      <c r="F2217">
        <v>5787</v>
      </c>
    </row>
    <row r="2218" spans="1:6" x14ac:dyDescent="0.25">
      <c r="A2218">
        <v>7841</v>
      </c>
      <c r="B2218" s="15">
        <v>45366</v>
      </c>
      <c r="E2218" s="160" t="s">
        <v>266</v>
      </c>
      <c r="F2218">
        <v>5788</v>
      </c>
    </row>
    <row r="2219" spans="1:6" x14ac:dyDescent="0.25">
      <c r="A2219">
        <v>7841</v>
      </c>
      <c r="B2219" s="15">
        <v>45367</v>
      </c>
      <c r="E2219" s="160" t="s">
        <v>175</v>
      </c>
      <c r="F2219">
        <v>5789</v>
      </c>
    </row>
    <row r="2220" spans="1:6" x14ac:dyDescent="0.25">
      <c r="A2220">
        <v>7841</v>
      </c>
      <c r="B2220" s="15">
        <v>45368</v>
      </c>
      <c r="E2220" s="157"/>
      <c r="F2220">
        <v>5790</v>
      </c>
    </row>
    <row r="2221" spans="1:6" x14ac:dyDescent="0.25">
      <c r="A2221">
        <v>7841</v>
      </c>
      <c r="B2221" s="15">
        <v>45369</v>
      </c>
      <c r="E2221" s="160" t="s">
        <v>263</v>
      </c>
      <c r="F2221">
        <v>5791</v>
      </c>
    </row>
    <row r="2222" spans="1:6" x14ac:dyDescent="0.25">
      <c r="A2222">
        <v>7841</v>
      </c>
      <c r="B2222" s="15">
        <v>45370</v>
      </c>
      <c r="E2222" s="160" t="s">
        <v>266</v>
      </c>
      <c r="F2222">
        <v>5792</v>
      </c>
    </row>
    <row r="2223" spans="1:6" x14ac:dyDescent="0.25">
      <c r="A2223">
        <v>7841</v>
      </c>
      <c r="B2223" s="15">
        <v>45371</v>
      </c>
      <c r="E2223" s="157"/>
      <c r="F2223">
        <v>5793</v>
      </c>
    </row>
    <row r="2224" spans="1:6" x14ac:dyDescent="0.25">
      <c r="A2224">
        <v>7841</v>
      </c>
      <c r="B2224" s="15">
        <v>45372</v>
      </c>
      <c r="E2224" s="160" t="s">
        <v>263</v>
      </c>
      <c r="F2224">
        <v>5794</v>
      </c>
    </row>
    <row r="2225" spans="1:6" x14ac:dyDescent="0.25">
      <c r="A2225">
        <v>7841</v>
      </c>
      <c r="B2225" s="15">
        <v>45373</v>
      </c>
      <c r="E2225" s="160" t="s">
        <v>266</v>
      </c>
      <c r="F2225">
        <v>5795</v>
      </c>
    </row>
    <row r="2226" spans="1:6" x14ac:dyDescent="0.25">
      <c r="A2226">
        <v>7841</v>
      </c>
      <c r="B2226" s="15">
        <v>45374</v>
      </c>
      <c r="E2226" s="157"/>
      <c r="F2226">
        <v>5796</v>
      </c>
    </row>
    <row r="2227" spans="1:6" x14ac:dyDescent="0.25">
      <c r="A2227">
        <v>7841</v>
      </c>
      <c r="B2227" s="15">
        <v>45375</v>
      </c>
      <c r="E2227" s="157"/>
      <c r="F2227">
        <v>5797</v>
      </c>
    </row>
    <row r="2228" spans="1:6" x14ac:dyDescent="0.25">
      <c r="A2228">
        <v>7841</v>
      </c>
      <c r="B2228" s="15">
        <v>45376</v>
      </c>
      <c r="E2228" s="160" t="s">
        <v>263</v>
      </c>
      <c r="F2228">
        <v>5798</v>
      </c>
    </row>
    <row r="2229" spans="1:6" x14ac:dyDescent="0.25">
      <c r="A2229">
        <v>7841</v>
      </c>
      <c r="B2229" s="15">
        <v>45377</v>
      </c>
      <c r="E2229" s="160" t="s">
        <v>266</v>
      </c>
      <c r="F2229">
        <v>5799</v>
      </c>
    </row>
    <row r="2230" spans="1:6" x14ac:dyDescent="0.25">
      <c r="A2230">
        <v>7841</v>
      </c>
      <c r="B2230" s="15">
        <v>45378</v>
      </c>
      <c r="E2230" s="157"/>
      <c r="F2230">
        <v>5800</v>
      </c>
    </row>
    <row r="2231" spans="1:6" x14ac:dyDescent="0.25">
      <c r="A2231">
        <v>7841</v>
      </c>
      <c r="B2231" s="15">
        <v>45379</v>
      </c>
      <c r="E2231" s="160" t="s">
        <v>263</v>
      </c>
      <c r="F2231">
        <v>5801</v>
      </c>
    </row>
    <row r="2232" spans="1:6" x14ac:dyDescent="0.25">
      <c r="A2232">
        <v>7841</v>
      </c>
      <c r="B2232" s="15">
        <v>45380</v>
      </c>
      <c r="E2232" s="160" t="s">
        <v>266</v>
      </c>
      <c r="F2232">
        <v>5802</v>
      </c>
    </row>
    <row r="2233" spans="1:6" x14ac:dyDescent="0.25">
      <c r="A2233">
        <v>7841</v>
      </c>
      <c r="B2233" s="15">
        <v>45381</v>
      </c>
      <c r="E2233" s="160" t="s">
        <v>175</v>
      </c>
      <c r="F2233">
        <v>5803</v>
      </c>
    </row>
    <row r="2234" spans="1:6" x14ac:dyDescent="0.25">
      <c r="A2234">
        <v>7841</v>
      </c>
      <c r="B2234" s="15">
        <v>45382</v>
      </c>
      <c r="E2234" s="157"/>
      <c r="F2234">
        <v>5804</v>
      </c>
    </row>
    <row r="2235" spans="1:6" x14ac:dyDescent="0.25">
      <c r="A2235">
        <v>7841</v>
      </c>
      <c r="B2235" s="15">
        <v>45383</v>
      </c>
      <c r="E2235" s="119"/>
      <c r="F2235">
        <v>6484</v>
      </c>
    </row>
    <row r="2236" spans="1:6" x14ac:dyDescent="0.25">
      <c r="A2236">
        <v>7841</v>
      </c>
      <c r="B2236" s="15">
        <v>45384</v>
      </c>
      <c r="E2236" s="160" t="s">
        <v>266</v>
      </c>
      <c r="F2236">
        <v>6485</v>
      </c>
    </row>
    <row r="2237" spans="1:6" x14ac:dyDescent="0.25">
      <c r="A2237">
        <v>7841</v>
      </c>
      <c r="B2237" s="15">
        <v>45385</v>
      </c>
      <c r="E2237" s="157"/>
      <c r="F2237">
        <v>6486</v>
      </c>
    </row>
    <row r="2238" spans="1:6" x14ac:dyDescent="0.25">
      <c r="A2238">
        <v>7841</v>
      </c>
      <c r="B2238" s="15">
        <v>45386</v>
      </c>
      <c r="E2238" s="160" t="s">
        <v>263</v>
      </c>
      <c r="F2238">
        <v>6487</v>
      </c>
    </row>
    <row r="2239" spans="1:6" x14ac:dyDescent="0.25">
      <c r="A2239">
        <v>7841</v>
      </c>
      <c r="B2239" s="15">
        <v>45387</v>
      </c>
      <c r="E2239" s="160" t="s">
        <v>266</v>
      </c>
      <c r="F2239">
        <v>6488</v>
      </c>
    </row>
    <row r="2240" spans="1:6" x14ac:dyDescent="0.25">
      <c r="A2240">
        <v>7841</v>
      </c>
      <c r="B2240" s="15">
        <v>45388</v>
      </c>
      <c r="E2240" s="157"/>
      <c r="F2240">
        <v>6489</v>
      </c>
    </row>
    <row r="2241" spans="1:6" x14ac:dyDescent="0.25">
      <c r="A2241">
        <v>7841</v>
      </c>
      <c r="B2241" s="15">
        <v>45389</v>
      </c>
      <c r="E2241" s="157"/>
      <c r="F2241">
        <v>6490</v>
      </c>
    </row>
    <row r="2242" spans="1:6" x14ac:dyDescent="0.25">
      <c r="A2242">
        <v>7841</v>
      </c>
      <c r="B2242" s="15">
        <v>45390</v>
      </c>
      <c r="E2242" s="160" t="s">
        <v>263</v>
      </c>
      <c r="F2242">
        <v>6491</v>
      </c>
    </row>
    <row r="2243" spans="1:6" x14ac:dyDescent="0.25">
      <c r="A2243">
        <v>7841</v>
      </c>
      <c r="B2243" s="15">
        <v>45391</v>
      </c>
      <c r="E2243" s="160" t="s">
        <v>266</v>
      </c>
      <c r="F2243">
        <v>6492</v>
      </c>
    </row>
    <row r="2244" spans="1:6" x14ac:dyDescent="0.25">
      <c r="A2244">
        <v>7841</v>
      </c>
      <c r="B2244" s="15">
        <v>45392</v>
      </c>
      <c r="E2244" s="157"/>
      <c r="F2244">
        <v>6493</v>
      </c>
    </row>
    <row r="2245" spans="1:6" x14ac:dyDescent="0.25">
      <c r="A2245">
        <v>7841</v>
      </c>
      <c r="B2245" s="15">
        <v>45393</v>
      </c>
      <c r="E2245" s="160" t="s">
        <v>263</v>
      </c>
      <c r="F2245">
        <v>6494</v>
      </c>
    </row>
    <row r="2246" spans="1:6" x14ac:dyDescent="0.25">
      <c r="A2246">
        <v>7841</v>
      </c>
      <c r="B2246" s="15">
        <v>45394</v>
      </c>
      <c r="E2246" s="160" t="s">
        <v>266</v>
      </c>
      <c r="F2246">
        <v>6495</v>
      </c>
    </row>
    <row r="2247" spans="1:6" x14ac:dyDescent="0.25">
      <c r="A2247">
        <v>7841</v>
      </c>
      <c r="B2247" s="15">
        <v>45395</v>
      </c>
      <c r="E2247" s="160" t="s">
        <v>175</v>
      </c>
      <c r="F2247">
        <v>6496</v>
      </c>
    </row>
    <row r="2248" spans="1:6" x14ac:dyDescent="0.25">
      <c r="A2248">
        <v>7841</v>
      </c>
      <c r="B2248" s="15">
        <v>45396</v>
      </c>
      <c r="E2248" s="157"/>
      <c r="F2248">
        <v>6497</v>
      </c>
    </row>
    <row r="2249" spans="1:6" x14ac:dyDescent="0.25">
      <c r="A2249">
        <v>7841</v>
      </c>
      <c r="B2249" s="15">
        <v>45397</v>
      </c>
      <c r="E2249" s="160" t="s">
        <v>263</v>
      </c>
      <c r="F2249">
        <v>6498</v>
      </c>
    </row>
    <row r="2250" spans="1:6" x14ac:dyDescent="0.25">
      <c r="A2250">
        <v>7841</v>
      </c>
      <c r="B2250" s="15">
        <v>45398</v>
      </c>
      <c r="E2250" s="160" t="s">
        <v>266</v>
      </c>
      <c r="F2250">
        <v>6499</v>
      </c>
    </row>
    <row r="2251" spans="1:6" x14ac:dyDescent="0.25">
      <c r="A2251">
        <v>7841</v>
      </c>
      <c r="B2251" s="15">
        <v>45399</v>
      </c>
      <c r="E2251" s="157"/>
      <c r="F2251">
        <v>6500</v>
      </c>
    </row>
    <row r="2252" spans="1:6" x14ac:dyDescent="0.25">
      <c r="A2252">
        <v>7841</v>
      </c>
      <c r="B2252" s="15">
        <v>45400</v>
      </c>
      <c r="E2252" s="160" t="s">
        <v>263</v>
      </c>
      <c r="F2252">
        <v>6501</v>
      </c>
    </row>
    <row r="2253" spans="1:6" x14ac:dyDescent="0.25">
      <c r="A2253">
        <v>7841</v>
      </c>
      <c r="B2253" s="15">
        <v>45401</v>
      </c>
      <c r="E2253" s="160" t="s">
        <v>266</v>
      </c>
      <c r="F2253">
        <v>6502</v>
      </c>
    </row>
    <row r="2254" spans="1:6" x14ac:dyDescent="0.25">
      <c r="A2254">
        <v>7841</v>
      </c>
      <c r="B2254" s="15">
        <v>45402</v>
      </c>
      <c r="E2254" s="157"/>
      <c r="F2254">
        <v>6503</v>
      </c>
    </row>
    <row r="2255" spans="1:6" x14ac:dyDescent="0.25">
      <c r="A2255">
        <v>7841</v>
      </c>
      <c r="B2255" s="15">
        <v>45403</v>
      </c>
      <c r="E2255" s="157"/>
      <c r="F2255">
        <v>6504</v>
      </c>
    </row>
    <row r="2256" spans="1:6" x14ac:dyDescent="0.25">
      <c r="A2256">
        <v>7841</v>
      </c>
      <c r="B2256" s="15">
        <v>45404</v>
      </c>
      <c r="E2256" s="117" t="s">
        <v>2</v>
      </c>
      <c r="F2256">
        <v>6505</v>
      </c>
    </row>
    <row r="2257" spans="1:6" x14ac:dyDescent="0.25">
      <c r="A2257">
        <v>7841</v>
      </c>
      <c r="B2257" s="15">
        <v>45405</v>
      </c>
      <c r="E2257" s="120" t="s">
        <v>2</v>
      </c>
      <c r="F2257">
        <v>6506</v>
      </c>
    </row>
    <row r="2258" spans="1:6" x14ac:dyDescent="0.25">
      <c r="A2258">
        <v>7841</v>
      </c>
      <c r="B2258" s="15">
        <v>45406</v>
      </c>
      <c r="E2258" s="157"/>
      <c r="F2258">
        <v>6507</v>
      </c>
    </row>
    <row r="2259" spans="1:6" x14ac:dyDescent="0.25">
      <c r="A2259">
        <v>7841</v>
      </c>
      <c r="B2259" s="15">
        <v>45407</v>
      </c>
      <c r="E2259" s="117" t="s">
        <v>2</v>
      </c>
      <c r="F2259">
        <v>6508</v>
      </c>
    </row>
    <row r="2260" spans="1:6" x14ac:dyDescent="0.25">
      <c r="A2260">
        <v>7841</v>
      </c>
      <c r="B2260" s="15">
        <v>45408</v>
      </c>
      <c r="E2260" s="120" t="s">
        <v>2</v>
      </c>
      <c r="F2260">
        <v>6509</v>
      </c>
    </row>
    <row r="2261" spans="1:6" x14ac:dyDescent="0.25">
      <c r="A2261">
        <v>7841</v>
      </c>
      <c r="B2261" s="15">
        <v>45409</v>
      </c>
      <c r="E2261" s="121" t="s">
        <v>2</v>
      </c>
      <c r="F2261">
        <v>6510</v>
      </c>
    </row>
    <row r="2262" spans="1:6" x14ac:dyDescent="0.25">
      <c r="A2262">
        <v>7841</v>
      </c>
      <c r="B2262" s="15">
        <v>45410</v>
      </c>
      <c r="E2262" s="157"/>
      <c r="F2262">
        <v>6511</v>
      </c>
    </row>
    <row r="2263" spans="1:6" x14ac:dyDescent="0.25">
      <c r="A2263">
        <v>7841</v>
      </c>
      <c r="B2263" s="15">
        <v>45411</v>
      </c>
      <c r="E2263" s="117" t="s">
        <v>2</v>
      </c>
      <c r="F2263">
        <v>6512</v>
      </c>
    </row>
    <row r="2264" spans="1:6" x14ac:dyDescent="0.25">
      <c r="A2264">
        <v>7841</v>
      </c>
      <c r="B2264" s="15">
        <v>45412</v>
      </c>
      <c r="E2264" s="120" t="s">
        <v>2</v>
      </c>
      <c r="F2264">
        <v>6513</v>
      </c>
    </row>
    <row r="2265" spans="1:6" x14ac:dyDescent="0.25">
      <c r="A2265">
        <v>7841</v>
      </c>
      <c r="B2265" s="15">
        <v>45413</v>
      </c>
      <c r="E2265" s="157"/>
      <c r="F2265">
        <v>6514</v>
      </c>
    </row>
    <row r="2266" spans="1:6" x14ac:dyDescent="0.25">
      <c r="A2266">
        <v>7841</v>
      </c>
      <c r="B2266" s="15">
        <v>45414</v>
      </c>
      <c r="E2266" s="160" t="s">
        <v>263</v>
      </c>
      <c r="F2266">
        <v>6515</v>
      </c>
    </row>
    <row r="2267" spans="1:6" x14ac:dyDescent="0.25">
      <c r="A2267">
        <v>7841</v>
      </c>
      <c r="B2267" s="15">
        <v>45415</v>
      </c>
      <c r="E2267" s="160" t="s">
        <v>266</v>
      </c>
      <c r="F2267">
        <v>6516</v>
      </c>
    </row>
    <row r="2268" spans="1:6" x14ac:dyDescent="0.25">
      <c r="A2268">
        <v>7841</v>
      </c>
      <c r="B2268" s="15">
        <v>45416</v>
      </c>
      <c r="E2268" s="157"/>
      <c r="F2268">
        <v>6517</v>
      </c>
    </row>
    <row r="2269" spans="1:6" x14ac:dyDescent="0.25">
      <c r="A2269">
        <v>7841</v>
      </c>
      <c r="B2269" s="15">
        <v>45417</v>
      </c>
      <c r="E2269" s="157"/>
      <c r="F2269">
        <v>6518</v>
      </c>
    </row>
    <row r="2270" spans="1:6" x14ac:dyDescent="0.25">
      <c r="A2270">
        <v>7846</v>
      </c>
      <c r="B2270" s="15">
        <v>45047</v>
      </c>
      <c r="C2270" s="147"/>
      <c r="D2270" s="147"/>
      <c r="E2270" s="3"/>
      <c r="F2270">
        <v>1724</v>
      </c>
    </row>
    <row r="2271" spans="1:6" x14ac:dyDescent="0.25">
      <c r="A2271">
        <v>7846</v>
      </c>
      <c r="B2271" s="15">
        <v>45048</v>
      </c>
      <c r="C2271" s="132">
        <v>0.44791666666666669</v>
      </c>
      <c r="D2271" s="105">
        <v>0.79375000000000007</v>
      </c>
      <c r="E2271" s="3"/>
      <c r="F2271">
        <v>1725</v>
      </c>
    </row>
    <row r="2272" spans="1:6" x14ac:dyDescent="0.25">
      <c r="A2272">
        <v>7846</v>
      </c>
      <c r="B2272" s="15">
        <v>45049</v>
      </c>
      <c r="C2272" s="105">
        <v>0.35416666666666669</v>
      </c>
      <c r="D2272" s="106">
        <v>0.70000000000000007</v>
      </c>
      <c r="E2272" s="3"/>
      <c r="F2272">
        <v>1726</v>
      </c>
    </row>
    <row r="2273" spans="1:6" x14ac:dyDescent="0.25">
      <c r="A2273">
        <v>7846</v>
      </c>
      <c r="B2273" s="15">
        <v>45050</v>
      </c>
      <c r="C2273" s="105">
        <v>0.35416666666666669</v>
      </c>
      <c r="D2273" s="106">
        <v>0.70000000000000007</v>
      </c>
      <c r="E2273" s="3"/>
      <c r="F2273">
        <v>1727</v>
      </c>
    </row>
    <row r="2274" spans="1:6" x14ac:dyDescent="0.25">
      <c r="A2274">
        <v>7846</v>
      </c>
      <c r="B2274" s="15">
        <v>45051</v>
      </c>
      <c r="C2274" s="106">
        <v>0.375</v>
      </c>
      <c r="D2274" s="108">
        <v>0.72083333333333333</v>
      </c>
      <c r="F2274">
        <v>1728</v>
      </c>
    </row>
    <row r="2275" spans="1:6" x14ac:dyDescent="0.25">
      <c r="A2275">
        <v>7846</v>
      </c>
      <c r="B2275" s="15">
        <v>45052</v>
      </c>
      <c r="C2275" s="133"/>
      <c r="D2275" s="133"/>
      <c r="E2275" s="3"/>
      <c r="F2275">
        <v>1729</v>
      </c>
    </row>
    <row r="2276" spans="1:6" x14ac:dyDescent="0.25">
      <c r="A2276">
        <v>7846</v>
      </c>
      <c r="B2276" s="15">
        <v>45053</v>
      </c>
      <c r="C2276" s="133"/>
      <c r="D2276" s="133"/>
      <c r="F2276">
        <v>1730</v>
      </c>
    </row>
    <row r="2277" spans="1:6" x14ac:dyDescent="0.25">
      <c r="A2277">
        <v>7846</v>
      </c>
      <c r="B2277" s="15">
        <v>45054</v>
      </c>
      <c r="C2277" s="147"/>
      <c r="D2277" s="147"/>
      <c r="E2277" s="3"/>
      <c r="F2277">
        <v>1731</v>
      </c>
    </row>
    <row r="2278" spans="1:6" x14ac:dyDescent="0.25">
      <c r="A2278">
        <v>7846</v>
      </c>
      <c r="B2278" s="15">
        <v>45055</v>
      </c>
      <c r="C2278" s="104" t="s">
        <v>2</v>
      </c>
      <c r="D2278" s="104" t="s">
        <v>2</v>
      </c>
      <c r="E2278" s="3"/>
      <c r="F2278">
        <v>1732</v>
      </c>
    </row>
    <row r="2279" spans="1:6" x14ac:dyDescent="0.25">
      <c r="A2279">
        <v>7846</v>
      </c>
      <c r="B2279" s="15">
        <v>45056</v>
      </c>
      <c r="C2279" s="104" t="s">
        <v>2</v>
      </c>
      <c r="D2279" s="104" t="s">
        <v>2</v>
      </c>
      <c r="E2279" s="3"/>
      <c r="F2279">
        <v>1733</v>
      </c>
    </row>
    <row r="2280" spans="1:6" x14ac:dyDescent="0.25">
      <c r="A2280">
        <v>7846</v>
      </c>
      <c r="B2280" s="15">
        <v>45057</v>
      </c>
      <c r="C2280" s="104" t="s">
        <v>2</v>
      </c>
      <c r="D2280" s="104" t="s">
        <v>2</v>
      </c>
      <c r="E2280" s="3"/>
      <c r="F2280">
        <v>1734</v>
      </c>
    </row>
    <row r="2281" spans="1:6" x14ac:dyDescent="0.25">
      <c r="A2281">
        <v>7846</v>
      </c>
      <c r="B2281" s="15">
        <v>45058</v>
      </c>
      <c r="C2281" s="104" t="s">
        <v>2</v>
      </c>
      <c r="D2281" s="104" t="s">
        <v>2</v>
      </c>
      <c r="E2281" s="3"/>
      <c r="F2281">
        <v>1735</v>
      </c>
    </row>
    <row r="2282" spans="1:6" x14ac:dyDescent="0.25">
      <c r="A2282">
        <v>7846</v>
      </c>
      <c r="B2282" s="15">
        <v>45059</v>
      </c>
      <c r="C2282" s="133"/>
      <c r="D2282" s="133"/>
      <c r="E2282" s="3"/>
      <c r="F2282">
        <v>1736</v>
      </c>
    </row>
    <row r="2283" spans="1:6" x14ac:dyDescent="0.25">
      <c r="A2283">
        <v>7846</v>
      </c>
      <c r="B2283" s="15">
        <v>45060</v>
      </c>
      <c r="C2283" s="133"/>
      <c r="D2283" s="133"/>
      <c r="E2283" s="3"/>
      <c r="F2283">
        <v>1737</v>
      </c>
    </row>
    <row r="2284" spans="1:6" x14ac:dyDescent="0.25">
      <c r="A2284">
        <v>7846</v>
      </c>
      <c r="B2284" s="15">
        <v>45061</v>
      </c>
      <c r="C2284" s="104" t="s">
        <v>2</v>
      </c>
      <c r="D2284" s="109" t="s">
        <v>166</v>
      </c>
      <c r="E2284" s="3"/>
      <c r="F2284">
        <v>1738</v>
      </c>
    </row>
    <row r="2285" spans="1:6" x14ac:dyDescent="0.25">
      <c r="A2285">
        <v>7846</v>
      </c>
      <c r="B2285" s="15">
        <v>45062</v>
      </c>
      <c r="C2285" s="105">
        <v>0.35416666666666669</v>
      </c>
      <c r="D2285" s="106">
        <v>0.70000000000000007</v>
      </c>
      <c r="E2285" s="3"/>
      <c r="F2285">
        <v>1739</v>
      </c>
    </row>
    <row r="2286" spans="1:6" x14ac:dyDescent="0.25">
      <c r="A2286">
        <v>7846</v>
      </c>
      <c r="B2286" s="15">
        <v>45063</v>
      </c>
      <c r="C2286" s="106">
        <v>0.375</v>
      </c>
      <c r="D2286" s="108">
        <v>0.72083333333333333</v>
      </c>
      <c r="E2286" s="3"/>
      <c r="F2286">
        <v>1740</v>
      </c>
    </row>
    <row r="2287" spans="1:6" x14ac:dyDescent="0.25">
      <c r="A2287">
        <v>7846</v>
      </c>
      <c r="B2287" s="15">
        <v>45064</v>
      </c>
      <c r="C2287" s="107"/>
      <c r="D2287" s="107"/>
      <c r="F2287">
        <v>1741</v>
      </c>
    </row>
    <row r="2288" spans="1:6" x14ac:dyDescent="0.25">
      <c r="A2288">
        <v>7846</v>
      </c>
      <c r="B2288" s="15">
        <v>45065</v>
      </c>
      <c r="C2288" s="132">
        <v>0.44791666666666669</v>
      </c>
      <c r="D2288" s="105">
        <v>0.79375000000000007</v>
      </c>
      <c r="E2288" s="3"/>
      <c r="F2288">
        <v>1742</v>
      </c>
    </row>
    <row r="2289" spans="1:6" x14ac:dyDescent="0.25">
      <c r="A2289">
        <v>7846</v>
      </c>
      <c r="B2289" s="15">
        <v>45066</v>
      </c>
      <c r="C2289" s="135" t="s">
        <v>167</v>
      </c>
      <c r="D2289" s="133"/>
      <c r="E2289" s="3"/>
      <c r="F2289">
        <v>1743</v>
      </c>
    </row>
    <row r="2290" spans="1:6" x14ac:dyDescent="0.25">
      <c r="A2290">
        <v>7846</v>
      </c>
      <c r="B2290" s="15">
        <v>45067</v>
      </c>
      <c r="C2290" s="133"/>
      <c r="D2290" s="133"/>
      <c r="F2290">
        <v>1744</v>
      </c>
    </row>
    <row r="2291" spans="1:6" x14ac:dyDescent="0.25">
      <c r="A2291">
        <v>7846</v>
      </c>
      <c r="B2291" s="15">
        <v>45068</v>
      </c>
      <c r="C2291" s="105">
        <v>0.35416666666666669</v>
      </c>
      <c r="D2291" s="106">
        <v>0.70000000000000007</v>
      </c>
      <c r="E2291" s="3"/>
      <c r="F2291">
        <v>1745</v>
      </c>
    </row>
    <row r="2292" spans="1:6" x14ac:dyDescent="0.25">
      <c r="A2292">
        <v>7846</v>
      </c>
      <c r="B2292" s="15">
        <v>45069</v>
      </c>
      <c r="C2292" s="106">
        <v>0.375</v>
      </c>
      <c r="D2292" s="108">
        <v>0.72083333333333333</v>
      </c>
      <c r="F2292">
        <v>1746</v>
      </c>
    </row>
    <row r="2293" spans="1:6" x14ac:dyDescent="0.25">
      <c r="A2293">
        <v>7846</v>
      </c>
      <c r="B2293" s="15">
        <v>45070</v>
      </c>
      <c r="C2293" s="132">
        <v>0.44791666666666669</v>
      </c>
      <c r="D2293" s="105">
        <v>0.79375000000000007</v>
      </c>
      <c r="E2293" s="3"/>
      <c r="F2293">
        <v>1747</v>
      </c>
    </row>
    <row r="2294" spans="1:6" x14ac:dyDescent="0.25">
      <c r="A2294">
        <v>7846</v>
      </c>
      <c r="B2294" s="15">
        <v>45071</v>
      </c>
      <c r="C2294" s="106">
        <v>0.375</v>
      </c>
      <c r="D2294" s="108">
        <v>0.72083333333333333</v>
      </c>
      <c r="E2294" s="3"/>
      <c r="F2294">
        <v>1748</v>
      </c>
    </row>
    <row r="2295" spans="1:6" x14ac:dyDescent="0.25">
      <c r="A2295">
        <v>7846</v>
      </c>
      <c r="B2295" s="15">
        <v>45072</v>
      </c>
      <c r="C2295" s="106">
        <v>0.375</v>
      </c>
      <c r="D2295" s="108">
        <v>0.72083333333333333</v>
      </c>
      <c r="E2295" s="3"/>
      <c r="F2295">
        <v>1749</v>
      </c>
    </row>
    <row r="2296" spans="1:6" x14ac:dyDescent="0.25">
      <c r="A2296">
        <v>7846</v>
      </c>
      <c r="B2296" s="15">
        <v>45073</v>
      </c>
      <c r="C2296" s="133"/>
      <c r="D2296" s="133"/>
      <c r="E2296" s="3"/>
      <c r="F2296">
        <v>1750</v>
      </c>
    </row>
    <row r="2297" spans="1:6" x14ac:dyDescent="0.25">
      <c r="A2297">
        <v>7846</v>
      </c>
      <c r="B2297" s="15">
        <v>45074</v>
      </c>
      <c r="C2297" s="133"/>
      <c r="D2297" s="133"/>
      <c r="F2297">
        <v>1751</v>
      </c>
    </row>
    <row r="2298" spans="1:6" x14ac:dyDescent="0.25">
      <c r="A2298">
        <v>7846</v>
      </c>
      <c r="B2298" s="15">
        <v>45075</v>
      </c>
      <c r="C2298" s="133"/>
      <c r="D2298" s="133"/>
      <c r="E2298" s="3"/>
      <c r="F2298">
        <v>1752</v>
      </c>
    </row>
    <row r="2299" spans="1:6" x14ac:dyDescent="0.25">
      <c r="A2299">
        <v>7846</v>
      </c>
      <c r="B2299" s="15">
        <v>45076</v>
      </c>
      <c r="C2299" s="104" t="s">
        <v>2</v>
      </c>
      <c r="D2299" s="109" t="s">
        <v>166</v>
      </c>
      <c r="E2299" s="3"/>
      <c r="F2299">
        <v>1753</v>
      </c>
    </row>
    <row r="2300" spans="1:6" x14ac:dyDescent="0.25">
      <c r="A2300">
        <v>7846</v>
      </c>
      <c r="B2300" s="15">
        <v>45077</v>
      </c>
      <c r="C2300" s="132">
        <v>0.44791666666666669</v>
      </c>
      <c r="D2300" s="105">
        <v>0.79375000000000007</v>
      </c>
      <c r="E2300" s="3"/>
      <c r="F2300">
        <v>1754</v>
      </c>
    </row>
    <row r="2301" spans="1:6" x14ac:dyDescent="0.25">
      <c r="A2301">
        <v>7846</v>
      </c>
      <c r="B2301" s="15">
        <v>45078</v>
      </c>
      <c r="C2301" s="106">
        <v>0.375</v>
      </c>
      <c r="D2301" s="108">
        <v>0.72083333333333333</v>
      </c>
      <c r="E2301" s="3"/>
      <c r="F2301">
        <v>1755</v>
      </c>
    </row>
    <row r="2302" spans="1:6" x14ac:dyDescent="0.25">
      <c r="A2302">
        <v>7846</v>
      </c>
      <c r="B2302" s="15">
        <v>45079</v>
      </c>
      <c r="C2302" s="105">
        <v>0.35416666666666669</v>
      </c>
      <c r="D2302" s="106">
        <v>0.70000000000000007</v>
      </c>
      <c r="E2302" s="3"/>
      <c r="F2302">
        <v>1756</v>
      </c>
    </row>
    <row r="2303" spans="1:6" x14ac:dyDescent="0.25">
      <c r="A2303">
        <v>7846</v>
      </c>
      <c r="B2303" s="15">
        <v>45080</v>
      </c>
      <c r="C2303" s="135" t="s">
        <v>167</v>
      </c>
      <c r="D2303" s="133"/>
      <c r="E2303" s="3"/>
      <c r="F2303">
        <v>1757</v>
      </c>
    </row>
    <row r="2304" spans="1:6" x14ac:dyDescent="0.25">
      <c r="A2304">
        <v>7846</v>
      </c>
      <c r="B2304" s="15">
        <v>45081</v>
      </c>
      <c r="C2304" s="133"/>
      <c r="D2304" s="133"/>
      <c r="E2304" s="3"/>
      <c r="F2304">
        <v>1758</v>
      </c>
    </row>
    <row r="2305" spans="1:6" x14ac:dyDescent="0.25">
      <c r="A2305">
        <v>7846</v>
      </c>
      <c r="B2305" s="15">
        <v>45082</v>
      </c>
      <c r="C2305" s="106">
        <v>0.375</v>
      </c>
      <c r="D2305" s="105">
        <v>0.79375000000000007</v>
      </c>
      <c r="F2305">
        <v>1759</v>
      </c>
    </row>
    <row r="2306" spans="1:6" x14ac:dyDescent="0.25">
      <c r="A2306">
        <v>7846</v>
      </c>
      <c r="B2306" s="15">
        <v>45083</v>
      </c>
      <c r="C2306" s="106">
        <v>0.375</v>
      </c>
      <c r="D2306" s="108">
        <v>0.72083333333333333</v>
      </c>
      <c r="E2306" s="3"/>
      <c r="F2306">
        <v>1760</v>
      </c>
    </row>
    <row r="2307" spans="1:6" x14ac:dyDescent="0.25">
      <c r="A2307">
        <v>7846</v>
      </c>
      <c r="B2307" s="15">
        <v>45084</v>
      </c>
      <c r="C2307" s="105">
        <v>0.35416666666666669</v>
      </c>
      <c r="D2307" s="106">
        <v>0.70000000000000007</v>
      </c>
      <c r="F2307">
        <v>1761</v>
      </c>
    </row>
    <row r="2308" spans="1:6" x14ac:dyDescent="0.25">
      <c r="A2308">
        <v>7846</v>
      </c>
      <c r="B2308" s="15">
        <v>45085</v>
      </c>
      <c r="C2308" s="105">
        <v>0.35416666666666669</v>
      </c>
      <c r="D2308" s="108">
        <v>0.72083333333333333</v>
      </c>
      <c r="E2308" s="3"/>
      <c r="F2308">
        <v>1762</v>
      </c>
    </row>
    <row r="2309" spans="1:6" x14ac:dyDescent="0.25">
      <c r="A2309">
        <v>7846</v>
      </c>
      <c r="B2309" s="15">
        <v>45086</v>
      </c>
      <c r="C2309" s="106">
        <v>0.375</v>
      </c>
      <c r="D2309" s="106">
        <v>0.70000000000000007</v>
      </c>
      <c r="E2309" s="3"/>
      <c r="F2309">
        <v>1763</v>
      </c>
    </row>
    <row r="2310" spans="1:6" x14ac:dyDescent="0.25">
      <c r="A2310">
        <v>7846</v>
      </c>
      <c r="B2310" s="15">
        <v>45087</v>
      </c>
      <c r="C2310" s="133"/>
      <c r="D2310" s="133"/>
      <c r="E2310" s="3"/>
      <c r="F2310">
        <v>1764</v>
      </c>
    </row>
    <row r="2311" spans="1:6" x14ac:dyDescent="0.25">
      <c r="A2311">
        <v>7846</v>
      </c>
      <c r="B2311" s="15">
        <v>45088</v>
      </c>
      <c r="C2311" s="133"/>
      <c r="D2311" s="133"/>
      <c r="E2311" s="3"/>
      <c r="F2311">
        <v>1765</v>
      </c>
    </row>
    <row r="2312" spans="1:6" x14ac:dyDescent="0.25">
      <c r="A2312">
        <v>7846</v>
      </c>
      <c r="B2312" s="15">
        <v>45089</v>
      </c>
      <c r="C2312" s="109" t="s">
        <v>2</v>
      </c>
      <c r="D2312" s="109" t="s">
        <v>2</v>
      </c>
      <c r="E2312" s="3"/>
      <c r="F2312">
        <v>1766</v>
      </c>
    </row>
    <row r="2313" spans="1:6" x14ac:dyDescent="0.25">
      <c r="A2313">
        <v>7846</v>
      </c>
      <c r="B2313" s="15">
        <v>45090</v>
      </c>
      <c r="C2313" s="109" t="s">
        <v>2</v>
      </c>
      <c r="D2313" s="109" t="s">
        <v>2</v>
      </c>
      <c r="E2313" s="3"/>
      <c r="F2313">
        <v>1767</v>
      </c>
    </row>
    <row r="2314" spans="1:6" x14ac:dyDescent="0.25">
      <c r="A2314">
        <v>7846</v>
      </c>
      <c r="B2314" s="15">
        <v>45091</v>
      </c>
      <c r="C2314" s="109" t="s">
        <v>2</v>
      </c>
      <c r="D2314" s="109" t="s">
        <v>2</v>
      </c>
      <c r="E2314" s="3"/>
      <c r="F2314">
        <v>1768</v>
      </c>
    </row>
    <row r="2315" spans="1:6" x14ac:dyDescent="0.25">
      <c r="A2315">
        <v>7846</v>
      </c>
      <c r="B2315" s="15">
        <v>45092</v>
      </c>
      <c r="C2315" s="109" t="s">
        <v>2</v>
      </c>
      <c r="D2315" s="109" t="s">
        <v>2</v>
      </c>
      <c r="E2315" s="3"/>
      <c r="F2315">
        <v>1769</v>
      </c>
    </row>
    <row r="2316" spans="1:6" x14ac:dyDescent="0.25">
      <c r="A2316">
        <v>7846</v>
      </c>
      <c r="B2316" s="15">
        <v>45093</v>
      </c>
      <c r="C2316" s="109" t="s">
        <v>2</v>
      </c>
      <c r="D2316" s="109" t="s">
        <v>2</v>
      </c>
      <c r="E2316" s="3"/>
      <c r="F2316">
        <v>1770</v>
      </c>
    </row>
    <row r="2317" spans="1:6" x14ac:dyDescent="0.25">
      <c r="A2317">
        <v>7846</v>
      </c>
      <c r="B2317" s="15">
        <v>45094</v>
      </c>
      <c r="C2317" s="133"/>
      <c r="D2317" s="133"/>
      <c r="E2317" s="3"/>
      <c r="F2317">
        <v>1771</v>
      </c>
    </row>
    <row r="2318" spans="1:6" x14ac:dyDescent="0.25">
      <c r="A2318">
        <v>7846</v>
      </c>
      <c r="B2318" s="15">
        <v>45095</v>
      </c>
      <c r="C2318" s="133"/>
      <c r="D2318" s="133"/>
      <c r="F2318">
        <v>1772</v>
      </c>
    </row>
    <row r="2319" spans="1:6" x14ac:dyDescent="0.25">
      <c r="A2319">
        <v>7846</v>
      </c>
      <c r="B2319" s="15">
        <v>45096</v>
      </c>
      <c r="C2319" s="106">
        <v>0.375</v>
      </c>
      <c r="D2319" s="105">
        <v>0.72083333333333333</v>
      </c>
      <c r="E2319" s="3"/>
      <c r="F2319">
        <v>1773</v>
      </c>
    </row>
    <row r="2320" spans="1:6" x14ac:dyDescent="0.25">
      <c r="A2320">
        <v>7846</v>
      </c>
      <c r="B2320" s="15">
        <v>45097</v>
      </c>
      <c r="C2320" s="106" t="s">
        <v>168</v>
      </c>
      <c r="D2320" s="105">
        <v>0.44791666666666669</v>
      </c>
      <c r="E2320" s="3"/>
      <c r="F2320">
        <v>1774</v>
      </c>
    </row>
    <row r="2321" spans="1:6" x14ac:dyDescent="0.25">
      <c r="A2321">
        <v>7846</v>
      </c>
      <c r="B2321" s="15">
        <v>45098</v>
      </c>
      <c r="C2321" s="105">
        <v>0.44791666666666669</v>
      </c>
      <c r="D2321" s="105">
        <v>0.79375000000000007</v>
      </c>
      <c r="F2321">
        <v>1775</v>
      </c>
    </row>
    <row r="2322" spans="1:6" x14ac:dyDescent="0.25">
      <c r="A2322">
        <v>7846</v>
      </c>
      <c r="B2322" s="15">
        <v>45099</v>
      </c>
      <c r="C2322" s="106">
        <v>0.35416666666666669</v>
      </c>
      <c r="D2322" s="105">
        <v>0.70000000000000007</v>
      </c>
      <c r="E2322" s="3"/>
      <c r="F2322">
        <v>1776</v>
      </c>
    </row>
    <row r="2323" spans="1:6" x14ac:dyDescent="0.25">
      <c r="A2323">
        <v>7846</v>
      </c>
      <c r="B2323" s="15">
        <v>45100</v>
      </c>
      <c r="C2323" s="105">
        <v>0.35416666666666669</v>
      </c>
      <c r="D2323" s="107" t="s">
        <v>166</v>
      </c>
      <c r="F2323">
        <v>1777</v>
      </c>
    </row>
    <row r="2324" spans="1:6" x14ac:dyDescent="0.25">
      <c r="A2324">
        <v>7846</v>
      </c>
      <c r="B2324" s="15">
        <v>45101</v>
      </c>
      <c r="C2324" s="126" t="s">
        <v>167</v>
      </c>
      <c r="D2324" s="133"/>
      <c r="E2324" s="3"/>
      <c r="F2324">
        <v>1778</v>
      </c>
    </row>
    <row r="2325" spans="1:6" x14ac:dyDescent="0.25">
      <c r="A2325">
        <v>7846</v>
      </c>
      <c r="B2325" s="15">
        <v>45102</v>
      </c>
      <c r="C2325" s="133"/>
      <c r="D2325" s="133"/>
      <c r="E2325" s="3"/>
      <c r="F2325">
        <v>1779</v>
      </c>
    </row>
    <row r="2326" spans="1:6" x14ac:dyDescent="0.25">
      <c r="A2326">
        <v>7846</v>
      </c>
      <c r="B2326" s="15">
        <v>45103</v>
      </c>
      <c r="C2326" s="105">
        <v>0.35416666666666669</v>
      </c>
      <c r="D2326" s="106">
        <v>0.70000000000000007</v>
      </c>
      <c r="E2326" s="3"/>
      <c r="F2326">
        <v>1780</v>
      </c>
    </row>
    <row r="2327" spans="1:6" x14ac:dyDescent="0.25">
      <c r="A2327">
        <v>7846</v>
      </c>
      <c r="B2327" s="15">
        <v>45104</v>
      </c>
      <c r="C2327" s="132">
        <v>0.44791666666666669</v>
      </c>
      <c r="D2327" s="105">
        <v>0.79375000000000007</v>
      </c>
      <c r="E2327" s="3"/>
      <c r="F2327">
        <v>1781</v>
      </c>
    </row>
    <row r="2328" spans="1:6" x14ac:dyDescent="0.25">
      <c r="A2328">
        <v>7846</v>
      </c>
      <c r="B2328" s="15">
        <v>45105</v>
      </c>
      <c r="C2328" s="105">
        <v>0.35416666666666669</v>
      </c>
      <c r="D2328" s="105">
        <v>0.70000000000000007</v>
      </c>
      <c r="F2328">
        <v>1782</v>
      </c>
    </row>
    <row r="2329" spans="1:6" x14ac:dyDescent="0.25">
      <c r="A2329">
        <v>7846</v>
      </c>
      <c r="B2329" s="15">
        <v>45106</v>
      </c>
      <c r="C2329" s="132">
        <v>0.44791666666666669</v>
      </c>
      <c r="D2329" s="105">
        <v>0.79375000000000007</v>
      </c>
      <c r="E2329" s="3"/>
      <c r="F2329">
        <v>1783</v>
      </c>
    </row>
    <row r="2330" spans="1:6" x14ac:dyDescent="0.25">
      <c r="A2330">
        <v>7846</v>
      </c>
      <c r="B2330" s="15">
        <v>45107</v>
      </c>
      <c r="C2330" s="105">
        <v>0.35416666666666669</v>
      </c>
      <c r="D2330" s="106">
        <v>0.70000000000000007</v>
      </c>
      <c r="E2330" s="3"/>
      <c r="F2330">
        <v>1784</v>
      </c>
    </row>
    <row r="2331" spans="1:6" x14ac:dyDescent="0.25">
      <c r="A2331">
        <v>7846</v>
      </c>
      <c r="B2331" s="15">
        <v>45108</v>
      </c>
      <c r="C2331" s="133"/>
      <c r="D2331" s="133"/>
      <c r="E2331" s="3"/>
      <c r="F2331">
        <v>1785</v>
      </c>
    </row>
    <row r="2332" spans="1:6" x14ac:dyDescent="0.25">
      <c r="A2332">
        <v>7846</v>
      </c>
      <c r="B2332" s="15">
        <v>45109</v>
      </c>
      <c r="C2332" s="133"/>
      <c r="D2332" s="133"/>
      <c r="E2332" s="3"/>
      <c r="F2332">
        <v>1786</v>
      </c>
    </row>
    <row r="2333" spans="1:6" x14ac:dyDescent="0.25">
      <c r="A2333">
        <v>7846</v>
      </c>
      <c r="B2333" s="15">
        <v>45110</v>
      </c>
      <c r="C2333" s="132">
        <v>0.44791666666666669</v>
      </c>
      <c r="D2333" s="105">
        <v>0.79375000000000007</v>
      </c>
      <c r="E2333" s="3"/>
      <c r="F2333">
        <v>1787</v>
      </c>
    </row>
    <row r="2334" spans="1:6" x14ac:dyDescent="0.25">
      <c r="A2334">
        <v>7846</v>
      </c>
      <c r="B2334" s="15">
        <v>45111</v>
      </c>
      <c r="C2334" s="105">
        <v>0.35416666666666669</v>
      </c>
      <c r="D2334" s="108">
        <v>0.72083333333333333</v>
      </c>
      <c r="E2334" s="3"/>
      <c r="F2334">
        <v>1788</v>
      </c>
    </row>
    <row r="2335" spans="1:6" x14ac:dyDescent="0.25">
      <c r="A2335">
        <v>7846</v>
      </c>
      <c r="B2335" s="15">
        <v>45112</v>
      </c>
      <c r="C2335" s="105">
        <v>0.35416666666666669</v>
      </c>
      <c r="D2335" s="108">
        <v>0.72083333333333333</v>
      </c>
      <c r="E2335" s="3"/>
      <c r="F2335">
        <v>1789</v>
      </c>
    </row>
    <row r="2336" spans="1:6" x14ac:dyDescent="0.25">
      <c r="A2336">
        <v>7846</v>
      </c>
      <c r="B2336" s="15">
        <v>45113</v>
      </c>
      <c r="C2336" s="105">
        <v>0.35416666666666669</v>
      </c>
      <c r="D2336" s="106">
        <v>0.70000000000000007</v>
      </c>
      <c r="F2336">
        <v>1790</v>
      </c>
    </row>
    <row r="2337" spans="1:6" x14ac:dyDescent="0.25">
      <c r="A2337">
        <v>7846</v>
      </c>
      <c r="B2337" s="15">
        <v>45114</v>
      </c>
      <c r="C2337" s="106">
        <v>0.375</v>
      </c>
      <c r="D2337" s="108">
        <v>0.72083333333333333</v>
      </c>
      <c r="E2337" s="3"/>
      <c r="F2337">
        <v>1791</v>
      </c>
    </row>
    <row r="2338" spans="1:6" x14ac:dyDescent="0.25">
      <c r="A2338">
        <v>7846</v>
      </c>
      <c r="B2338" s="15">
        <v>45115</v>
      </c>
      <c r="C2338" s="133"/>
      <c r="D2338" s="133"/>
      <c r="F2338">
        <v>1792</v>
      </c>
    </row>
    <row r="2339" spans="1:6" x14ac:dyDescent="0.25">
      <c r="A2339">
        <v>7846</v>
      </c>
      <c r="B2339" s="15">
        <v>45116</v>
      </c>
      <c r="C2339" s="133"/>
      <c r="D2339" s="133"/>
      <c r="E2339" s="3"/>
      <c r="F2339">
        <v>1793</v>
      </c>
    </row>
    <row r="2340" spans="1:6" x14ac:dyDescent="0.25">
      <c r="A2340">
        <v>7846</v>
      </c>
      <c r="B2340" s="15">
        <v>45117</v>
      </c>
      <c r="C2340" s="105">
        <v>0.35416666666666669</v>
      </c>
      <c r="D2340" s="106">
        <v>0.70000000000000007</v>
      </c>
      <c r="E2340" s="3"/>
      <c r="F2340">
        <v>1794</v>
      </c>
    </row>
    <row r="2341" spans="1:6" x14ac:dyDescent="0.25">
      <c r="A2341">
        <v>7846</v>
      </c>
      <c r="B2341" s="15">
        <v>45118</v>
      </c>
      <c r="C2341" s="106">
        <v>0.375</v>
      </c>
      <c r="D2341" s="108">
        <v>0.72083333333333333</v>
      </c>
      <c r="E2341" s="3"/>
      <c r="F2341">
        <v>1795</v>
      </c>
    </row>
    <row r="2342" spans="1:6" x14ac:dyDescent="0.25">
      <c r="A2342">
        <v>7846</v>
      </c>
      <c r="B2342" s="15">
        <v>45119</v>
      </c>
      <c r="C2342" s="105">
        <v>0.35416666666666669</v>
      </c>
      <c r="D2342" s="108">
        <v>0.72083333333333333</v>
      </c>
      <c r="E2342" s="3"/>
      <c r="F2342">
        <v>1796</v>
      </c>
    </row>
    <row r="2343" spans="1:6" x14ac:dyDescent="0.25">
      <c r="A2343">
        <v>7846</v>
      </c>
      <c r="B2343" s="15">
        <v>45120</v>
      </c>
      <c r="C2343" s="132">
        <v>0.44791666666666669</v>
      </c>
      <c r="D2343" s="105">
        <v>0.79375000000000007</v>
      </c>
      <c r="E2343" s="3"/>
      <c r="F2343">
        <v>1797</v>
      </c>
    </row>
    <row r="2344" spans="1:6" x14ac:dyDescent="0.25">
      <c r="A2344">
        <v>7846</v>
      </c>
      <c r="B2344" s="15">
        <v>45121</v>
      </c>
      <c r="C2344" s="107"/>
      <c r="D2344" s="107"/>
      <c r="E2344" s="3"/>
      <c r="F2344">
        <v>1798</v>
      </c>
    </row>
    <row r="2345" spans="1:6" x14ac:dyDescent="0.25">
      <c r="A2345">
        <v>7846</v>
      </c>
      <c r="B2345" s="15">
        <v>45122</v>
      </c>
      <c r="C2345" s="133"/>
      <c r="D2345" s="133"/>
      <c r="E2345" s="3"/>
      <c r="F2345">
        <v>1799</v>
      </c>
    </row>
    <row r="2346" spans="1:6" x14ac:dyDescent="0.25">
      <c r="A2346">
        <v>7846</v>
      </c>
      <c r="B2346" s="15">
        <v>45123</v>
      </c>
      <c r="C2346" s="133"/>
      <c r="D2346" s="133"/>
      <c r="E2346" s="3"/>
      <c r="F2346">
        <v>1800</v>
      </c>
    </row>
    <row r="2347" spans="1:6" x14ac:dyDescent="0.25">
      <c r="A2347">
        <v>7846</v>
      </c>
      <c r="B2347" s="15">
        <v>45124</v>
      </c>
      <c r="C2347" s="104" t="s">
        <v>2</v>
      </c>
      <c r="D2347" s="104" t="s">
        <v>2</v>
      </c>
      <c r="E2347" s="3"/>
      <c r="F2347">
        <v>1801</v>
      </c>
    </row>
    <row r="2348" spans="1:6" x14ac:dyDescent="0.25">
      <c r="A2348">
        <v>7846</v>
      </c>
      <c r="B2348" s="15">
        <v>45125</v>
      </c>
      <c r="C2348" s="104" t="s">
        <v>2</v>
      </c>
      <c r="D2348" s="104" t="s">
        <v>2</v>
      </c>
      <c r="E2348" s="3"/>
      <c r="F2348">
        <v>1802</v>
      </c>
    </row>
    <row r="2349" spans="1:6" x14ac:dyDescent="0.25">
      <c r="A2349">
        <v>7846</v>
      </c>
      <c r="B2349" s="15">
        <v>45126</v>
      </c>
      <c r="C2349" s="104" t="s">
        <v>2</v>
      </c>
      <c r="D2349" s="104" t="s">
        <v>2</v>
      </c>
      <c r="F2349">
        <v>1803</v>
      </c>
    </row>
    <row r="2350" spans="1:6" x14ac:dyDescent="0.25">
      <c r="A2350">
        <v>7846</v>
      </c>
      <c r="B2350" s="15">
        <v>45127</v>
      </c>
      <c r="C2350" s="104" t="s">
        <v>2</v>
      </c>
      <c r="D2350" s="104" t="s">
        <v>2</v>
      </c>
      <c r="E2350" s="3"/>
      <c r="F2350">
        <v>1804</v>
      </c>
    </row>
    <row r="2351" spans="1:6" x14ac:dyDescent="0.25">
      <c r="A2351">
        <v>7846</v>
      </c>
      <c r="B2351" s="15">
        <v>45128</v>
      </c>
      <c r="C2351" s="104" t="s">
        <v>2</v>
      </c>
      <c r="D2351" s="104" t="s">
        <v>2</v>
      </c>
      <c r="E2351" s="3"/>
      <c r="F2351">
        <v>1805</v>
      </c>
    </row>
    <row r="2352" spans="1:6" x14ac:dyDescent="0.25">
      <c r="A2352">
        <v>7846</v>
      </c>
      <c r="B2352" s="15">
        <v>45129</v>
      </c>
      <c r="C2352" s="133"/>
      <c r="D2352" s="133"/>
      <c r="F2352">
        <v>1806</v>
      </c>
    </row>
    <row r="2353" spans="1:6" x14ac:dyDescent="0.25">
      <c r="A2353">
        <v>7846</v>
      </c>
      <c r="B2353" s="15">
        <v>45130</v>
      </c>
      <c r="C2353" s="133"/>
      <c r="D2353" s="133"/>
      <c r="E2353" s="3"/>
      <c r="F2353">
        <v>1807</v>
      </c>
    </row>
    <row r="2354" spans="1:6" x14ac:dyDescent="0.25">
      <c r="A2354">
        <v>7846</v>
      </c>
      <c r="B2354" s="15">
        <v>45131</v>
      </c>
      <c r="C2354" s="109" t="s">
        <v>2</v>
      </c>
      <c r="D2354" s="109" t="s">
        <v>2</v>
      </c>
      <c r="F2354">
        <v>1808</v>
      </c>
    </row>
    <row r="2355" spans="1:6" x14ac:dyDescent="0.25">
      <c r="A2355">
        <v>7846</v>
      </c>
      <c r="B2355" s="15">
        <v>45132</v>
      </c>
      <c r="C2355" s="109" t="s">
        <v>2</v>
      </c>
      <c r="D2355" s="109" t="s">
        <v>2</v>
      </c>
      <c r="E2355" s="3"/>
      <c r="F2355">
        <v>1809</v>
      </c>
    </row>
    <row r="2356" spans="1:6" x14ac:dyDescent="0.25">
      <c r="A2356">
        <v>7846</v>
      </c>
      <c r="B2356" s="15">
        <v>45133</v>
      </c>
      <c r="C2356" s="109" t="s">
        <v>2</v>
      </c>
      <c r="D2356" s="109" t="s">
        <v>2</v>
      </c>
      <c r="E2356" s="3"/>
      <c r="F2356">
        <v>1810</v>
      </c>
    </row>
    <row r="2357" spans="1:6" x14ac:dyDescent="0.25">
      <c r="A2357">
        <v>7846</v>
      </c>
      <c r="B2357" s="15">
        <v>45134</v>
      </c>
      <c r="C2357" s="109" t="s">
        <v>2</v>
      </c>
      <c r="D2357" s="109" t="s">
        <v>2</v>
      </c>
      <c r="E2357" s="3"/>
      <c r="F2357">
        <v>1811</v>
      </c>
    </row>
    <row r="2358" spans="1:6" x14ac:dyDescent="0.25">
      <c r="A2358">
        <v>7846</v>
      </c>
      <c r="B2358" s="15">
        <v>45135</v>
      </c>
      <c r="C2358" s="109" t="s">
        <v>2</v>
      </c>
      <c r="D2358" s="109" t="s">
        <v>2</v>
      </c>
      <c r="E2358" s="3"/>
      <c r="F2358">
        <v>1812</v>
      </c>
    </row>
    <row r="2359" spans="1:6" x14ac:dyDescent="0.25">
      <c r="A2359">
        <v>7846</v>
      </c>
      <c r="B2359" s="15">
        <v>45136</v>
      </c>
      <c r="C2359" s="133"/>
      <c r="D2359" s="133"/>
      <c r="F2359">
        <v>1813</v>
      </c>
    </row>
    <row r="2360" spans="1:6" x14ac:dyDescent="0.25">
      <c r="A2360">
        <v>7846</v>
      </c>
      <c r="B2360" s="15">
        <v>45137</v>
      </c>
      <c r="C2360" s="133"/>
      <c r="D2360" s="133"/>
      <c r="E2360" s="3"/>
      <c r="F2360">
        <v>1814</v>
      </c>
    </row>
    <row r="2361" spans="1:6" x14ac:dyDescent="0.25">
      <c r="A2361">
        <v>7846</v>
      </c>
      <c r="B2361" s="15">
        <v>45138</v>
      </c>
      <c r="C2361" s="106">
        <v>0.375</v>
      </c>
      <c r="D2361" s="105">
        <v>0.72083333333333333</v>
      </c>
      <c r="E2361" s="3"/>
      <c r="F2361">
        <v>1815</v>
      </c>
    </row>
    <row r="2362" spans="1:6" x14ac:dyDescent="0.25">
      <c r="A2362">
        <v>7846</v>
      </c>
      <c r="B2362" s="15">
        <v>45139</v>
      </c>
      <c r="C2362" s="105">
        <v>0.35416666666666669</v>
      </c>
      <c r="D2362" s="106">
        <v>0.70000000000000007</v>
      </c>
      <c r="E2362" s="3"/>
      <c r="F2362">
        <v>1816</v>
      </c>
    </row>
    <row r="2363" spans="1:6" x14ac:dyDescent="0.25">
      <c r="A2363">
        <v>7846</v>
      </c>
      <c r="B2363" s="15">
        <v>45140</v>
      </c>
      <c r="C2363" s="105">
        <v>0.35416666666666669</v>
      </c>
      <c r="D2363" s="106">
        <v>0.72083333333333333</v>
      </c>
      <c r="E2363" s="3"/>
      <c r="F2363">
        <v>1817</v>
      </c>
    </row>
    <row r="2364" spans="1:6" x14ac:dyDescent="0.25">
      <c r="A2364">
        <v>7846</v>
      </c>
      <c r="B2364" s="15">
        <v>45141</v>
      </c>
      <c r="C2364" s="106">
        <v>0.375</v>
      </c>
      <c r="D2364" s="105">
        <v>0.72083333333333333</v>
      </c>
      <c r="E2364" s="3"/>
      <c r="F2364">
        <v>1818</v>
      </c>
    </row>
    <row r="2365" spans="1:6" x14ac:dyDescent="0.25">
      <c r="A2365">
        <v>7846</v>
      </c>
      <c r="B2365" s="15">
        <v>45142</v>
      </c>
      <c r="C2365" s="105">
        <v>0.35416666666666669</v>
      </c>
      <c r="D2365" s="106">
        <v>0.70000000000000007</v>
      </c>
      <c r="E2365" s="3"/>
      <c r="F2365">
        <v>1819</v>
      </c>
    </row>
    <row r="2366" spans="1:6" x14ac:dyDescent="0.25">
      <c r="A2366">
        <v>7846</v>
      </c>
      <c r="B2366" s="15">
        <v>45143</v>
      </c>
      <c r="C2366" s="133"/>
      <c r="D2366" s="133"/>
      <c r="E2366" s="3"/>
      <c r="F2366">
        <v>1820</v>
      </c>
    </row>
    <row r="2367" spans="1:6" x14ac:dyDescent="0.25">
      <c r="A2367">
        <v>7846</v>
      </c>
      <c r="B2367" s="15">
        <v>45144</v>
      </c>
      <c r="C2367" s="133"/>
      <c r="D2367" s="133"/>
      <c r="F2367">
        <v>1821</v>
      </c>
    </row>
    <row r="2368" spans="1:6" x14ac:dyDescent="0.25">
      <c r="A2368">
        <v>7846</v>
      </c>
      <c r="B2368" s="15">
        <v>45145</v>
      </c>
      <c r="C2368" s="105">
        <v>0.375</v>
      </c>
      <c r="D2368" s="108">
        <v>0.72083333333333333</v>
      </c>
      <c r="E2368" s="3"/>
      <c r="F2368">
        <v>1822</v>
      </c>
    </row>
    <row r="2369" spans="1:6" x14ac:dyDescent="0.25">
      <c r="A2369">
        <v>7846</v>
      </c>
      <c r="B2369" s="15">
        <v>45146</v>
      </c>
      <c r="C2369" s="105">
        <v>0.35416666666666669</v>
      </c>
      <c r="D2369" s="106">
        <v>0.70000000000000007</v>
      </c>
      <c r="F2369">
        <v>1823</v>
      </c>
    </row>
    <row r="2370" spans="1:6" x14ac:dyDescent="0.25">
      <c r="A2370">
        <v>7846</v>
      </c>
      <c r="B2370" s="15">
        <v>45147</v>
      </c>
      <c r="C2370" s="132">
        <v>0.44791666666666669</v>
      </c>
      <c r="D2370" s="105">
        <v>0.79375000000000007</v>
      </c>
      <c r="E2370" s="3"/>
      <c r="F2370">
        <v>1824</v>
      </c>
    </row>
    <row r="2371" spans="1:6" x14ac:dyDescent="0.25">
      <c r="A2371">
        <v>7846</v>
      </c>
      <c r="B2371" s="15">
        <v>45148</v>
      </c>
      <c r="C2371" s="106">
        <v>0.375</v>
      </c>
      <c r="D2371" s="108">
        <v>0.72083333333333333</v>
      </c>
      <c r="E2371" s="3"/>
      <c r="F2371">
        <v>1825</v>
      </c>
    </row>
    <row r="2372" spans="1:6" x14ac:dyDescent="0.25">
      <c r="A2372">
        <v>7846</v>
      </c>
      <c r="B2372" s="15">
        <v>45149</v>
      </c>
      <c r="C2372" s="105">
        <v>0.375</v>
      </c>
      <c r="D2372" s="108">
        <v>0.72083333333333333</v>
      </c>
      <c r="E2372" s="3"/>
      <c r="F2372">
        <v>1826</v>
      </c>
    </row>
    <row r="2373" spans="1:6" x14ac:dyDescent="0.25">
      <c r="A2373">
        <v>7846</v>
      </c>
      <c r="B2373" s="15">
        <v>45150</v>
      </c>
      <c r="C2373" s="133"/>
      <c r="D2373" s="133"/>
      <c r="E2373" s="3"/>
      <c r="F2373">
        <v>1827</v>
      </c>
    </row>
    <row r="2374" spans="1:6" x14ac:dyDescent="0.25">
      <c r="A2374">
        <v>7846</v>
      </c>
      <c r="B2374" s="15">
        <v>45151</v>
      </c>
      <c r="C2374" s="133"/>
      <c r="D2374" s="133"/>
      <c r="E2374" s="3"/>
      <c r="F2374">
        <v>1828</v>
      </c>
    </row>
    <row r="2375" spans="1:6" x14ac:dyDescent="0.25">
      <c r="A2375">
        <v>7846</v>
      </c>
      <c r="B2375" s="15">
        <v>45152</v>
      </c>
      <c r="C2375" s="104" t="s">
        <v>2</v>
      </c>
      <c r="D2375" s="104" t="s">
        <v>2</v>
      </c>
      <c r="E2375" s="3"/>
      <c r="F2375">
        <v>1829</v>
      </c>
    </row>
    <row r="2376" spans="1:6" x14ac:dyDescent="0.25">
      <c r="A2376">
        <v>7846</v>
      </c>
      <c r="B2376" s="15">
        <v>45153</v>
      </c>
      <c r="C2376" s="107"/>
      <c r="D2376" s="107"/>
      <c r="E2376" s="3"/>
      <c r="F2376">
        <v>1830</v>
      </c>
    </row>
    <row r="2377" spans="1:6" x14ac:dyDescent="0.25">
      <c r="A2377">
        <v>7846</v>
      </c>
      <c r="B2377" s="15">
        <v>45154</v>
      </c>
      <c r="C2377" s="105">
        <v>0.35416666666666669</v>
      </c>
      <c r="D2377" s="106">
        <v>0.70000000000000007</v>
      </c>
      <c r="E2377" s="3"/>
      <c r="F2377">
        <v>1831</v>
      </c>
    </row>
    <row r="2378" spans="1:6" x14ac:dyDescent="0.25">
      <c r="A2378">
        <v>7846</v>
      </c>
      <c r="B2378" s="15">
        <v>45155</v>
      </c>
      <c r="C2378" s="132">
        <v>0.44791666666666669</v>
      </c>
      <c r="D2378" s="105">
        <v>0.79375000000000007</v>
      </c>
      <c r="E2378" s="3"/>
      <c r="F2378">
        <v>1832</v>
      </c>
    </row>
    <row r="2379" spans="1:6" x14ac:dyDescent="0.25">
      <c r="A2379">
        <v>7846</v>
      </c>
      <c r="B2379" s="15">
        <v>45156</v>
      </c>
      <c r="C2379" s="105">
        <v>0.35416666666666669</v>
      </c>
      <c r="D2379" s="106">
        <v>0.70000000000000007</v>
      </c>
      <c r="E2379" s="3"/>
      <c r="F2379">
        <v>1833</v>
      </c>
    </row>
    <row r="2380" spans="1:6" x14ac:dyDescent="0.25">
      <c r="A2380">
        <v>7846</v>
      </c>
      <c r="B2380" s="15">
        <v>45157</v>
      </c>
      <c r="C2380" s="133"/>
      <c r="D2380" s="133"/>
      <c r="F2380">
        <v>1834</v>
      </c>
    </row>
    <row r="2381" spans="1:6" x14ac:dyDescent="0.25">
      <c r="A2381">
        <v>7846</v>
      </c>
      <c r="B2381" s="15">
        <v>45158</v>
      </c>
      <c r="C2381" s="133"/>
      <c r="D2381" s="133"/>
      <c r="E2381" s="3"/>
      <c r="F2381">
        <v>1835</v>
      </c>
    </row>
    <row r="2382" spans="1:6" x14ac:dyDescent="0.25">
      <c r="A2382">
        <v>7846</v>
      </c>
      <c r="B2382" s="15">
        <v>45159</v>
      </c>
      <c r="C2382" s="105">
        <v>0.35416666666666669</v>
      </c>
      <c r="D2382" s="106">
        <v>0.70000000000000007</v>
      </c>
      <c r="E2382" s="3"/>
      <c r="F2382">
        <v>1836</v>
      </c>
    </row>
    <row r="2383" spans="1:6" x14ac:dyDescent="0.25">
      <c r="A2383">
        <v>7846</v>
      </c>
      <c r="B2383" s="15">
        <v>45160</v>
      </c>
      <c r="C2383" s="105">
        <v>0.35416666666666669</v>
      </c>
      <c r="D2383" s="106">
        <v>0.70000000000000007</v>
      </c>
      <c r="F2383">
        <v>1837</v>
      </c>
    </row>
    <row r="2384" spans="1:6" x14ac:dyDescent="0.25">
      <c r="A2384">
        <v>7846</v>
      </c>
      <c r="B2384" s="15">
        <v>45161</v>
      </c>
      <c r="C2384" s="132">
        <v>0.44791666666666669</v>
      </c>
      <c r="D2384" s="105">
        <v>0.79375000000000007</v>
      </c>
      <c r="E2384" s="3"/>
      <c r="F2384">
        <v>1838</v>
      </c>
    </row>
    <row r="2385" spans="1:6" x14ac:dyDescent="0.25">
      <c r="A2385">
        <v>7846</v>
      </c>
      <c r="B2385" s="15">
        <v>45162</v>
      </c>
      <c r="C2385" s="106">
        <v>0.375</v>
      </c>
      <c r="D2385" s="107" t="s">
        <v>166</v>
      </c>
      <c r="F2385">
        <v>1839</v>
      </c>
    </row>
    <row r="2386" spans="1:6" x14ac:dyDescent="0.25">
      <c r="A2386">
        <v>7846</v>
      </c>
      <c r="B2386" s="15">
        <v>45163</v>
      </c>
      <c r="C2386" s="132">
        <v>0.44791666666666669</v>
      </c>
      <c r="D2386" s="105">
        <v>0.79375000000000007</v>
      </c>
      <c r="E2386" s="3"/>
      <c r="F2386">
        <v>1840</v>
      </c>
    </row>
    <row r="2387" spans="1:6" x14ac:dyDescent="0.25">
      <c r="A2387">
        <v>7846</v>
      </c>
      <c r="B2387" s="15">
        <v>45164</v>
      </c>
      <c r="C2387" s="135" t="s">
        <v>167</v>
      </c>
      <c r="D2387" s="133"/>
      <c r="E2387" s="3"/>
      <c r="F2387">
        <v>1841</v>
      </c>
    </row>
    <row r="2388" spans="1:6" x14ac:dyDescent="0.25">
      <c r="A2388">
        <v>7846</v>
      </c>
      <c r="B2388" s="15">
        <v>45165</v>
      </c>
      <c r="C2388" s="133"/>
      <c r="D2388" s="133"/>
      <c r="E2388" s="3"/>
      <c r="F2388">
        <v>1842</v>
      </c>
    </row>
    <row r="2389" spans="1:6" x14ac:dyDescent="0.25">
      <c r="A2389">
        <v>7846</v>
      </c>
      <c r="B2389" s="15">
        <v>45166</v>
      </c>
      <c r="C2389" s="105">
        <v>0.35416666666666669</v>
      </c>
      <c r="D2389" s="106">
        <v>0.70000000000000007</v>
      </c>
      <c r="E2389" s="3"/>
      <c r="F2389">
        <v>1843</v>
      </c>
    </row>
    <row r="2390" spans="1:6" x14ac:dyDescent="0.25">
      <c r="A2390">
        <v>7846</v>
      </c>
      <c r="B2390" s="15">
        <v>45167</v>
      </c>
      <c r="C2390" s="132">
        <v>0.44791666666666669</v>
      </c>
      <c r="D2390" s="105">
        <v>0.79375000000000007</v>
      </c>
      <c r="F2390">
        <v>1844</v>
      </c>
    </row>
    <row r="2391" spans="1:6" x14ac:dyDescent="0.25">
      <c r="A2391">
        <v>7846</v>
      </c>
      <c r="B2391" s="15">
        <v>45168</v>
      </c>
      <c r="C2391" s="106">
        <v>0.375</v>
      </c>
      <c r="D2391" s="108">
        <v>0.72083333333333333</v>
      </c>
      <c r="E2391" s="3"/>
      <c r="F2391">
        <v>1845</v>
      </c>
    </row>
    <row r="2392" spans="1:6" x14ac:dyDescent="0.25">
      <c r="A2392">
        <v>7846</v>
      </c>
      <c r="B2392" s="15">
        <v>45169</v>
      </c>
      <c r="C2392" s="132">
        <v>0.44791666666666669</v>
      </c>
      <c r="D2392" s="105">
        <v>0.79375000000000007</v>
      </c>
      <c r="E2392" s="3"/>
      <c r="F2392">
        <v>1846</v>
      </c>
    </row>
    <row r="2393" spans="1:6" x14ac:dyDescent="0.25">
      <c r="A2393">
        <v>7846</v>
      </c>
      <c r="B2393" s="15">
        <v>45170</v>
      </c>
      <c r="C2393" s="105">
        <v>0.35416666666666669</v>
      </c>
      <c r="D2393" s="106">
        <v>0.70000000000000007</v>
      </c>
      <c r="E2393" s="3"/>
      <c r="F2393">
        <v>1847</v>
      </c>
    </row>
    <row r="2394" spans="1:6" x14ac:dyDescent="0.25">
      <c r="A2394">
        <v>7846</v>
      </c>
      <c r="B2394" s="15">
        <v>45171</v>
      </c>
      <c r="C2394" s="133"/>
      <c r="D2394" s="133"/>
      <c r="E2394" s="3"/>
      <c r="F2394">
        <v>1848</v>
      </c>
    </row>
    <row r="2395" spans="1:6" x14ac:dyDescent="0.25">
      <c r="A2395">
        <v>7846</v>
      </c>
      <c r="B2395" s="15">
        <v>45172</v>
      </c>
      <c r="C2395" s="133"/>
      <c r="D2395" s="133"/>
      <c r="E2395" s="3"/>
      <c r="F2395">
        <v>1849</v>
      </c>
    </row>
    <row r="2396" spans="1:6" x14ac:dyDescent="0.25">
      <c r="A2396">
        <v>7846</v>
      </c>
      <c r="B2396" s="15">
        <v>45173</v>
      </c>
      <c r="C2396" s="109" t="s">
        <v>2</v>
      </c>
      <c r="D2396" s="109" t="s">
        <v>2</v>
      </c>
      <c r="E2396" s="3"/>
      <c r="F2396">
        <v>1850</v>
      </c>
    </row>
    <row r="2397" spans="1:6" x14ac:dyDescent="0.25">
      <c r="A2397">
        <v>7846</v>
      </c>
      <c r="B2397" s="15">
        <v>45174</v>
      </c>
      <c r="C2397" s="109" t="s">
        <v>2</v>
      </c>
      <c r="D2397" s="109" t="s">
        <v>2</v>
      </c>
      <c r="E2397" s="3"/>
      <c r="F2397">
        <v>1851</v>
      </c>
    </row>
    <row r="2398" spans="1:6" x14ac:dyDescent="0.25">
      <c r="A2398">
        <v>7846</v>
      </c>
      <c r="B2398" s="15">
        <v>45175</v>
      </c>
      <c r="C2398" s="109" t="s">
        <v>2</v>
      </c>
      <c r="D2398" s="109" t="s">
        <v>2</v>
      </c>
      <c r="F2398">
        <v>1852</v>
      </c>
    </row>
    <row r="2399" spans="1:6" x14ac:dyDescent="0.25">
      <c r="A2399">
        <v>7846</v>
      </c>
      <c r="B2399" s="15">
        <v>45176</v>
      </c>
      <c r="C2399" s="109" t="s">
        <v>2</v>
      </c>
      <c r="D2399" s="109" t="s">
        <v>2</v>
      </c>
      <c r="E2399" s="3"/>
      <c r="F2399">
        <v>1853</v>
      </c>
    </row>
    <row r="2400" spans="1:6" x14ac:dyDescent="0.25">
      <c r="A2400">
        <v>7846</v>
      </c>
      <c r="B2400" s="15">
        <v>45177</v>
      </c>
      <c r="C2400" s="109" t="s">
        <v>2</v>
      </c>
      <c r="D2400" s="109" t="s">
        <v>2</v>
      </c>
      <c r="F2400">
        <v>1854</v>
      </c>
    </row>
    <row r="2401" spans="1:6" x14ac:dyDescent="0.25">
      <c r="A2401">
        <v>7846</v>
      </c>
      <c r="B2401" s="15">
        <v>45178</v>
      </c>
      <c r="C2401" s="133"/>
      <c r="D2401" s="133"/>
      <c r="E2401" s="3"/>
      <c r="F2401">
        <v>1855</v>
      </c>
    </row>
    <row r="2402" spans="1:6" x14ac:dyDescent="0.25">
      <c r="A2402">
        <v>7846</v>
      </c>
      <c r="B2402" s="15">
        <v>45179</v>
      </c>
      <c r="C2402" s="133"/>
      <c r="D2402" s="133"/>
      <c r="E2402" s="3"/>
      <c r="F2402">
        <v>1856</v>
      </c>
    </row>
    <row r="2403" spans="1:6" x14ac:dyDescent="0.25">
      <c r="A2403">
        <v>7846</v>
      </c>
      <c r="B2403" s="15">
        <v>45180</v>
      </c>
      <c r="C2403" s="109" t="s">
        <v>2</v>
      </c>
      <c r="D2403" s="109" t="s">
        <v>2</v>
      </c>
      <c r="E2403" s="3"/>
      <c r="F2403">
        <v>1857</v>
      </c>
    </row>
    <row r="2404" spans="1:6" x14ac:dyDescent="0.25">
      <c r="A2404">
        <v>7846</v>
      </c>
      <c r="B2404" s="15">
        <v>45181</v>
      </c>
      <c r="C2404" s="109" t="s">
        <v>2</v>
      </c>
      <c r="D2404" s="109" t="s">
        <v>2</v>
      </c>
      <c r="E2404" s="3"/>
      <c r="F2404">
        <v>1858</v>
      </c>
    </row>
    <row r="2405" spans="1:6" x14ac:dyDescent="0.25">
      <c r="A2405">
        <v>7846</v>
      </c>
      <c r="B2405" s="15">
        <v>45182</v>
      </c>
      <c r="C2405" s="109" t="s">
        <v>2</v>
      </c>
      <c r="D2405" s="109" t="s">
        <v>2</v>
      </c>
      <c r="E2405" s="3"/>
      <c r="F2405">
        <v>1859</v>
      </c>
    </row>
    <row r="2406" spans="1:6" x14ac:dyDescent="0.25">
      <c r="A2406">
        <v>7846</v>
      </c>
      <c r="B2406" s="15">
        <v>45183</v>
      </c>
      <c r="C2406" s="109" t="s">
        <v>2</v>
      </c>
      <c r="D2406" s="109" t="s">
        <v>2</v>
      </c>
      <c r="E2406" s="3"/>
      <c r="F2406">
        <v>1860</v>
      </c>
    </row>
    <row r="2407" spans="1:6" x14ac:dyDescent="0.25">
      <c r="A2407">
        <v>7846</v>
      </c>
      <c r="B2407" s="15">
        <v>45184</v>
      </c>
      <c r="C2407" s="109" t="s">
        <v>2</v>
      </c>
      <c r="D2407" s="109" t="s">
        <v>2</v>
      </c>
      <c r="E2407" s="3"/>
      <c r="F2407">
        <v>1861</v>
      </c>
    </row>
    <row r="2408" spans="1:6" x14ac:dyDescent="0.25">
      <c r="A2408">
        <v>7846</v>
      </c>
      <c r="B2408" s="15">
        <v>45185</v>
      </c>
      <c r="C2408" s="133"/>
      <c r="D2408" s="133"/>
      <c r="E2408" s="3"/>
      <c r="F2408">
        <v>1862</v>
      </c>
    </row>
    <row r="2409" spans="1:6" x14ac:dyDescent="0.25">
      <c r="A2409">
        <v>7846</v>
      </c>
      <c r="B2409" s="15">
        <v>45186</v>
      </c>
      <c r="C2409" s="133"/>
      <c r="D2409" s="133"/>
      <c r="E2409" s="3"/>
      <c r="F2409">
        <v>1863</v>
      </c>
    </row>
    <row r="2410" spans="1:6" x14ac:dyDescent="0.25">
      <c r="A2410">
        <v>7846</v>
      </c>
      <c r="B2410" s="15">
        <v>45187</v>
      </c>
      <c r="C2410" s="109" t="s">
        <v>2</v>
      </c>
      <c r="D2410" s="109" t="s">
        <v>2</v>
      </c>
      <c r="E2410" s="3"/>
      <c r="F2410">
        <v>1864</v>
      </c>
    </row>
    <row r="2411" spans="1:6" x14ac:dyDescent="0.25">
      <c r="A2411">
        <v>7846</v>
      </c>
      <c r="B2411" s="15">
        <v>45188</v>
      </c>
      <c r="C2411" s="106">
        <v>0.375</v>
      </c>
      <c r="D2411" s="108">
        <v>0.72083333333333333</v>
      </c>
      <c r="F2411">
        <v>1865</v>
      </c>
    </row>
    <row r="2412" spans="1:6" x14ac:dyDescent="0.25">
      <c r="A2412">
        <v>7846</v>
      </c>
      <c r="B2412" s="15">
        <v>45189</v>
      </c>
      <c r="C2412" s="132">
        <v>0.44791666666666669</v>
      </c>
      <c r="D2412" s="105">
        <v>0.79375000000000007</v>
      </c>
      <c r="E2412" s="3"/>
      <c r="F2412">
        <v>1866</v>
      </c>
    </row>
    <row r="2413" spans="1:6" x14ac:dyDescent="0.25">
      <c r="A2413">
        <v>7846</v>
      </c>
      <c r="B2413" s="15">
        <v>45190</v>
      </c>
      <c r="C2413" s="105">
        <v>0.35416666666666669</v>
      </c>
      <c r="D2413" s="108">
        <v>0.72083333333333333</v>
      </c>
      <c r="E2413" s="3"/>
      <c r="F2413">
        <v>1867</v>
      </c>
    </row>
    <row r="2414" spans="1:6" x14ac:dyDescent="0.25">
      <c r="A2414">
        <v>7846</v>
      </c>
      <c r="B2414" s="15">
        <v>45191</v>
      </c>
      <c r="C2414" s="106">
        <v>0.375</v>
      </c>
      <c r="D2414" s="108">
        <v>0.72083333333333333</v>
      </c>
      <c r="F2414">
        <v>1868</v>
      </c>
    </row>
    <row r="2415" spans="1:6" x14ac:dyDescent="0.25">
      <c r="A2415">
        <v>7846</v>
      </c>
      <c r="B2415" s="15">
        <v>45192</v>
      </c>
      <c r="C2415" s="133"/>
      <c r="D2415" s="133"/>
      <c r="E2415" s="3"/>
      <c r="F2415">
        <v>1869</v>
      </c>
    </row>
    <row r="2416" spans="1:6" x14ac:dyDescent="0.25">
      <c r="A2416">
        <v>7846</v>
      </c>
      <c r="B2416" s="15">
        <v>45193</v>
      </c>
      <c r="C2416" s="133"/>
      <c r="D2416" s="133"/>
      <c r="F2416">
        <v>1870</v>
      </c>
    </row>
    <row r="2417" spans="1:6" x14ac:dyDescent="0.25">
      <c r="A2417">
        <v>7846</v>
      </c>
      <c r="B2417" s="15">
        <v>45194</v>
      </c>
      <c r="C2417" s="132">
        <v>0.44791666666666669</v>
      </c>
      <c r="D2417" s="105">
        <v>0.79375000000000007</v>
      </c>
      <c r="E2417" s="3"/>
      <c r="F2417">
        <v>1871</v>
      </c>
    </row>
    <row r="2418" spans="1:6" x14ac:dyDescent="0.25">
      <c r="A2418">
        <v>7846</v>
      </c>
      <c r="B2418" s="15">
        <v>45195</v>
      </c>
      <c r="C2418" s="106">
        <v>0.375</v>
      </c>
      <c r="D2418" s="108">
        <v>0.72083333333333333</v>
      </c>
      <c r="E2418" s="3"/>
      <c r="F2418">
        <v>1872</v>
      </c>
    </row>
    <row r="2419" spans="1:6" x14ac:dyDescent="0.25">
      <c r="A2419">
        <v>7846</v>
      </c>
      <c r="B2419" s="15">
        <v>45196</v>
      </c>
      <c r="C2419" s="105">
        <v>0.35416666666666669</v>
      </c>
      <c r="D2419" s="106">
        <v>0.70000000000000007</v>
      </c>
      <c r="E2419" s="3"/>
      <c r="F2419">
        <v>1873</v>
      </c>
    </row>
    <row r="2420" spans="1:6" x14ac:dyDescent="0.25">
      <c r="A2420">
        <v>7846</v>
      </c>
      <c r="B2420" s="15">
        <v>45197</v>
      </c>
      <c r="C2420" s="105">
        <v>0.35416666666666669</v>
      </c>
      <c r="D2420" s="106">
        <v>0.70000000000000007</v>
      </c>
      <c r="E2420" s="3"/>
      <c r="F2420">
        <v>1874</v>
      </c>
    </row>
    <row r="2421" spans="1:6" x14ac:dyDescent="0.25">
      <c r="A2421">
        <v>7846</v>
      </c>
      <c r="B2421" s="15">
        <v>45198</v>
      </c>
      <c r="C2421" s="105">
        <v>0.35416666666666669</v>
      </c>
      <c r="D2421" s="106">
        <v>0.70000000000000007</v>
      </c>
      <c r="F2421">
        <v>1875</v>
      </c>
    </row>
    <row r="2422" spans="1:6" x14ac:dyDescent="0.25">
      <c r="A2422">
        <v>7846</v>
      </c>
      <c r="B2422" s="15">
        <v>45199</v>
      </c>
      <c r="C2422" s="133"/>
      <c r="D2422" s="133"/>
      <c r="E2422" s="3"/>
      <c r="F2422">
        <v>1876</v>
      </c>
    </row>
    <row r="2423" spans="1:6" x14ac:dyDescent="0.25">
      <c r="A2423">
        <v>7846</v>
      </c>
      <c r="B2423" s="15">
        <v>45200</v>
      </c>
      <c r="C2423" s="133"/>
      <c r="D2423" s="133"/>
      <c r="E2423" s="3"/>
      <c r="F2423">
        <v>1877</v>
      </c>
    </row>
    <row r="2424" spans="1:6" x14ac:dyDescent="0.25">
      <c r="A2424">
        <v>7846</v>
      </c>
      <c r="B2424" s="15">
        <v>45201</v>
      </c>
      <c r="C2424" s="105">
        <v>0.35416666666666669</v>
      </c>
      <c r="D2424" s="106">
        <v>0.70000000000000007</v>
      </c>
      <c r="E2424" s="3"/>
      <c r="F2424">
        <v>1878</v>
      </c>
    </row>
    <row r="2425" spans="1:6" x14ac:dyDescent="0.25">
      <c r="A2425">
        <v>7846</v>
      </c>
      <c r="B2425" s="15">
        <v>45202</v>
      </c>
      <c r="C2425" s="105">
        <v>0.35416666666666669</v>
      </c>
      <c r="D2425" s="106">
        <v>0.70000000000000007</v>
      </c>
      <c r="E2425" s="3"/>
      <c r="F2425">
        <v>1879</v>
      </c>
    </row>
    <row r="2426" spans="1:6" x14ac:dyDescent="0.25">
      <c r="A2426">
        <v>7846</v>
      </c>
      <c r="B2426" s="15">
        <v>45203</v>
      </c>
      <c r="C2426" s="132">
        <v>0.44791666666666669</v>
      </c>
      <c r="D2426" s="105">
        <v>0.79375000000000007</v>
      </c>
      <c r="E2426" s="3"/>
      <c r="F2426">
        <v>1880</v>
      </c>
    </row>
    <row r="2427" spans="1:6" x14ac:dyDescent="0.25">
      <c r="A2427">
        <v>7846</v>
      </c>
      <c r="B2427" s="15">
        <v>45204</v>
      </c>
      <c r="C2427" s="106" t="s">
        <v>118</v>
      </c>
      <c r="D2427" s="108">
        <v>0.72083333333333333</v>
      </c>
      <c r="E2427" s="3"/>
      <c r="F2427">
        <v>1881</v>
      </c>
    </row>
    <row r="2428" spans="1:6" x14ac:dyDescent="0.25">
      <c r="A2428">
        <v>7846</v>
      </c>
      <c r="B2428" s="15">
        <v>45205</v>
      </c>
      <c r="C2428" s="106">
        <v>0.375</v>
      </c>
      <c r="D2428" s="108">
        <v>0.72083333333333333</v>
      </c>
      <c r="E2428" s="3"/>
      <c r="F2428">
        <v>1882</v>
      </c>
    </row>
    <row r="2429" spans="1:6" x14ac:dyDescent="0.25">
      <c r="A2429">
        <v>7846</v>
      </c>
      <c r="B2429" s="15">
        <v>45206</v>
      </c>
      <c r="C2429" s="133"/>
      <c r="D2429" s="133"/>
      <c r="F2429">
        <v>1883</v>
      </c>
    </row>
    <row r="2430" spans="1:6" x14ac:dyDescent="0.25">
      <c r="A2430">
        <v>7846</v>
      </c>
      <c r="B2430" s="15">
        <v>45207</v>
      </c>
      <c r="C2430" s="133"/>
      <c r="D2430" s="133"/>
      <c r="E2430" s="3"/>
      <c r="F2430">
        <v>1884</v>
      </c>
    </row>
    <row r="2431" spans="1:6" x14ac:dyDescent="0.25">
      <c r="A2431">
        <v>7846</v>
      </c>
      <c r="B2431" s="15">
        <v>45208</v>
      </c>
      <c r="C2431" s="132">
        <v>0.44791666666666669</v>
      </c>
      <c r="D2431" s="105">
        <v>0.79375000000000007</v>
      </c>
      <c r="F2431">
        <v>1885</v>
      </c>
    </row>
    <row r="2432" spans="1:6" x14ac:dyDescent="0.25">
      <c r="A2432">
        <v>7846</v>
      </c>
      <c r="B2432" s="15">
        <v>45209</v>
      </c>
      <c r="C2432" s="105">
        <v>0.35416666666666669</v>
      </c>
      <c r="D2432" s="108">
        <v>0.72083333333333333</v>
      </c>
      <c r="E2432" s="3"/>
      <c r="F2432">
        <v>1886</v>
      </c>
    </row>
    <row r="2433" spans="1:6" x14ac:dyDescent="0.25">
      <c r="A2433">
        <v>7846</v>
      </c>
      <c r="B2433" s="15">
        <v>45210</v>
      </c>
      <c r="C2433" s="105">
        <v>0.35416666666666669</v>
      </c>
      <c r="D2433" s="106">
        <v>0.70000000000000007</v>
      </c>
      <c r="E2433" s="3"/>
      <c r="F2433">
        <v>1887</v>
      </c>
    </row>
    <row r="2434" spans="1:6" x14ac:dyDescent="0.25">
      <c r="A2434">
        <v>7846</v>
      </c>
      <c r="B2434" s="15">
        <v>45211</v>
      </c>
      <c r="C2434" s="105">
        <v>0.35416666666666669</v>
      </c>
      <c r="D2434" s="106">
        <v>0.70000000000000007</v>
      </c>
      <c r="E2434" s="3"/>
      <c r="F2434">
        <v>1888</v>
      </c>
    </row>
    <row r="2435" spans="1:6" x14ac:dyDescent="0.25">
      <c r="A2435">
        <v>7846</v>
      </c>
      <c r="B2435" s="15">
        <v>45212</v>
      </c>
      <c r="C2435" s="105">
        <v>0.375</v>
      </c>
      <c r="D2435" s="108">
        <v>0.72083333333333333</v>
      </c>
      <c r="E2435" s="3"/>
      <c r="F2435">
        <v>1889</v>
      </c>
    </row>
    <row r="2436" spans="1:6" x14ac:dyDescent="0.25">
      <c r="A2436">
        <v>7846</v>
      </c>
      <c r="B2436" s="15">
        <v>45213</v>
      </c>
      <c r="C2436" s="133"/>
      <c r="D2436" s="133"/>
      <c r="E2436" s="3"/>
      <c r="F2436">
        <v>1890</v>
      </c>
    </row>
    <row r="2437" spans="1:6" x14ac:dyDescent="0.25">
      <c r="A2437">
        <v>7846</v>
      </c>
      <c r="B2437" s="15">
        <v>45214</v>
      </c>
      <c r="C2437" s="133"/>
      <c r="D2437" s="133"/>
      <c r="E2437" s="3"/>
      <c r="F2437">
        <v>1891</v>
      </c>
    </row>
    <row r="2438" spans="1:6" x14ac:dyDescent="0.25">
      <c r="A2438">
        <v>7846</v>
      </c>
      <c r="B2438" s="15">
        <v>45215</v>
      </c>
      <c r="C2438" s="104" t="s">
        <v>2</v>
      </c>
      <c r="D2438" s="104" t="s">
        <v>2</v>
      </c>
      <c r="E2438" s="3"/>
      <c r="F2438">
        <v>1892</v>
      </c>
    </row>
    <row r="2439" spans="1:6" x14ac:dyDescent="0.25">
      <c r="A2439">
        <v>7846</v>
      </c>
      <c r="B2439" s="15">
        <v>45216</v>
      </c>
      <c r="C2439" s="105">
        <v>0.35416666666666669</v>
      </c>
      <c r="D2439" s="106">
        <v>0.70000000000000007</v>
      </c>
      <c r="E2439" s="3"/>
      <c r="F2439">
        <v>1893</v>
      </c>
    </row>
    <row r="2440" spans="1:6" x14ac:dyDescent="0.25">
      <c r="A2440">
        <v>7846</v>
      </c>
      <c r="B2440" s="15">
        <v>45217</v>
      </c>
      <c r="C2440" s="132">
        <v>0.44791666666666669</v>
      </c>
      <c r="D2440" s="105">
        <v>0.79375000000000007</v>
      </c>
      <c r="E2440" s="3"/>
      <c r="F2440">
        <v>1894</v>
      </c>
    </row>
    <row r="2441" spans="1:6" x14ac:dyDescent="0.25">
      <c r="A2441">
        <v>7846</v>
      </c>
      <c r="B2441" s="15">
        <v>45218</v>
      </c>
      <c r="C2441" s="105">
        <v>0.375</v>
      </c>
      <c r="D2441" s="108">
        <v>0.72083333333333333</v>
      </c>
      <c r="E2441" s="3"/>
      <c r="F2441">
        <v>1895</v>
      </c>
    </row>
    <row r="2442" spans="1:6" x14ac:dyDescent="0.25">
      <c r="A2442">
        <v>7846</v>
      </c>
      <c r="B2442" s="15">
        <v>45219</v>
      </c>
      <c r="C2442" s="105">
        <v>0.35416666666666669</v>
      </c>
      <c r="D2442" s="106">
        <v>0.70000000000000007</v>
      </c>
      <c r="F2442">
        <v>1896</v>
      </c>
    </row>
    <row r="2443" spans="1:6" x14ac:dyDescent="0.25">
      <c r="A2443">
        <v>7846</v>
      </c>
      <c r="B2443" s="15">
        <v>45220</v>
      </c>
      <c r="C2443" s="135" t="s">
        <v>167</v>
      </c>
      <c r="D2443" s="133"/>
      <c r="E2443" s="3"/>
      <c r="F2443">
        <v>1897</v>
      </c>
    </row>
    <row r="2444" spans="1:6" x14ac:dyDescent="0.25">
      <c r="A2444">
        <v>7846</v>
      </c>
      <c r="B2444" s="15">
        <v>45221</v>
      </c>
      <c r="C2444" s="133"/>
      <c r="D2444" s="133"/>
      <c r="E2444" s="3"/>
      <c r="F2444">
        <v>1898</v>
      </c>
    </row>
    <row r="2445" spans="1:6" x14ac:dyDescent="0.25">
      <c r="A2445">
        <v>7846</v>
      </c>
      <c r="B2445" s="15">
        <v>45222</v>
      </c>
      <c r="C2445" s="132">
        <v>0.44791666666666669</v>
      </c>
      <c r="D2445" s="105">
        <v>0.79375000000000007</v>
      </c>
      <c r="F2445">
        <v>1899</v>
      </c>
    </row>
    <row r="2446" spans="1:6" x14ac:dyDescent="0.25">
      <c r="A2446">
        <v>7846</v>
      </c>
      <c r="B2446" s="15">
        <v>45223</v>
      </c>
      <c r="C2446" s="105">
        <v>0.35416666666666669</v>
      </c>
      <c r="D2446" s="106">
        <v>0.70000000000000007</v>
      </c>
      <c r="E2446" s="3"/>
      <c r="F2446">
        <v>1900</v>
      </c>
    </row>
    <row r="2447" spans="1:6" x14ac:dyDescent="0.25">
      <c r="A2447">
        <v>7846</v>
      </c>
      <c r="B2447" s="15">
        <v>45224</v>
      </c>
      <c r="C2447" s="105">
        <v>0.35416666666666669</v>
      </c>
      <c r="D2447" s="106">
        <v>0.70000000000000007</v>
      </c>
      <c r="F2447">
        <v>1901</v>
      </c>
    </row>
    <row r="2448" spans="1:6" x14ac:dyDescent="0.25">
      <c r="A2448">
        <v>7846</v>
      </c>
      <c r="B2448" s="15">
        <v>45225</v>
      </c>
      <c r="C2448" s="132">
        <v>0.44791666666666669</v>
      </c>
      <c r="D2448" s="105">
        <v>0.79375000000000007</v>
      </c>
      <c r="E2448" s="3"/>
      <c r="F2448">
        <v>1902</v>
      </c>
    </row>
    <row r="2449" spans="1:6" x14ac:dyDescent="0.25">
      <c r="A2449">
        <v>7846</v>
      </c>
      <c r="B2449" s="15">
        <v>45226</v>
      </c>
      <c r="C2449" s="105">
        <v>0.35416666666666669</v>
      </c>
      <c r="D2449" s="106">
        <v>0.70000000000000007</v>
      </c>
      <c r="E2449" s="3"/>
      <c r="F2449">
        <v>1903</v>
      </c>
    </row>
    <row r="2450" spans="1:6" x14ac:dyDescent="0.25">
      <c r="A2450">
        <v>7846</v>
      </c>
      <c r="B2450" s="15">
        <v>45227</v>
      </c>
      <c r="C2450" s="133"/>
      <c r="D2450" s="133"/>
      <c r="E2450" s="3"/>
      <c r="F2450">
        <v>1904</v>
      </c>
    </row>
    <row r="2451" spans="1:6" x14ac:dyDescent="0.25">
      <c r="A2451">
        <v>7846</v>
      </c>
      <c r="B2451" s="15">
        <v>45228</v>
      </c>
      <c r="C2451" s="133"/>
      <c r="D2451" s="133"/>
      <c r="E2451" s="3"/>
      <c r="F2451">
        <v>1905</v>
      </c>
    </row>
    <row r="2452" spans="1:6" x14ac:dyDescent="0.25">
      <c r="A2452">
        <v>7846</v>
      </c>
      <c r="B2452" s="15">
        <v>45229</v>
      </c>
      <c r="C2452" s="132">
        <v>0.44791666666666669</v>
      </c>
      <c r="D2452" s="105">
        <v>0.79375000000000007</v>
      </c>
      <c r="F2452">
        <v>1906</v>
      </c>
    </row>
    <row r="2453" spans="1:6" x14ac:dyDescent="0.25">
      <c r="A2453">
        <v>7846</v>
      </c>
      <c r="B2453" s="15">
        <v>45230</v>
      </c>
      <c r="C2453" s="105">
        <v>0.35416666666666669</v>
      </c>
      <c r="D2453" s="106" t="s">
        <v>166</v>
      </c>
      <c r="E2453" s="3"/>
      <c r="F2453">
        <v>1907</v>
      </c>
    </row>
    <row r="2454" spans="1:6" x14ac:dyDescent="0.25">
      <c r="A2454">
        <v>7846</v>
      </c>
      <c r="B2454" s="15">
        <v>45231</v>
      </c>
      <c r="C2454" s="119"/>
      <c r="D2454" s="119"/>
      <c r="E2454" s="3"/>
      <c r="F2454">
        <v>1908</v>
      </c>
    </row>
    <row r="2455" spans="1:6" x14ac:dyDescent="0.25">
      <c r="A2455">
        <v>7846</v>
      </c>
      <c r="B2455" s="15">
        <v>45232</v>
      </c>
      <c r="C2455" s="105">
        <v>0.35416666666666669</v>
      </c>
      <c r="D2455" s="106">
        <v>0.70000000000000007</v>
      </c>
      <c r="E2455" s="3"/>
      <c r="F2455">
        <v>1909</v>
      </c>
    </row>
    <row r="2456" spans="1:6" x14ac:dyDescent="0.25">
      <c r="A2456">
        <v>7846</v>
      </c>
      <c r="B2456" s="15">
        <v>45233</v>
      </c>
      <c r="C2456" s="132">
        <v>0.44791666666666669</v>
      </c>
      <c r="D2456" s="105">
        <v>0.79375000000000007</v>
      </c>
      <c r="E2456" s="3"/>
      <c r="F2456">
        <v>1910</v>
      </c>
    </row>
    <row r="2457" spans="1:6" x14ac:dyDescent="0.25">
      <c r="A2457">
        <v>7846</v>
      </c>
      <c r="B2457" s="15">
        <v>45234</v>
      </c>
      <c r="C2457" s="135" t="s">
        <v>167</v>
      </c>
      <c r="D2457" s="133"/>
      <c r="E2457" s="3"/>
      <c r="F2457">
        <v>1911</v>
      </c>
    </row>
    <row r="2458" spans="1:6" x14ac:dyDescent="0.25">
      <c r="A2458">
        <v>7846</v>
      </c>
      <c r="B2458" s="15">
        <v>45235</v>
      </c>
      <c r="C2458" s="133"/>
      <c r="D2458" s="133"/>
      <c r="E2458" s="3"/>
      <c r="F2458">
        <v>1912</v>
      </c>
    </row>
    <row r="2459" spans="1:6" x14ac:dyDescent="0.25">
      <c r="A2459">
        <v>7846</v>
      </c>
      <c r="B2459" s="15">
        <v>45236</v>
      </c>
      <c r="C2459" s="132">
        <v>0.44791666666666669</v>
      </c>
      <c r="D2459" s="105">
        <v>0.79375000000000007</v>
      </c>
      <c r="E2459" s="3"/>
      <c r="F2459">
        <v>1913</v>
      </c>
    </row>
    <row r="2460" spans="1:6" x14ac:dyDescent="0.25">
      <c r="A2460">
        <v>7846</v>
      </c>
      <c r="B2460" s="15">
        <v>45237</v>
      </c>
      <c r="C2460" s="105">
        <v>0.35416666666666669</v>
      </c>
      <c r="D2460" s="106">
        <v>0.70000000000000007</v>
      </c>
      <c r="F2460">
        <v>1914</v>
      </c>
    </row>
    <row r="2461" spans="1:6" x14ac:dyDescent="0.25">
      <c r="A2461">
        <v>7846</v>
      </c>
      <c r="B2461" s="15">
        <v>45238</v>
      </c>
      <c r="C2461" s="104" t="s">
        <v>2</v>
      </c>
      <c r="D2461" s="104" t="s">
        <v>2</v>
      </c>
      <c r="E2461" s="3"/>
      <c r="F2461">
        <v>1915</v>
      </c>
    </row>
    <row r="2462" spans="1:6" x14ac:dyDescent="0.25">
      <c r="A2462">
        <v>7846</v>
      </c>
      <c r="B2462" s="15">
        <v>45239</v>
      </c>
      <c r="C2462" s="104" t="s">
        <v>2</v>
      </c>
      <c r="D2462" s="104" t="s">
        <v>2</v>
      </c>
      <c r="F2462">
        <v>1916</v>
      </c>
    </row>
    <row r="2463" spans="1:6" x14ac:dyDescent="0.25">
      <c r="A2463">
        <v>7846</v>
      </c>
      <c r="B2463" s="15">
        <v>45240</v>
      </c>
      <c r="C2463" s="104" t="s">
        <v>2</v>
      </c>
      <c r="D2463" s="104" t="s">
        <v>2</v>
      </c>
      <c r="E2463" s="3"/>
      <c r="F2463">
        <v>1917</v>
      </c>
    </row>
    <row r="2464" spans="1:6" x14ac:dyDescent="0.25">
      <c r="A2464">
        <v>7846</v>
      </c>
      <c r="B2464" s="15">
        <v>45241</v>
      </c>
      <c r="C2464" s="133"/>
      <c r="D2464" s="133"/>
      <c r="E2464" s="3"/>
      <c r="F2464">
        <v>1918</v>
      </c>
    </row>
    <row r="2465" spans="1:6" x14ac:dyDescent="0.25">
      <c r="A2465">
        <v>7846</v>
      </c>
      <c r="B2465" s="15">
        <v>45242</v>
      </c>
      <c r="C2465" s="133"/>
      <c r="D2465" s="133"/>
      <c r="E2465" s="3"/>
      <c r="F2465">
        <v>1919</v>
      </c>
    </row>
    <row r="2466" spans="1:6" x14ac:dyDescent="0.25">
      <c r="A2466">
        <v>7846</v>
      </c>
      <c r="B2466" s="15">
        <v>45243</v>
      </c>
      <c r="C2466" s="104" t="s">
        <v>2</v>
      </c>
      <c r="D2466" s="104" t="s">
        <v>2</v>
      </c>
      <c r="E2466" s="3"/>
      <c r="F2466">
        <v>1920</v>
      </c>
    </row>
    <row r="2467" spans="1:6" x14ac:dyDescent="0.25">
      <c r="A2467">
        <v>7846</v>
      </c>
      <c r="B2467" s="15">
        <v>45244</v>
      </c>
      <c r="C2467" s="104" t="s">
        <v>2</v>
      </c>
      <c r="D2467" s="104" t="s">
        <v>2</v>
      </c>
      <c r="E2467" s="3"/>
      <c r="F2467">
        <v>1921</v>
      </c>
    </row>
    <row r="2468" spans="1:6" x14ac:dyDescent="0.25">
      <c r="A2468">
        <v>7846</v>
      </c>
      <c r="B2468" s="15">
        <v>45245</v>
      </c>
      <c r="C2468" s="104" t="s">
        <v>2</v>
      </c>
      <c r="D2468" s="104" t="s">
        <v>2</v>
      </c>
      <c r="E2468" s="3"/>
      <c r="F2468">
        <v>1922</v>
      </c>
    </row>
    <row r="2469" spans="1:6" x14ac:dyDescent="0.25">
      <c r="A2469">
        <v>7846</v>
      </c>
      <c r="B2469" s="15">
        <v>45246</v>
      </c>
      <c r="C2469" s="104" t="s">
        <v>2</v>
      </c>
      <c r="D2469" s="104" t="s">
        <v>2</v>
      </c>
      <c r="E2469" s="3"/>
      <c r="F2469">
        <v>1923</v>
      </c>
    </row>
    <row r="2470" spans="1:6" x14ac:dyDescent="0.25">
      <c r="A2470">
        <v>7846</v>
      </c>
      <c r="B2470" s="15">
        <v>45247</v>
      </c>
      <c r="C2470" s="104" t="s">
        <v>2</v>
      </c>
      <c r="D2470" s="104" t="s">
        <v>2</v>
      </c>
      <c r="E2470" s="3"/>
      <c r="F2470">
        <v>1924</v>
      </c>
    </row>
    <row r="2471" spans="1:6" x14ac:dyDescent="0.25">
      <c r="A2471">
        <v>7846</v>
      </c>
      <c r="B2471" s="15">
        <v>45248</v>
      </c>
      <c r="C2471" s="150" t="s">
        <v>305</v>
      </c>
      <c r="D2471" s="133"/>
      <c r="E2471" s="3"/>
      <c r="F2471">
        <v>1925</v>
      </c>
    </row>
    <row r="2472" spans="1:6" x14ac:dyDescent="0.25">
      <c r="A2472">
        <v>7846</v>
      </c>
      <c r="B2472" s="15">
        <v>45249</v>
      </c>
      <c r="C2472" s="133"/>
      <c r="D2472" s="133"/>
      <c r="E2472" s="3"/>
      <c r="F2472">
        <v>1926</v>
      </c>
    </row>
    <row r="2473" spans="1:6" x14ac:dyDescent="0.25">
      <c r="A2473">
        <v>7846</v>
      </c>
      <c r="B2473" s="15">
        <v>45250</v>
      </c>
      <c r="C2473" s="132">
        <v>0.44791666666666669</v>
      </c>
      <c r="D2473" s="105">
        <v>0.79375000000000007</v>
      </c>
      <c r="F2473">
        <v>1927</v>
      </c>
    </row>
    <row r="2474" spans="1:6" x14ac:dyDescent="0.25">
      <c r="A2474">
        <v>7846</v>
      </c>
      <c r="B2474" s="15">
        <v>45251</v>
      </c>
      <c r="C2474" s="105">
        <v>0.35416666666666669</v>
      </c>
      <c r="D2474" s="106">
        <v>0.70000000000000007</v>
      </c>
      <c r="E2474" s="3"/>
      <c r="F2474">
        <v>1928</v>
      </c>
    </row>
    <row r="2475" spans="1:6" x14ac:dyDescent="0.25">
      <c r="A2475">
        <v>7846</v>
      </c>
      <c r="B2475" s="15">
        <v>45252</v>
      </c>
      <c r="C2475" s="105">
        <v>0.35416666666666669</v>
      </c>
      <c r="D2475" s="106">
        <v>0.70000000000000007</v>
      </c>
      <c r="E2475" s="3"/>
      <c r="F2475">
        <v>1929</v>
      </c>
    </row>
    <row r="2476" spans="1:6" x14ac:dyDescent="0.25">
      <c r="A2476">
        <v>7846</v>
      </c>
      <c r="B2476" s="15">
        <v>45253</v>
      </c>
      <c r="C2476" s="132">
        <v>0.44791666666666669</v>
      </c>
      <c r="D2476" s="105">
        <v>0.79375000000000007</v>
      </c>
      <c r="F2476">
        <v>1930</v>
      </c>
    </row>
    <row r="2477" spans="1:6" x14ac:dyDescent="0.25">
      <c r="A2477">
        <v>7846</v>
      </c>
      <c r="B2477" s="15">
        <v>45254</v>
      </c>
      <c r="C2477" s="105">
        <v>0.35416666666666669</v>
      </c>
      <c r="D2477" s="106">
        <v>0.70000000000000007</v>
      </c>
      <c r="E2477" s="3"/>
      <c r="F2477">
        <v>1931</v>
      </c>
    </row>
    <row r="2478" spans="1:6" x14ac:dyDescent="0.25">
      <c r="A2478">
        <v>7846</v>
      </c>
      <c r="B2478" s="15">
        <v>45255</v>
      </c>
      <c r="C2478" s="133"/>
      <c r="D2478" s="133"/>
      <c r="F2478">
        <v>1932</v>
      </c>
    </row>
    <row r="2479" spans="1:6" x14ac:dyDescent="0.25">
      <c r="A2479">
        <v>7846</v>
      </c>
      <c r="B2479" s="15">
        <v>45256</v>
      </c>
      <c r="C2479" s="133"/>
      <c r="D2479" s="133"/>
      <c r="E2479" s="3"/>
      <c r="F2479">
        <v>1933</v>
      </c>
    </row>
    <row r="2480" spans="1:6" x14ac:dyDescent="0.25">
      <c r="A2480">
        <v>7846</v>
      </c>
      <c r="B2480" s="15">
        <v>45257</v>
      </c>
      <c r="C2480" s="132">
        <v>0.44791666666666669</v>
      </c>
      <c r="D2480" s="105">
        <v>0.79375000000000007</v>
      </c>
      <c r="E2480" s="3"/>
      <c r="F2480">
        <v>1934</v>
      </c>
    </row>
    <row r="2481" spans="1:6" x14ac:dyDescent="0.25">
      <c r="A2481">
        <v>7846</v>
      </c>
      <c r="B2481" s="15">
        <v>45258</v>
      </c>
      <c r="C2481" s="105">
        <v>0.35416666666666669</v>
      </c>
      <c r="D2481" s="106">
        <v>0.70000000000000007</v>
      </c>
      <c r="E2481" s="3"/>
      <c r="F2481">
        <v>1935</v>
      </c>
    </row>
    <row r="2482" spans="1:6" x14ac:dyDescent="0.25">
      <c r="A2482">
        <v>7846</v>
      </c>
      <c r="B2482" s="15">
        <v>45259</v>
      </c>
      <c r="C2482" s="132">
        <v>0.44791666666666669</v>
      </c>
      <c r="D2482" s="105">
        <v>0.79375000000000007</v>
      </c>
      <c r="E2482" s="3"/>
      <c r="F2482">
        <v>1936</v>
      </c>
    </row>
    <row r="2483" spans="1:6" x14ac:dyDescent="0.25">
      <c r="A2483">
        <v>7846</v>
      </c>
      <c r="B2483" s="15">
        <v>45260</v>
      </c>
      <c r="C2483" s="105">
        <v>0.35416666666666669</v>
      </c>
      <c r="D2483" s="106">
        <v>0.70000000000000007</v>
      </c>
      <c r="F2483">
        <v>1937</v>
      </c>
    </row>
    <row r="2484" spans="1:6" x14ac:dyDescent="0.25">
      <c r="A2484">
        <v>7846</v>
      </c>
      <c r="B2484" s="15">
        <v>45261</v>
      </c>
      <c r="C2484" s="106">
        <v>0.375</v>
      </c>
      <c r="D2484" s="108">
        <v>0.72083333333333333</v>
      </c>
      <c r="E2484" s="3"/>
      <c r="F2484">
        <v>1938</v>
      </c>
    </row>
    <row r="2485" spans="1:6" x14ac:dyDescent="0.25">
      <c r="A2485">
        <v>7846</v>
      </c>
      <c r="B2485" s="15">
        <v>45262</v>
      </c>
      <c r="C2485" s="150" t="s">
        <v>305</v>
      </c>
      <c r="D2485" s="133"/>
      <c r="E2485" s="3"/>
      <c r="F2485">
        <v>1939</v>
      </c>
    </row>
    <row r="2486" spans="1:6" x14ac:dyDescent="0.25">
      <c r="A2486">
        <v>7846</v>
      </c>
      <c r="B2486" s="15">
        <v>45263</v>
      </c>
      <c r="C2486" s="133"/>
      <c r="D2486" s="133"/>
      <c r="E2486" s="3"/>
      <c r="F2486">
        <v>1940</v>
      </c>
    </row>
    <row r="2487" spans="1:6" x14ac:dyDescent="0.25">
      <c r="A2487">
        <v>7846</v>
      </c>
      <c r="B2487" s="15">
        <v>45264</v>
      </c>
      <c r="C2487" s="104" t="s">
        <v>2</v>
      </c>
      <c r="D2487" s="104" t="s">
        <v>2</v>
      </c>
      <c r="E2487" s="3"/>
      <c r="F2487">
        <v>1941</v>
      </c>
    </row>
    <row r="2488" spans="1:6" x14ac:dyDescent="0.25">
      <c r="A2488">
        <v>7846</v>
      </c>
      <c r="B2488" s="15">
        <v>45265</v>
      </c>
      <c r="C2488" s="104" t="s">
        <v>2</v>
      </c>
      <c r="D2488" s="104" t="s">
        <v>2</v>
      </c>
      <c r="E2488" s="3"/>
      <c r="F2488">
        <v>1942</v>
      </c>
    </row>
    <row r="2489" spans="1:6" x14ac:dyDescent="0.25">
      <c r="A2489">
        <v>7846</v>
      </c>
      <c r="B2489" s="15">
        <v>45266</v>
      </c>
      <c r="C2489" s="104" t="s">
        <v>2</v>
      </c>
      <c r="D2489" s="104" t="s">
        <v>2</v>
      </c>
      <c r="E2489" s="3"/>
      <c r="F2489">
        <v>1943</v>
      </c>
    </row>
    <row r="2490" spans="1:6" x14ac:dyDescent="0.25">
      <c r="A2490">
        <v>7846</v>
      </c>
      <c r="B2490" s="15">
        <v>45267</v>
      </c>
      <c r="C2490" s="104" t="s">
        <v>2</v>
      </c>
      <c r="D2490" s="104" t="s">
        <v>2</v>
      </c>
      <c r="E2490" s="3"/>
      <c r="F2490">
        <v>1944</v>
      </c>
    </row>
    <row r="2491" spans="1:6" x14ac:dyDescent="0.25">
      <c r="A2491">
        <v>7846</v>
      </c>
      <c r="B2491" s="15">
        <v>45268</v>
      </c>
      <c r="C2491" s="104" t="s">
        <v>2</v>
      </c>
      <c r="D2491" s="104" t="s">
        <v>2</v>
      </c>
      <c r="F2491">
        <v>1945</v>
      </c>
    </row>
    <row r="2492" spans="1:6" x14ac:dyDescent="0.25">
      <c r="A2492">
        <v>7846</v>
      </c>
      <c r="B2492" s="15">
        <v>45269</v>
      </c>
      <c r="C2492" s="104" t="s">
        <v>2</v>
      </c>
      <c r="D2492" s="133"/>
      <c r="E2492" s="3"/>
      <c r="F2492">
        <v>1946</v>
      </c>
    </row>
    <row r="2493" spans="1:6" x14ac:dyDescent="0.25">
      <c r="A2493">
        <v>7846</v>
      </c>
      <c r="B2493" s="15">
        <v>45270</v>
      </c>
      <c r="C2493" s="133"/>
      <c r="D2493" s="133"/>
      <c r="F2493">
        <v>1947</v>
      </c>
    </row>
    <row r="2494" spans="1:6" x14ac:dyDescent="0.25">
      <c r="A2494">
        <v>7846</v>
      </c>
      <c r="B2494" s="15">
        <v>45271</v>
      </c>
      <c r="C2494" s="132">
        <v>0.44791666666666669</v>
      </c>
      <c r="D2494" s="105">
        <v>0.79375000000000007</v>
      </c>
      <c r="E2494" s="3"/>
      <c r="F2494">
        <v>1948</v>
      </c>
    </row>
    <row r="2495" spans="1:6" x14ac:dyDescent="0.25">
      <c r="A2495">
        <v>7846</v>
      </c>
      <c r="B2495" s="15">
        <v>45272</v>
      </c>
      <c r="C2495" s="105">
        <v>0.35416666666666669</v>
      </c>
      <c r="D2495" s="106">
        <v>0.70000000000000007</v>
      </c>
      <c r="E2495" s="3"/>
      <c r="F2495">
        <v>1949</v>
      </c>
    </row>
    <row r="2496" spans="1:6" x14ac:dyDescent="0.25">
      <c r="A2496">
        <v>7846</v>
      </c>
      <c r="B2496" s="15">
        <v>45273</v>
      </c>
      <c r="C2496" s="132">
        <v>0.44791666666666669</v>
      </c>
      <c r="D2496" s="105">
        <v>0.79375000000000007</v>
      </c>
      <c r="E2496" s="3"/>
      <c r="F2496">
        <v>1950</v>
      </c>
    </row>
    <row r="2497" spans="1:6" x14ac:dyDescent="0.25">
      <c r="A2497">
        <v>7846</v>
      </c>
      <c r="B2497" s="15">
        <v>45274</v>
      </c>
      <c r="C2497" s="152" t="s">
        <v>311</v>
      </c>
      <c r="D2497" s="152" t="s">
        <v>311</v>
      </c>
      <c r="E2497" s="3"/>
      <c r="F2497">
        <v>1951</v>
      </c>
    </row>
    <row r="2498" spans="1:6" x14ac:dyDescent="0.25">
      <c r="A2498">
        <v>7846</v>
      </c>
      <c r="B2498" s="15">
        <v>45275</v>
      </c>
      <c r="C2498" s="105">
        <v>0.35416666666666669</v>
      </c>
      <c r="D2498" s="106">
        <v>0.70000000000000007</v>
      </c>
      <c r="E2498" s="3"/>
      <c r="F2498">
        <v>1952</v>
      </c>
    </row>
    <row r="2499" spans="1:6" x14ac:dyDescent="0.25">
      <c r="A2499">
        <v>7846</v>
      </c>
      <c r="B2499" s="15">
        <v>45276</v>
      </c>
      <c r="C2499" s="135" t="s">
        <v>167</v>
      </c>
      <c r="D2499" s="133"/>
      <c r="E2499" s="3"/>
      <c r="F2499">
        <v>1953</v>
      </c>
    </row>
    <row r="2500" spans="1:6" x14ac:dyDescent="0.25">
      <c r="A2500">
        <v>7846</v>
      </c>
      <c r="B2500" s="15">
        <v>45277</v>
      </c>
      <c r="C2500" s="133"/>
      <c r="D2500" s="133"/>
      <c r="E2500" s="3"/>
      <c r="F2500">
        <v>1954</v>
      </c>
    </row>
    <row r="2501" spans="1:6" x14ac:dyDescent="0.25">
      <c r="A2501">
        <v>7846</v>
      </c>
      <c r="B2501" s="15">
        <v>45278</v>
      </c>
      <c r="C2501" s="132">
        <v>0.44791666666666669</v>
      </c>
      <c r="D2501" s="105">
        <v>0.79375000000000007</v>
      </c>
      <c r="E2501" s="3"/>
      <c r="F2501">
        <v>1955</v>
      </c>
    </row>
    <row r="2502" spans="1:6" x14ac:dyDescent="0.25">
      <c r="A2502">
        <v>7846</v>
      </c>
      <c r="B2502" s="15">
        <v>45279</v>
      </c>
      <c r="C2502" s="105">
        <v>0.35416666666666669</v>
      </c>
      <c r="D2502" s="106">
        <v>0.70000000000000007</v>
      </c>
      <c r="E2502" s="3"/>
      <c r="F2502">
        <v>1956</v>
      </c>
    </row>
    <row r="2503" spans="1:6" x14ac:dyDescent="0.25">
      <c r="A2503">
        <v>7846</v>
      </c>
      <c r="B2503" s="15">
        <v>45280</v>
      </c>
      <c r="C2503" s="105">
        <v>0.35416666666666669</v>
      </c>
      <c r="D2503" s="106">
        <v>0.70000000000000007</v>
      </c>
      <c r="E2503" s="3"/>
      <c r="F2503">
        <v>1957</v>
      </c>
    </row>
    <row r="2504" spans="1:6" x14ac:dyDescent="0.25">
      <c r="A2504">
        <v>7846</v>
      </c>
      <c r="B2504" s="15">
        <v>45281</v>
      </c>
      <c r="C2504" s="132">
        <v>0.44791666666666669</v>
      </c>
      <c r="D2504" s="105">
        <v>0.79375000000000007</v>
      </c>
      <c r="F2504">
        <v>1958</v>
      </c>
    </row>
    <row r="2505" spans="1:6" x14ac:dyDescent="0.25">
      <c r="A2505">
        <v>7846</v>
      </c>
      <c r="B2505" s="15">
        <v>45282</v>
      </c>
      <c r="C2505" s="105">
        <v>0.35416666666666669</v>
      </c>
      <c r="D2505" s="106">
        <v>0.70000000000000007</v>
      </c>
      <c r="E2505" s="3"/>
      <c r="F2505">
        <v>1959</v>
      </c>
    </row>
    <row r="2506" spans="1:6" x14ac:dyDescent="0.25">
      <c r="A2506">
        <v>7846</v>
      </c>
      <c r="B2506" s="15">
        <v>45283</v>
      </c>
      <c r="C2506" s="133"/>
      <c r="D2506" s="133"/>
      <c r="E2506" s="3"/>
      <c r="F2506">
        <v>1960</v>
      </c>
    </row>
    <row r="2507" spans="1:6" x14ac:dyDescent="0.25">
      <c r="A2507">
        <v>7846</v>
      </c>
      <c r="B2507" s="15">
        <v>45284</v>
      </c>
      <c r="C2507" s="133"/>
      <c r="D2507" s="133"/>
      <c r="F2507">
        <v>1961</v>
      </c>
    </row>
    <row r="2508" spans="1:6" x14ac:dyDescent="0.25">
      <c r="A2508">
        <v>7846</v>
      </c>
      <c r="B2508" s="15">
        <v>45285</v>
      </c>
      <c r="C2508" s="133"/>
      <c r="D2508" s="133"/>
      <c r="E2508" s="3"/>
      <c r="F2508">
        <v>1962</v>
      </c>
    </row>
    <row r="2509" spans="1:6" x14ac:dyDescent="0.25">
      <c r="A2509">
        <v>7846</v>
      </c>
      <c r="B2509" s="15">
        <v>45286</v>
      </c>
      <c r="C2509" s="105">
        <v>0.35416666666666669</v>
      </c>
      <c r="D2509" s="106">
        <v>0.70000000000000007</v>
      </c>
      <c r="F2509">
        <v>1963</v>
      </c>
    </row>
    <row r="2510" spans="1:6" x14ac:dyDescent="0.25">
      <c r="A2510">
        <v>7846</v>
      </c>
      <c r="B2510" s="15">
        <v>45287</v>
      </c>
      <c r="C2510" s="132">
        <v>0.44791666666666669</v>
      </c>
      <c r="D2510" s="105">
        <v>0.79375000000000007</v>
      </c>
      <c r="E2510" s="3"/>
      <c r="F2510">
        <v>1964</v>
      </c>
    </row>
    <row r="2511" spans="1:6" x14ac:dyDescent="0.25">
      <c r="A2511">
        <v>7846</v>
      </c>
      <c r="B2511" s="15">
        <v>45288</v>
      </c>
      <c r="C2511" s="105">
        <v>0.35416666666666669</v>
      </c>
      <c r="D2511" s="106">
        <v>0.70000000000000007</v>
      </c>
      <c r="E2511" s="3"/>
      <c r="F2511">
        <v>1965</v>
      </c>
    </row>
    <row r="2512" spans="1:6" x14ac:dyDescent="0.25">
      <c r="A2512">
        <v>7846</v>
      </c>
      <c r="B2512" s="15">
        <v>45289</v>
      </c>
      <c r="C2512" s="132">
        <v>0.44791666666666669</v>
      </c>
      <c r="D2512" s="105">
        <v>0.79375000000000007</v>
      </c>
      <c r="E2512" s="3"/>
      <c r="F2512">
        <v>1966</v>
      </c>
    </row>
    <row r="2513" spans="1:6" x14ac:dyDescent="0.25">
      <c r="A2513">
        <v>7846</v>
      </c>
      <c r="B2513" s="15">
        <v>45290</v>
      </c>
      <c r="C2513" s="150" t="s">
        <v>305</v>
      </c>
      <c r="D2513" s="133"/>
      <c r="E2513" s="3"/>
      <c r="F2513">
        <v>1967</v>
      </c>
    </row>
    <row r="2514" spans="1:6" x14ac:dyDescent="0.25">
      <c r="A2514">
        <v>7846</v>
      </c>
      <c r="B2514" s="15">
        <v>45291</v>
      </c>
      <c r="C2514" s="133"/>
      <c r="D2514" s="133"/>
      <c r="F2514">
        <v>1968</v>
      </c>
    </row>
    <row r="2515" spans="1:6" x14ac:dyDescent="0.25">
      <c r="A2515">
        <v>7846</v>
      </c>
      <c r="B2515" s="15">
        <v>45292</v>
      </c>
      <c r="C2515" s="133"/>
      <c r="D2515" s="133"/>
      <c r="E2515" s="3"/>
      <c r="F2515">
        <v>1969</v>
      </c>
    </row>
    <row r="2516" spans="1:6" x14ac:dyDescent="0.25">
      <c r="A2516">
        <v>7846</v>
      </c>
      <c r="B2516" s="15">
        <v>45293</v>
      </c>
      <c r="C2516" s="104" t="s">
        <v>2</v>
      </c>
      <c r="D2516" s="104" t="s">
        <v>2</v>
      </c>
      <c r="E2516" s="3"/>
      <c r="F2516">
        <v>1970</v>
      </c>
    </row>
    <row r="2517" spans="1:6" x14ac:dyDescent="0.25">
      <c r="A2517">
        <v>7846</v>
      </c>
      <c r="B2517" s="15">
        <v>45294</v>
      </c>
      <c r="C2517" s="104" t="s">
        <v>2</v>
      </c>
      <c r="D2517" s="104" t="s">
        <v>2</v>
      </c>
      <c r="E2517" s="3"/>
      <c r="F2517">
        <v>1971</v>
      </c>
    </row>
    <row r="2518" spans="1:6" x14ac:dyDescent="0.25">
      <c r="A2518">
        <v>7846</v>
      </c>
      <c r="B2518" s="15">
        <v>45295</v>
      </c>
      <c r="C2518" s="104" t="s">
        <v>2</v>
      </c>
      <c r="D2518" s="104" t="s">
        <v>2</v>
      </c>
      <c r="E2518" s="3"/>
      <c r="F2518">
        <v>1972</v>
      </c>
    </row>
    <row r="2519" spans="1:6" x14ac:dyDescent="0.25">
      <c r="A2519">
        <v>7846</v>
      </c>
      <c r="B2519" s="15">
        <v>45296</v>
      </c>
      <c r="C2519" s="104" t="s">
        <v>2</v>
      </c>
      <c r="D2519" s="104" t="s">
        <v>2</v>
      </c>
      <c r="E2519" s="3"/>
      <c r="F2519">
        <v>1973</v>
      </c>
    </row>
    <row r="2520" spans="1:6" x14ac:dyDescent="0.25">
      <c r="A2520">
        <v>7846</v>
      </c>
      <c r="B2520" s="15">
        <v>45297</v>
      </c>
      <c r="C2520" s="133"/>
      <c r="D2520" s="133"/>
      <c r="E2520" s="3"/>
      <c r="F2520">
        <v>1974</v>
      </c>
    </row>
    <row r="2521" spans="1:6" x14ac:dyDescent="0.25">
      <c r="A2521">
        <v>7846</v>
      </c>
      <c r="B2521" s="15">
        <v>45298</v>
      </c>
      <c r="C2521" s="133"/>
      <c r="D2521" s="133"/>
      <c r="E2521" s="3"/>
      <c r="F2521">
        <v>1975</v>
      </c>
    </row>
    <row r="2522" spans="1:6" x14ac:dyDescent="0.25">
      <c r="A2522">
        <v>7846</v>
      </c>
      <c r="B2522" s="15">
        <v>45299</v>
      </c>
      <c r="C2522" s="105">
        <v>0.35416666666666669</v>
      </c>
      <c r="D2522" s="106">
        <v>0.70000000000000007</v>
      </c>
      <c r="F2522">
        <v>1976</v>
      </c>
    </row>
    <row r="2523" spans="1:6" x14ac:dyDescent="0.25">
      <c r="A2523">
        <v>7846</v>
      </c>
      <c r="B2523" s="15">
        <v>45300</v>
      </c>
      <c r="C2523" s="105">
        <v>0.35416666666666669</v>
      </c>
      <c r="D2523" s="106">
        <v>0.70000000000000007</v>
      </c>
      <c r="E2523" s="3"/>
      <c r="F2523">
        <v>1977</v>
      </c>
    </row>
    <row r="2524" spans="1:6" x14ac:dyDescent="0.25">
      <c r="A2524">
        <v>7846</v>
      </c>
      <c r="B2524" s="15">
        <v>45301</v>
      </c>
      <c r="C2524" s="132">
        <v>0.44791666666666669</v>
      </c>
      <c r="D2524" s="105">
        <v>0.79375000000000007</v>
      </c>
      <c r="F2524">
        <v>1978</v>
      </c>
    </row>
    <row r="2525" spans="1:6" x14ac:dyDescent="0.25">
      <c r="A2525">
        <v>7846</v>
      </c>
      <c r="B2525" s="15">
        <v>45302</v>
      </c>
      <c r="C2525" s="105">
        <v>0.35416666666666669</v>
      </c>
      <c r="D2525" s="106">
        <v>0.70000000000000007</v>
      </c>
      <c r="E2525" s="3"/>
      <c r="F2525">
        <v>1979</v>
      </c>
    </row>
    <row r="2526" spans="1:6" x14ac:dyDescent="0.25">
      <c r="A2526">
        <v>7846</v>
      </c>
      <c r="B2526" s="15">
        <v>45303</v>
      </c>
      <c r="C2526" s="132">
        <v>0.44791666666666669</v>
      </c>
      <c r="D2526" s="105">
        <v>0.79375000000000007</v>
      </c>
      <c r="E2526" s="3"/>
      <c r="F2526">
        <v>1980</v>
      </c>
    </row>
    <row r="2527" spans="1:6" x14ac:dyDescent="0.25">
      <c r="A2527">
        <v>7846</v>
      </c>
      <c r="B2527" s="15">
        <v>45304</v>
      </c>
      <c r="C2527" s="135" t="s">
        <v>167</v>
      </c>
      <c r="D2527" s="133"/>
      <c r="E2527" s="3"/>
      <c r="F2527">
        <v>1981</v>
      </c>
    </row>
    <row r="2528" spans="1:6" x14ac:dyDescent="0.25">
      <c r="A2528">
        <v>7846</v>
      </c>
      <c r="B2528" s="15">
        <v>45305</v>
      </c>
      <c r="C2528" s="133"/>
      <c r="D2528" s="133"/>
      <c r="E2528" s="3"/>
      <c r="F2528">
        <v>1982</v>
      </c>
    </row>
    <row r="2529" spans="1:6" x14ac:dyDescent="0.25">
      <c r="A2529">
        <v>7846</v>
      </c>
      <c r="B2529" s="15">
        <v>45306</v>
      </c>
      <c r="C2529" s="132">
        <v>0.44791666666666669</v>
      </c>
      <c r="D2529" s="105">
        <v>0.79375000000000007</v>
      </c>
      <c r="E2529" s="3"/>
      <c r="F2529">
        <v>1983</v>
      </c>
    </row>
    <row r="2530" spans="1:6" x14ac:dyDescent="0.25">
      <c r="A2530">
        <v>7846</v>
      </c>
      <c r="B2530" s="15">
        <v>45307</v>
      </c>
      <c r="C2530" s="105">
        <v>0.35416666666666669</v>
      </c>
      <c r="D2530" s="106">
        <v>0.70000000000000007</v>
      </c>
      <c r="E2530" s="3"/>
      <c r="F2530">
        <v>1984</v>
      </c>
    </row>
    <row r="2531" spans="1:6" x14ac:dyDescent="0.25">
      <c r="A2531">
        <v>7846</v>
      </c>
      <c r="B2531" s="15">
        <v>45308</v>
      </c>
      <c r="C2531" s="105">
        <v>0.35416666666666669</v>
      </c>
      <c r="D2531" s="106">
        <v>0.70000000000000007</v>
      </c>
      <c r="E2531" s="3"/>
      <c r="F2531">
        <v>1985</v>
      </c>
    </row>
    <row r="2532" spans="1:6" x14ac:dyDescent="0.25">
      <c r="A2532">
        <v>7846</v>
      </c>
      <c r="B2532" s="15">
        <v>45309</v>
      </c>
      <c r="C2532" s="132">
        <v>0.44791666666666669</v>
      </c>
      <c r="D2532" s="105">
        <v>0.79375000000000007</v>
      </c>
      <c r="E2532" s="3"/>
      <c r="F2532">
        <v>1986</v>
      </c>
    </row>
    <row r="2533" spans="1:6" x14ac:dyDescent="0.25">
      <c r="A2533">
        <v>7846</v>
      </c>
      <c r="B2533" s="15">
        <v>45310</v>
      </c>
      <c r="C2533" s="105">
        <v>0.35416666666666669</v>
      </c>
      <c r="D2533" s="106">
        <v>0.70000000000000007</v>
      </c>
      <c r="E2533" s="3"/>
      <c r="F2533">
        <v>1987</v>
      </c>
    </row>
    <row r="2534" spans="1:6" x14ac:dyDescent="0.25">
      <c r="A2534">
        <v>7846</v>
      </c>
      <c r="B2534" s="15">
        <v>45311</v>
      </c>
      <c r="C2534" s="133"/>
      <c r="D2534" s="133"/>
      <c r="E2534" s="3"/>
      <c r="F2534">
        <v>1988</v>
      </c>
    </row>
    <row r="2535" spans="1:6" x14ac:dyDescent="0.25">
      <c r="A2535">
        <v>7846</v>
      </c>
      <c r="B2535" s="15">
        <v>45312</v>
      </c>
      <c r="C2535" s="133"/>
      <c r="D2535" s="133"/>
      <c r="F2535">
        <v>1989</v>
      </c>
    </row>
    <row r="2536" spans="1:6" x14ac:dyDescent="0.25">
      <c r="A2536">
        <v>7846</v>
      </c>
      <c r="B2536" s="15">
        <v>45313</v>
      </c>
      <c r="C2536" s="105">
        <v>0.35416666666666669</v>
      </c>
      <c r="D2536" s="106">
        <v>0.70000000000000007</v>
      </c>
      <c r="E2536" s="3"/>
      <c r="F2536">
        <v>1990</v>
      </c>
    </row>
    <row r="2537" spans="1:6" x14ac:dyDescent="0.25">
      <c r="A2537">
        <v>7846</v>
      </c>
      <c r="B2537" s="15">
        <v>45314</v>
      </c>
      <c r="C2537" s="105">
        <v>0.35416666666666669</v>
      </c>
      <c r="D2537" s="106">
        <v>0.70000000000000007</v>
      </c>
      <c r="E2537" s="3"/>
      <c r="F2537">
        <v>1991</v>
      </c>
    </row>
    <row r="2538" spans="1:6" x14ac:dyDescent="0.25">
      <c r="A2538">
        <v>7846</v>
      </c>
      <c r="B2538" s="15">
        <v>45315</v>
      </c>
      <c r="C2538" s="132">
        <v>0.44791666666666669</v>
      </c>
      <c r="D2538" s="105">
        <v>0.79375000000000007</v>
      </c>
      <c r="F2538">
        <v>1992</v>
      </c>
    </row>
    <row r="2539" spans="1:6" x14ac:dyDescent="0.25">
      <c r="A2539">
        <v>7846</v>
      </c>
      <c r="B2539" s="15">
        <v>45316</v>
      </c>
      <c r="C2539" s="105">
        <v>0.35416666666666669</v>
      </c>
      <c r="D2539" s="106">
        <v>0.70000000000000007</v>
      </c>
      <c r="E2539" s="3"/>
      <c r="F2539">
        <v>1993</v>
      </c>
    </row>
    <row r="2540" spans="1:6" x14ac:dyDescent="0.25">
      <c r="A2540">
        <v>7846</v>
      </c>
      <c r="B2540" s="15">
        <v>45317</v>
      </c>
      <c r="C2540" s="132">
        <v>0.44791666666666669</v>
      </c>
      <c r="D2540" s="105">
        <v>0.79375000000000007</v>
      </c>
      <c r="F2540">
        <v>1994</v>
      </c>
    </row>
    <row r="2541" spans="1:6" x14ac:dyDescent="0.25">
      <c r="A2541">
        <v>7846</v>
      </c>
      <c r="B2541" s="15">
        <v>45318</v>
      </c>
      <c r="C2541" s="135" t="s">
        <v>167</v>
      </c>
      <c r="D2541" s="133"/>
      <c r="E2541" s="3"/>
      <c r="F2541">
        <v>1995</v>
      </c>
    </row>
    <row r="2542" spans="1:6" x14ac:dyDescent="0.25">
      <c r="A2542">
        <v>7846</v>
      </c>
      <c r="B2542" s="15">
        <v>45319</v>
      </c>
      <c r="C2542" s="133"/>
      <c r="D2542" s="133"/>
      <c r="E2542" s="3"/>
      <c r="F2542">
        <v>1996</v>
      </c>
    </row>
    <row r="2543" spans="1:6" x14ac:dyDescent="0.25">
      <c r="A2543">
        <v>7846</v>
      </c>
      <c r="B2543" s="15">
        <v>45320</v>
      </c>
      <c r="C2543" s="132">
        <v>0.44791666666666669</v>
      </c>
      <c r="D2543" s="105">
        <v>0.79375000000000007</v>
      </c>
      <c r="E2543" s="3"/>
      <c r="F2543">
        <v>1997</v>
      </c>
    </row>
    <row r="2544" spans="1:6" x14ac:dyDescent="0.25">
      <c r="A2544">
        <v>7846</v>
      </c>
      <c r="B2544" s="15">
        <v>45321</v>
      </c>
      <c r="C2544" s="106">
        <v>0.375</v>
      </c>
      <c r="D2544" s="108">
        <v>0.72083333333333333</v>
      </c>
      <c r="E2544" s="3"/>
      <c r="F2544">
        <v>1998</v>
      </c>
    </row>
    <row r="2545" spans="1:6" x14ac:dyDescent="0.25">
      <c r="A2545">
        <v>7846</v>
      </c>
      <c r="B2545" s="15">
        <v>45322</v>
      </c>
      <c r="C2545" s="105">
        <v>0.35416666666666669</v>
      </c>
      <c r="D2545" s="106">
        <v>0.70000000000000007</v>
      </c>
      <c r="F2545">
        <v>1999</v>
      </c>
    </row>
    <row r="2546" spans="1:6" x14ac:dyDescent="0.25">
      <c r="A2546">
        <v>7846</v>
      </c>
      <c r="B2546" s="15">
        <v>45323</v>
      </c>
      <c r="C2546" s="132">
        <v>0.44791666666666669</v>
      </c>
      <c r="D2546" s="105">
        <v>0.79375000000000007</v>
      </c>
      <c r="E2546" s="3"/>
      <c r="F2546">
        <v>2000</v>
      </c>
    </row>
    <row r="2547" spans="1:6" x14ac:dyDescent="0.25">
      <c r="A2547">
        <v>7846</v>
      </c>
      <c r="B2547" s="15">
        <v>45324</v>
      </c>
      <c r="C2547" s="105">
        <v>0.35416666666666669</v>
      </c>
      <c r="D2547" s="106">
        <v>0.70000000000000007</v>
      </c>
      <c r="E2547" s="3"/>
      <c r="F2547">
        <v>2001</v>
      </c>
    </row>
    <row r="2548" spans="1:6" x14ac:dyDescent="0.25">
      <c r="A2548">
        <v>7846</v>
      </c>
      <c r="B2548" s="15">
        <v>45325</v>
      </c>
      <c r="C2548" s="133"/>
      <c r="D2548" s="133"/>
      <c r="E2548" s="3"/>
      <c r="F2548">
        <v>2002</v>
      </c>
    </row>
    <row r="2549" spans="1:6" x14ac:dyDescent="0.25">
      <c r="A2549">
        <v>7846</v>
      </c>
      <c r="B2549" s="15">
        <v>45326</v>
      </c>
      <c r="C2549" s="133"/>
      <c r="D2549" s="133"/>
      <c r="E2549" s="3"/>
      <c r="F2549">
        <v>2003</v>
      </c>
    </row>
    <row r="2550" spans="1:6" x14ac:dyDescent="0.25">
      <c r="A2550">
        <v>7846</v>
      </c>
      <c r="B2550" s="15">
        <v>45327</v>
      </c>
      <c r="C2550" s="105">
        <v>0.35416666666666669</v>
      </c>
      <c r="D2550" s="106">
        <v>0.70000000000000007</v>
      </c>
      <c r="E2550" s="3"/>
      <c r="F2550">
        <v>2004</v>
      </c>
    </row>
    <row r="2551" spans="1:6" x14ac:dyDescent="0.25">
      <c r="A2551">
        <v>7846</v>
      </c>
      <c r="B2551" s="15">
        <v>45328</v>
      </c>
      <c r="C2551" s="105">
        <v>0.35416666666666669</v>
      </c>
      <c r="D2551" s="106">
        <v>0.70000000000000007</v>
      </c>
      <c r="E2551" s="3"/>
      <c r="F2551">
        <v>2005</v>
      </c>
    </row>
    <row r="2552" spans="1:6" x14ac:dyDescent="0.25">
      <c r="A2552">
        <v>7846</v>
      </c>
      <c r="B2552" s="15">
        <v>45329</v>
      </c>
      <c r="C2552" s="132">
        <v>0.44791666666666669</v>
      </c>
      <c r="D2552" s="105">
        <v>0.79375000000000007</v>
      </c>
      <c r="E2552" s="3"/>
      <c r="F2552">
        <v>2006</v>
      </c>
    </row>
    <row r="2553" spans="1:6" x14ac:dyDescent="0.25">
      <c r="A2553">
        <v>7846</v>
      </c>
      <c r="B2553" s="15">
        <v>45330</v>
      </c>
      <c r="C2553" s="105">
        <v>0.35416666666666669</v>
      </c>
      <c r="D2553" s="106">
        <v>0.70000000000000007</v>
      </c>
      <c r="F2553">
        <v>2007</v>
      </c>
    </row>
    <row r="2554" spans="1:6" x14ac:dyDescent="0.25">
      <c r="A2554">
        <v>7846</v>
      </c>
      <c r="B2554" s="15">
        <v>45331</v>
      </c>
      <c r="C2554" s="132">
        <v>0.44791666666666669</v>
      </c>
      <c r="D2554" s="105">
        <v>0.79375000000000007</v>
      </c>
      <c r="E2554" s="3"/>
      <c r="F2554">
        <v>2008</v>
      </c>
    </row>
    <row r="2555" spans="1:6" x14ac:dyDescent="0.25">
      <c r="A2555">
        <v>7846</v>
      </c>
      <c r="B2555" s="15">
        <v>45332</v>
      </c>
      <c r="C2555" s="135" t="s">
        <v>167</v>
      </c>
      <c r="D2555" s="133"/>
      <c r="F2555">
        <v>2009</v>
      </c>
    </row>
    <row r="2556" spans="1:6" x14ac:dyDescent="0.25">
      <c r="A2556">
        <v>7846</v>
      </c>
      <c r="B2556" s="15">
        <v>45333</v>
      </c>
      <c r="C2556" s="133"/>
      <c r="D2556" s="133"/>
      <c r="E2556" s="3"/>
      <c r="F2556">
        <v>2010</v>
      </c>
    </row>
    <row r="2557" spans="1:6" x14ac:dyDescent="0.25">
      <c r="A2557">
        <v>7846</v>
      </c>
      <c r="B2557" s="15">
        <v>45334</v>
      </c>
      <c r="C2557" s="132">
        <v>0.44791666666666669</v>
      </c>
      <c r="D2557" s="105">
        <v>0.79375000000000007</v>
      </c>
      <c r="E2557" s="3"/>
      <c r="F2557">
        <v>2011</v>
      </c>
    </row>
    <row r="2558" spans="1:6" x14ac:dyDescent="0.25">
      <c r="A2558">
        <v>7846</v>
      </c>
      <c r="B2558" s="15">
        <v>45335</v>
      </c>
      <c r="C2558" s="105">
        <v>0.35416666666666669</v>
      </c>
      <c r="D2558" s="106">
        <v>0.70000000000000007</v>
      </c>
      <c r="E2558" s="3"/>
      <c r="F2558">
        <v>2012</v>
      </c>
    </row>
    <row r="2559" spans="1:6" x14ac:dyDescent="0.25">
      <c r="A2559">
        <v>7846</v>
      </c>
      <c r="B2559" s="15">
        <v>45336</v>
      </c>
      <c r="C2559" s="105">
        <v>0.35416666666666669</v>
      </c>
      <c r="D2559" s="106">
        <v>0.70000000000000007</v>
      </c>
      <c r="E2559" s="3"/>
      <c r="F2559">
        <v>2013</v>
      </c>
    </row>
    <row r="2560" spans="1:6" x14ac:dyDescent="0.25">
      <c r="A2560">
        <v>7846</v>
      </c>
      <c r="B2560" s="15">
        <v>45337</v>
      </c>
      <c r="C2560" s="132">
        <v>0.44791666666666669</v>
      </c>
      <c r="D2560" s="105">
        <v>0.79375000000000007</v>
      </c>
      <c r="E2560" s="3"/>
      <c r="F2560">
        <v>2014</v>
      </c>
    </row>
    <row r="2561" spans="1:6" x14ac:dyDescent="0.25">
      <c r="A2561">
        <v>7846</v>
      </c>
      <c r="B2561" s="15">
        <v>45338</v>
      </c>
      <c r="C2561" s="105">
        <v>0.35416666666666669</v>
      </c>
      <c r="D2561" s="106">
        <v>0.70000000000000007</v>
      </c>
      <c r="E2561" s="3"/>
      <c r="F2561">
        <v>2015</v>
      </c>
    </row>
    <row r="2562" spans="1:6" x14ac:dyDescent="0.25">
      <c r="A2562">
        <v>7846</v>
      </c>
      <c r="B2562" s="15">
        <v>45339</v>
      </c>
      <c r="C2562" s="133"/>
      <c r="D2562" s="133"/>
      <c r="E2562" s="3"/>
      <c r="F2562">
        <v>2016</v>
      </c>
    </row>
    <row r="2563" spans="1:6" x14ac:dyDescent="0.25">
      <c r="A2563">
        <v>7846</v>
      </c>
      <c r="B2563" s="15">
        <v>45340</v>
      </c>
      <c r="C2563" s="133"/>
      <c r="D2563" s="133"/>
      <c r="E2563" s="3"/>
      <c r="F2563">
        <v>2017</v>
      </c>
    </row>
    <row r="2564" spans="1:6" x14ac:dyDescent="0.25">
      <c r="A2564">
        <v>7846</v>
      </c>
      <c r="B2564" s="15">
        <v>45341</v>
      </c>
      <c r="C2564" s="104" t="s">
        <v>2</v>
      </c>
      <c r="D2564" s="104" t="s">
        <v>2</v>
      </c>
      <c r="E2564" s="3"/>
      <c r="F2564">
        <v>2018</v>
      </c>
    </row>
    <row r="2565" spans="1:6" x14ac:dyDescent="0.25">
      <c r="A2565">
        <v>7846</v>
      </c>
      <c r="B2565" s="15">
        <v>45342</v>
      </c>
      <c r="C2565" s="104" t="s">
        <v>2</v>
      </c>
      <c r="D2565" s="104" t="s">
        <v>2</v>
      </c>
      <c r="E2565" s="3"/>
      <c r="F2565">
        <v>2019</v>
      </c>
    </row>
    <row r="2566" spans="1:6" x14ac:dyDescent="0.25">
      <c r="A2566">
        <v>7846</v>
      </c>
      <c r="B2566" s="15">
        <v>45343</v>
      </c>
      <c r="C2566" s="104" t="s">
        <v>2</v>
      </c>
      <c r="D2566" s="104" t="s">
        <v>2</v>
      </c>
      <c r="F2566">
        <v>2020</v>
      </c>
    </row>
    <row r="2567" spans="1:6" x14ac:dyDescent="0.25">
      <c r="A2567">
        <v>7846</v>
      </c>
      <c r="B2567" s="15">
        <v>45344</v>
      </c>
      <c r="C2567" s="104" t="s">
        <v>2</v>
      </c>
      <c r="D2567" s="104" t="s">
        <v>2</v>
      </c>
      <c r="E2567" s="3"/>
      <c r="F2567">
        <v>2021</v>
      </c>
    </row>
    <row r="2568" spans="1:6" x14ac:dyDescent="0.25">
      <c r="A2568">
        <v>7846</v>
      </c>
      <c r="B2568" s="15">
        <v>45345</v>
      </c>
      <c r="C2568" s="104" t="s">
        <v>2</v>
      </c>
      <c r="D2568" s="104" t="s">
        <v>2</v>
      </c>
      <c r="E2568" s="3"/>
      <c r="F2568">
        <v>2022</v>
      </c>
    </row>
    <row r="2569" spans="1:6" x14ac:dyDescent="0.25">
      <c r="A2569">
        <v>7846</v>
      </c>
      <c r="B2569" s="15">
        <v>45346</v>
      </c>
      <c r="C2569" s="104" t="s">
        <v>2</v>
      </c>
      <c r="D2569" s="133"/>
      <c r="F2569">
        <v>2023</v>
      </c>
    </row>
    <row r="2570" spans="1:6" x14ac:dyDescent="0.25">
      <c r="A2570">
        <v>7846</v>
      </c>
      <c r="B2570" s="15">
        <v>45347</v>
      </c>
      <c r="C2570" s="133"/>
      <c r="D2570" s="133"/>
      <c r="E2570" s="3"/>
      <c r="F2570">
        <v>2024</v>
      </c>
    </row>
    <row r="2571" spans="1:6" x14ac:dyDescent="0.25">
      <c r="A2571">
        <v>7846</v>
      </c>
      <c r="B2571" s="15">
        <v>45348</v>
      </c>
      <c r="C2571" s="132">
        <v>0.44791666666666669</v>
      </c>
      <c r="D2571" s="105">
        <v>0.79375000000000007</v>
      </c>
      <c r="F2571">
        <v>2025</v>
      </c>
    </row>
    <row r="2572" spans="1:6" x14ac:dyDescent="0.25">
      <c r="A2572">
        <v>7846</v>
      </c>
      <c r="B2572" s="15">
        <v>45349</v>
      </c>
      <c r="C2572" s="106">
        <v>0.375</v>
      </c>
      <c r="D2572" s="108">
        <v>0.72083333333333333</v>
      </c>
      <c r="E2572" s="3"/>
      <c r="F2572">
        <v>2026</v>
      </c>
    </row>
    <row r="2573" spans="1:6" x14ac:dyDescent="0.25">
      <c r="A2573">
        <v>7846</v>
      </c>
      <c r="B2573" s="15">
        <v>45350</v>
      </c>
      <c r="C2573" s="105">
        <v>0.35416666666666669</v>
      </c>
      <c r="D2573" s="106">
        <v>0.70000000000000007</v>
      </c>
      <c r="E2573" s="3"/>
      <c r="F2573">
        <v>2027</v>
      </c>
    </row>
    <row r="2574" spans="1:6" x14ac:dyDescent="0.25">
      <c r="A2574">
        <v>7846</v>
      </c>
      <c r="B2574" s="15">
        <v>45351</v>
      </c>
      <c r="C2574" s="132">
        <v>0.44791666666666669</v>
      </c>
      <c r="D2574" s="105">
        <v>0.79375000000000007</v>
      </c>
      <c r="E2574" s="3"/>
      <c r="F2574">
        <v>2028</v>
      </c>
    </row>
    <row r="2575" spans="1:6" x14ac:dyDescent="0.25">
      <c r="A2575">
        <v>7846</v>
      </c>
      <c r="B2575" s="15">
        <v>45352</v>
      </c>
      <c r="C2575" s="105">
        <v>0.35416666666666669</v>
      </c>
      <c r="D2575" s="106">
        <v>0.70000000000000007</v>
      </c>
      <c r="E2575" s="3"/>
      <c r="F2575">
        <v>2029</v>
      </c>
    </row>
    <row r="2576" spans="1:6" x14ac:dyDescent="0.25">
      <c r="A2576">
        <v>7846</v>
      </c>
      <c r="B2576" s="15">
        <v>45353</v>
      </c>
      <c r="C2576" s="133"/>
      <c r="D2576" s="133"/>
      <c r="F2576">
        <v>2030</v>
      </c>
    </row>
    <row r="2577" spans="1:6" x14ac:dyDescent="0.25">
      <c r="A2577">
        <v>7846</v>
      </c>
      <c r="B2577" s="15">
        <v>45354</v>
      </c>
      <c r="C2577" s="133"/>
      <c r="D2577" s="133"/>
      <c r="E2577" s="3"/>
      <c r="F2577">
        <v>2031</v>
      </c>
    </row>
    <row r="2578" spans="1:6" x14ac:dyDescent="0.25">
      <c r="A2578">
        <v>7846</v>
      </c>
      <c r="B2578" s="15">
        <v>45355</v>
      </c>
      <c r="C2578" s="105">
        <v>0.35416666666666669</v>
      </c>
      <c r="D2578" s="106">
        <v>0.70000000000000007</v>
      </c>
      <c r="E2578" s="3"/>
      <c r="F2578">
        <v>2032</v>
      </c>
    </row>
    <row r="2579" spans="1:6" x14ac:dyDescent="0.25">
      <c r="A2579">
        <v>7846</v>
      </c>
      <c r="B2579" s="15">
        <v>45356</v>
      </c>
      <c r="C2579" s="105">
        <v>0.35416666666666669</v>
      </c>
      <c r="D2579" s="106">
        <v>0.70000000000000007</v>
      </c>
      <c r="E2579" s="3"/>
      <c r="F2579">
        <v>2033</v>
      </c>
    </row>
    <row r="2580" spans="1:6" x14ac:dyDescent="0.25">
      <c r="A2580">
        <v>7846</v>
      </c>
      <c r="B2580" s="15">
        <v>45357</v>
      </c>
      <c r="C2580" s="132">
        <v>0.44791666666666669</v>
      </c>
      <c r="D2580" s="105">
        <v>0.79375000000000007</v>
      </c>
      <c r="E2580" s="3"/>
      <c r="F2580">
        <v>2034</v>
      </c>
    </row>
    <row r="2581" spans="1:6" x14ac:dyDescent="0.25">
      <c r="A2581">
        <v>7846</v>
      </c>
      <c r="B2581" s="15">
        <v>45358</v>
      </c>
      <c r="C2581" s="105">
        <v>0.35416666666666669</v>
      </c>
      <c r="D2581" s="106">
        <v>0.70000000000000007</v>
      </c>
      <c r="E2581" s="3"/>
      <c r="F2581">
        <v>2035</v>
      </c>
    </row>
    <row r="2582" spans="1:6" x14ac:dyDescent="0.25">
      <c r="A2582">
        <v>7846</v>
      </c>
      <c r="B2582" s="15">
        <v>45359</v>
      </c>
      <c r="C2582" s="132">
        <v>0.44791666666666669</v>
      </c>
      <c r="D2582" s="105">
        <v>0.79375000000000007</v>
      </c>
      <c r="E2582" s="3"/>
      <c r="F2582">
        <v>2036</v>
      </c>
    </row>
    <row r="2583" spans="1:6" x14ac:dyDescent="0.25">
      <c r="A2583">
        <v>7846</v>
      </c>
      <c r="B2583" s="15">
        <v>45360</v>
      </c>
      <c r="C2583" s="135" t="s">
        <v>167</v>
      </c>
      <c r="D2583" s="133"/>
      <c r="E2583" s="3"/>
      <c r="F2583">
        <v>2037</v>
      </c>
    </row>
    <row r="2584" spans="1:6" x14ac:dyDescent="0.25">
      <c r="A2584">
        <v>7846</v>
      </c>
      <c r="B2584" s="15">
        <v>45361</v>
      </c>
      <c r="C2584" s="133"/>
      <c r="D2584" s="133"/>
      <c r="F2584">
        <v>2038</v>
      </c>
    </row>
    <row r="2585" spans="1:6" x14ac:dyDescent="0.25">
      <c r="A2585">
        <v>7846</v>
      </c>
      <c r="B2585" s="15">
        <v>45362</v>
      </c>
      <c r="C2585" s="132">
        <v>0.44791666666666669</v>
      </c>
      <c r="D2585" s="105">
        <v>0.79375000000000007</v>
      </c>
      <c r="E2585" s="3"/>
      <c r="F2585">
        <v>2039</v>
      </c>
    </row>
    <row r="2586" spans="1:6" x14ac:dyDescent="0.25">
      <c r="A2586">
        <v>7846</v>
      </c>
      <c r="B2586" s="15">
        <v>45363</v>
      </c>
      <c r="C2586" s="105">
        <v>0.35416666666666669</v>
      </c>
      <c r="D2586" s="106">
        <v>0.70000000000000007</v>
      </c>
      <c r="F2586">
        <v>2040</v>
      </c>
    </row>
    <row r="2587" spans="1:6" x14ac:dyDescent="0.25">
      <c r="A2587">
        <v>7846</v>
      </c>
      <c r="B2587" s="15">
        <v>45364</v>
      </c>
      <c r="C2587" s="105">
        <v>0.35416666666666669</v>
      </c>
      <c r="D2587" s="106">
        <v>0.70000000000000007</v>
      </c>
      <c r="E2587" s="3"/>
      <c r="F2587">
        <v>2041</v>
      </c>
    </row>
    <row r="2588" spans="1:6" x14ac:dyDescent="0.25">
      <c r="A2588">
        <v>7846</v>
      </c>
      <c r="B2588" s="15">
        <v>45365</v>
      </c>
      <c r="C2588" s="132">
        <v>0.44791666666666669</v>
      </c>
      <c r="D2588" s="105">
        <v>0.79375000000000007</v>
      </c>
      <c r="E2588" s="3"/>
      <c r="F2588">
        <v>2042</v>
      </c>
    </row>
    <row r="2589" spans="1:6" x14ac:dyDescent="0.25">
      <c r="A2589">
        <v>7846</v>
      </c>
      <c r="B2589" s="15">
        <v>45366</v>
      </c>
      <c r="C2589" s="105">
        <v>0.35416666666666669</v>
      </c>
      <c r="D2589" s="106">
        <v>0.70000000000000007</v>
      </c>
      <c r="E2589" s="3"/>
      <c r="F2589">
        <v>2043</v>
      </c>
    </row>
    <row r="2590" spans="1:6" x14ac:dyDescent="0.25">
      <c r="A2590">
        <v>7846</v>
      </c>
      <c r="B2590" s="15">
        <v>45367</v>
      </c>
      <c r="C2590" s="133"/>
      <c r="D2590" s="133"/>
      <c r="E2590" s="3"/>
      <c r="F2590">
        <v>2044</v>
      </c>
    </row>
    <row r="2591" spans="1:6" x14ac:dyDescent="0.25">
      <c r="A2591">
        <v>7846</v>
      </c>
      <c r="B2591" s="15">
        <v>45368</v>
      </c>
      <c r="C2591" s="133"/>
      <c r="D2591" s="133"/>
      <c r="E2591" s="3"/>
      <c r="F2591">
        <v>2045</v>
      </c>
    </row>
    <row r="2592" spans="1:6" x14ac:dyDescent="0.25">
      <c r="A2592">
        <v>7846</v>
      </c>
      <c r="B2592" s="15">
        <v>45369</v>
      </c>
      <c r="C2592" s="105">
        <v>0.35416666666666669</v>
      </c>
      <c r="D2592" s="106">
        <v>0.70000000000000007</v>
      </c>
      <c r="E2592" s="3"/>
      <c r="F2592">
        <v>2046</v>
      </c>
    </row>
    <row r="2593" spans="1:6" x14ac:dyDescent="0.25">
      <c r="A2593">
        <v>7846</v>
      </c>
      <c r="B2593" s="15">
        <v>45370</v>
      </c>
      <c r="C2593" s="105">
        <v>0.35416666666666669</v>
      </c>
      <c r="D2593" s="106">
        <v>0.70000000000000007</v>
      </c>
      <c r="E2593" s="3"/>
      <c r="F2593">
        <v>2047</v>
      </c>
    </row>
    <row r="2594" spans="1:6" x14ac:dyDescent="0.25">
      <c r="A2594">
        <v>7846</v>
      </c>
      <c r="B2594" s="15">
        <v>45371</v>
      </c>
      <c r="C2594" s="132">
        <v>0.44791666666666669</v>
      </c>
      <c r="D2594" s="105">
        <v>0.79375000000000007</v>
      </c>
      <c r="E2594" s="3"/>
      <c r="F2594">
        <v>2048</v>
      </c>
    </row>
    <row r="2595" spans="1:6" x14ac:dyDescent="0.25">
      <c r="A2595">
        <v>7846</v>
      </c>
      <c r="B2595" s="15">
        <v>45372</v>
      </c>
      <c r="C2595" s="105">
        <v>0.35416666666666669</v>
      </c>
      <c r="D2595" s="106">
        <v>0.70000000000000007</v>
      </c>
      <c r="E2595" s="3"/>
      <c r="F2595">
        <v>2049</v>
      </c>
    </row>
    <row r="2596" spans="1:6" x14ac:dyDescent="0.25">
      <c r="A2596">
        <v>7846</v>
      </c>
      <c r="B2596" s="15">
        <v>45373</v>
      </c>
      <c r="C2596" s="132">
        <v>0.44791666666666669</v>
      </c>
      <c r="D2596" s="105">
        <v>0.79375000000000007</v>
      </c>
      <c r="E2596" s="3"/>
      <c r="F2596">
        <v>2050</v>
      </c>
    </row>
    <row r="2597" spans="1:6" x14ac:dyDescent="0.25">
      <c r="A2597">
        <v>7846</v>
      </c>
      <c r="B2597" s="15">
        <v>45374</v>
      </c>
      <c r="C2597" s="135" t="s">
        <v>167</v>
      </c>
      <c r="D2597" s="133"/>
      <c r="F2597">
        <v>2051</v>
      </c>
    </row>
    <row r="2598" spans="1:6" x14ac:dyDescent="0.25">
      <c r="A2598">
        <v>7846</v>
      </c>
      <c r="B2598" s="15">
        <v>45375</v>
      </c>
      <c r="C2598" s="133"/>
      <c r="D2598" s="133"/>
      <c r="E2598" s="3"/>
      <c r="F2598">
        <v>2052</v>
      </c>
    </row>
    <row r="2599" spans="1:6" x14ac:dyDescent="0.25">
      <c r="A2599">
        <v>7846</v>
      </c>
      <c r="B2599" s="15">
        <v>45376</v>
      </c>
      <c r="C2599" s="105">
        <v>0.35416666666666669</v>
      </c>
      <c r="D2599" s="106">
        <v>0.70000000000000007</v>
      </c>
      <c r="E2599" s="3"/>
      <c r="F2599">
        <v>2053</v>
      </c>
    </row>
    <row r="2600" spans="1:6" x14ac:dyDescent="0.25">
      <c r="A2600">
        <v>7846</v>
      </c>
      <c r="B2600" s="15">
        <v>45377</v>
      </c>
      <c r="C2600" s="132">
        <v>0.44791666666666669</v>
      </c>
      <c r="D2600" s="105">
        <v>0.79375000000000007</v>
      </c>
      <c r="F2600">
        <v>2054</v>
      </c>
    </row>
    <row r="2601" spans="1:6" x14ac:dyDescent="0.25">
      <c r="A2601">
        <v>7846</v>
      </c>
      <c r="B2601" s="15">
        <v>45378</v>
      </c>
      <c r="C2601" s="105">
        <v>0.35416666666666669</v>
      </c>
      <c r="D2601" s="106">
        <v>0.70000000000000007</v>
      </c>
      <c r="E2601" s="3"/>
      <c r="F2601">
        <v>2055</v>
      </c>
    </row>
    <row r="2602" spans="1:6" x14ac:dyDescent="0.25">
      <c r="A2602">
        <v>7846</v>
      </c>
      <c r="B2602" s="15">
        <v>45379</v>
      </c>
      <c r="C2602" s="132">
        <v>0.44791666666666669</v>
      </c>
      <c r="D2602" s="105">
        <v>0.79375000000000007</v>
      </c>
      <c r="F2602">
        <v>2056</v>
      </c>
    </row>
    <row r="2603" spans="1:6" x14ac:dyDescent="0.25">
      <c r="A2603">
        <v>7846</v>
      </c>
      <c r="B2603" s="15">
        <v>45380</v>
      </c>
      <c r="C2603" s="105">
        <v>0.35416666666666669</v>
      </c>
      <c r="D2603" s="106">
        <v>0.70000000000000007</v>
      </c>
      <c r="E2603" s="3"/>
      <c r="F2603">
        <v>2057</v>
      </c>
    </row>
    <row r="2604" spans="1:6" x14ac:dyDescent="0.25">
      <c r="A2604">
        <v>7846</v>
      </c>
      <c r="B2604" s="15">
        <v>45381</v>
      </c>
      <c r="C2604" s="133"/>
      <c r="D2604" s="133"/>
      <c r="E2604" s="3"/>
      <c r="F2604">
        <v>2058</v>
      </c>
    </row>
    <row r="2605" spans="1:6" x14ac:dyDescent="0.25">
      <c r="A2605">
        <v>7846</v>
      </c>
      <c r="B2605" s="15">
        <v>45382</v>
      </c>
      <c r="C2605" s="133"/>
      <c r="D2605" s="133"/>
      <c r="E2605" s="3"/>
      <c r="F2605">
        <v>2059</v>
      </c>
    </row>
    <row r="2606" spans="1:6" x14ac:dyDescent="0.25">
      <c r="A2606">
        <v>7846</v>
      </c>
      <c r="B2606" s="15">
        <v>45383</v>
      </c>
      <c r="C2606" s="133"/>
      <c r="D2606" s="133"/>
      <c r="E2606" s="3"/>
      <c r="F2606">
        <v>2060</v>
      </c>
    </row>
    <row r="2607" spans="1:6" x14ac:dyDescent="0.25">
      <c r="A2607">
        <v>7846</v>
      </c>
      <c r="B2607" s="15">
        <v>45384</v>
      </c>
      <c r="C2607" s="104" t="s">
        <v>2</v>
      </c>
      <c r="D2607" s="104" t="s">
        <v>2</v>
      </c>
      <c r="F2607">
        <v>2061</v>
      </c>
    </row>
    <row r="2608" spans="1:6" x14ac:dyDescent="0.25">
      <c r="A2608">
        <v>7846</v>
      </c>
      <c r="B2608" s="15">
        <v>45385</v>
      </c>
      <c r="C2608" s="104" t="s">
        <v>2</v>
      </c>
      <c r="D2608" s="104" t="s">
        <v>2</v>
      </c>
      <c r="E2608" s="3"/>
      <c r="F2608">
        <v>2062</v>
      </c>
    </row>
    <row r="2609" spans="1:6" x14ac:dyDescent="0.25">
      <c r="A2609">
        <v>7846</v>
      </c>
      <c r="B2609" s="15">
        <v>45386</v>
      </c>
      <c r="C2609" s="104" t="s">
        <v>2</v>
      </c>
      <c r="D2609" s="104" t="s">
        <v>2</v>
      </c>
      <c r="E2609" s="3"/>
      <c r="F2609">
        <v>2063</v>
      </c>
    </row>
    <row r="2610" spans="1:6" x14ac:dyDescent="0.25">
      <c r="A2610">
        <v>7846</v>
      </c>
      <c r="B2610" s="15">
        <v>45387</v>
      </c>
      <c r="C2610" s="104" t="s">
        <v>2</v>
      </c>
      <c r="D2610" s="104" t="s">
        <v>2</v>
      </c>
      <c r="E2610" s="3"/>
      <c r="F2610">
        <v>2064</v>
      </c>
    </row>
    <row r="2611" spans="1:6" x14ac:dyDescent="0.25">
      <c r="A2611">
        <v>7846</v>
      </c>
      <c r="B2611" s="15">
        <v>45388</v>
      </c>
      <c r="C2611" s="104" t="s">
        <v>2</v>
      </c>
      <c r="D2611" s="133"/>
      <c r="E2611" s="3"/>
      <c r="F2611">
        <v>2065</v>
      </c>
    </row>
    <row r="2612" spans="1:6" x14ac:dyDescent="0.25">
      <c r="A2612">
        <v>7846</v>
      </c>
      <c r="B2612" s="15">
        <v>45389</v>
      </c>
      <c r="C2612" s="133"/>
      <c r="D2612" s="133"/>
      <c r="E2612" s="3"/>
      <c r="F2612">
        <v>2066</v>
      </c>
    </row>
    <row r="2613" spans="1:6" x14ac:dyDescent="0.25">
      <c r="A2613">
        <v>7846</v>
      </c>
      <c r="B2613" s="15">
        <v>45390</v>
      </c>
      <c r="C2613" s="132">
        <v>0.44791666666666669</v>
      </c>
      <c r="D2613" s="105">
        <v>0.79375000000000007</v>
      </c>
      <c r="E2613" s="3"/>
      <c r="F2613">
        <v>2067</v>
      </c>
    </row>
    <row r="2614" spans="1:6" x14ac:dyDescent="0.25">
      <c r="A2614">
        <v>7846</v>
      </c>
      <c r="B2614" s="15">
        <v>45391</v>
      </c>
      <c r="C2614" s="105">
        <v>0.35416666666666669</v>
      </c>
      <c r="D2614" s="106">
        <v>0.70000000000000007</v>
      </c>
      <c r="E2614" s="3"/>
      <c r="F2614">
        <v>2068</v>
      </c>
    </row>
    <row r="2615" spans="1:6" x14ac:dyDescent="0.25">
      <c r="A2615">
        <v>7846</v>
      </c>
      <c r="B2615" s="15">
        <v>45392</v>
      </c>
      <c r="C2615" s="132">
        <v>0.44791666666666669</v>
      </c>
      <c r="D2615" s="105">
        <v>0.79375000000000007</v>
      </c>
      <c r="F2615">
        <v>2069</v>
      </c>
    </row>
    <row r="2616" spans="1:6" x14ac:dyDescent="0.25">
      <c r="A2616">
        <v>7846</v>
      </c>
      <c r="B2616" s="15">
        <v>45393</v>
      </c>
      <c r="C2616" s="105">
        <v>0.35416666666666669</v>
      </c>
      <c r="D2616" s="106">
        <v>0.70000000000000007</v>
      </c>
      <c r="E2616" s="3"/>
      <c r="F2616">
        <v>2070</v>
      </c>
    </row>
    <row r="2617" spans="1:6" x14ac:dyDescent="0.25">
      <c r="A2617">
        <v>7846</v>
      </c>
      <c r="B2617" s="15">
        <v>45394</v>
      </c>
      <c r="C2617" s="132">
        <v>0.44791666666666669</v>
      </c>
      <c r="D2617" s="105">
        <v>0.79375000000000007</v>
      </c>
      <c r="F2617">
        <v>2071</v>
      </c>
    </row>
    <row r="2618" spans="1:6" x14ac:dyDescent="0.25">
      <c r="A2618">
        <v>7846</v>
      </c>
      <c r="B2618" s="15">
        <v>45395</v>
      </c>
      <c r="C2618" s="133"/>
      <c r="D2618" s="133"/>
      <c r="E2618" s="3"/>
      <c r="F2618">
        <v>2072</v>
      </c>
    </row>
    <row r="2619" spans="1:6" x14ac:dyDescent="0.25">
      <c r="A2619">
        <v>7846</v>
      </c>
      <c r="B2619" s="15">
        <v>45396</v>
      </c>
      <c r="C2619" s="133"/>
      <c r="D2619" s="133"/>
      <c r="E2619" s="3"/>
      <c r="F2619">
        <v>2073</v>
      </c>
    </row>
    <row r="2620" spans="1:6" x14ac:dyDescent="0.25">
      <c r="A2620">
        <v>7846</v>
      </c>
      <c r="B2620" s="15">
        <v>45397</v>
      </c>
      <c r="C2620" s="105">
        <v>0.35416666666666669</v>
      </c>
      <c r="D2620" s="106">
        <v>0.70000000000000007</v>
      </c>
      <c r="E2620" s="3"/>
      <c r="F2620">
        <v>2074</v>
      </c>
    </row>
    <row r="2621" spans="1:6" x14ac:dyDescent="0.25">
      <c r="A2621">
        <v>7846</v>
      </c>
      <c r="B2621" s="15">
        <v>45398</v>
      </c>
      <c r="C2621" s="105">
        <v>0.35416666666666669</v>
      </c>
      <c r="D2621" s="106">
        <v>0.70000000000000007</v>
      </c>
      <c r="E2621" s="3"/>
      <c r="F2621">
        <v>2075</v>
      </c>
    </row>
    <row r="2622" spans="1:6" x14ac:dyDescent="0.25">
      <c r="A2622">
        <v>7846</v>
      </c>
      <c r="B2622" s="15">
        <v>45399</v>
      </c>
      <c r="C2622" s="132">
        <v>0.44791666666666669</v>
      </c>
      <c r="D2622" s="105">
        <v>0.79375000000000007</v>
      </c>
      <c r="E2622" s="3"/>
      <c r="F2622">
        <v>2076</v>
      </c>
    </row>
    <row r="2623" spans="1:6" x14ac:dyDescent="0.25">
      <c r="A2623">
        <v>7846</v>
      </c>
      <c r="B2623" s="15">
        <v>45400</v>
      </c>
      <c r="C2623" s="105">
        <v>0.35416666666666669</v>
      </c>
      <c r="D2623" s="106">
        <v>0.70000000000000007</v>
      </c>
      <c r="E2623" s="3"/>
      <c r="F2623">
        <v>2077</v>
      </c>
    </row>
    <row r="2624" spans="1:6" x14ac:dyDescent="0.25">
      <c r="A2624">
        <v>7846</v>
      </c>
      <c r="B2624" s="15">
        <v>45401</v>
      </c>
      <c r="C2624" s="132">
        <v>0.44791666666666669</v>
      </c>
      <c r="D2624" s="105">
        <v>0.79375000000000007</v>
      </c>
      <c r="E2624" s="3"/>
      <c r="F2624">
        <v>2078</v>
      </c>
    </row>
    <row r="2625" spans="1:6" x14ac:dyDescent="0.25">
      <c r="A2625">
        <v>7846</v>
      </c>
      <c r="B2625" s="15">
        <v>45402</v>
      </c>
      <c r="C2625" s="135" t="s">
        <v>167</v>
      </c>
      <c r="D2625" s="133"/>
      <c r="E2625" s="3"/>
      <c r="F2625">
        <v>2079</v>
      </c>
    </row>
    <row r="2626" spans="1:6" x14ac:dyDescent="0.25">
      <c r="A2626">
        <v>7846</v>
      </c>
      <c r="B2626" s="15">
        <v>45403</v>
      </c>
      <c r="C2626" s="133"/>
      <c r="D2626" s="133"/>
      <c r="E2626" s="3"/>
      <c r="F2626">
        <v>2080</v>
      </c>
    </row>
    <row r="2627" spans="1:6" x14ac:dyDescent="0.25">
      <c r="A2627">
        <v>7846</v>
      </c>
      <c r="B2627" s="15">
        <v>45404</v>
      </c>
      <c r="C2627" s="132">
        <v>0.44791666666666669</v>
      </c>
      <c r="D2627" s="105">
        <v>0.79375000000000007</v>
      </c>
      <c r="E2627" s="3"/>
      <c r="F2627">
        <v>2081</v>
      </c>
    </row>
    <row r="2628" spans="1:6" x14ac:dyDescent="0.25">
      <c r="A2628">
        <v>7846</v>
      </c>
      <c r="B2628" s="15">
        <v>45405</v>
      </c>
      <c r="C2628" s="106">
        <v>0.375</v>
      </c>
      <c r="D2628" s="108">
        <v>0.72083333333333333</v>
      </c>
      <c r="F2628">
        <v>2082</v>
      </c>
    </row>
    <row r="2629" spans="1:6" x14ac:dyDescent="0.25">
      <c r="A2629">
        <v>7846</v>
      </c>
      <c r="B2629" s="15">
        <v>45406</v>
      </c>
      <c r="C2629" s="105">
        <v>0.35416666666666669</v>
      </c>
      <c r="D2629" s="106">
        <v>0.70000000000000007</v>
      </c>
      <c r="E2629" s="3"/>
      <c r="F2629">
        <v>2083</v>
      </c>
    </row>
    <row r="2630" spans="1:6" x14ac:dyDescent="0.25">
      <c r="A2630">
        <v>7846</v>
      </c>
      <c r="B2630" s="15">
        <v>45407</v>
      </c>
      <c r="C2630" s="132">
        <v>0.44791666666666669</v>
      </c>
      <c r="D2630" s="105">
        <v>0.79375000000000007</v>
      </c>
      <c r="E2630" s="3"/>
      <c r="F2630">
        <v>2084</v>
      </c>
    </row>
    <row r="2631" spans="1:6" x14ac:dyDescent="0.25">
      <c r="A2631">
        <v>7846</v>
      </c>
      <c r="B2631" s="15">
        <v>45408</v>
      </c>
      <c r="C2631" s="105">
        <v>0.35416666666666669</v>
      </c>
      <c r="D2631" s="106">
        <v>0.70000000000000007</v>
      </c>
      <c r="F2631">
        <v>2085</v>
      </c>
    </row>
    <row r="2632" spans="1:6" x14ac:dyDescent="0.25">
      <c r="A2632">
        <v>7846</v>
      </c>
      <c r="B2632" s="15">
        <v>45409</v>
      </c>
      <c r="C2632" s="133"/>
      <c r="D2632" s="133"/>
      <c r="E2632" s="3"/>
      <c r="F2632">
        <v>2086</v>
      </c>
    </row>
    <row r="2633" spans="1:6" x14ac:dyDescent="0.25">
      <c r="A2633">
        <v>7846</v>
      </c>
      <c r="B2633" s="15">
        <v>45410</v>
      </c>
      <c r="C2633" s="133"/>
      <c r="D2633" s="133"/>
      <c r="F2633">
        <v>2087</v>
      </c>
    </row>
    <row r="2634" spans="1:6" x14ac:dyDescent="0.25">
      <c r="A2634">
        <v>7846</v>
      </c>
      <c r="B2634" s="15">
        <v>45411</v>
      </c>
      <c r="C2634" s="105">
        <v>0.35416666666666669</v>
      </c>
      <c r="D2634" s="106">
        <v>0.70000000000000007</v>
      </c>
      <c r="E2634" s="3"/>
      <c r="F2634">
        <v>2088</v>
      </c>
    </row>
    <row r="2635" spans="1:6" x14ac:dyDescent="0.25">
      <c r="A2635">
        <v>7846</v>
      </c>
      <c r="B2635" s="15">
        <v>45412</v>
      </c>
      <c r="C2635" s="132">
        <v>0.44791666666666669</v>
      </c>
      <c r="D2635" s="105">
        <v>0.79375000000000007</v>
      </c>
      <c r="E2635" s="3"/>
      <c r="F2635">
        <v>2089</v>
      </c>
    </row>
    <row r="2636" spans="1:6" x14ac:dyDescent="0.25">
      <c r="A2636">
        <v>7846</v>
      </c>
      <c r="B2636" s="15">
        <v>45413</v>
      </c>
      <c r="C2636" s="119"/>
      <c r="D2636" s="119"/>
      <c r="E2636" s="3"/>
      <c r="F2636">
        <v>2090</v>
      </c>
    </row>
    <row r="2637" spans="1:6" x14ac:dyDescent="0.25">
      <c r="A2637">
        <v>7846</v>
      </c>
      <c r="B2637" s="15">
        <v>45414</v>
      </c>
      <c r="C2637" s="105">
        <v>0.35416666666666669</v>
      </c>
      <c r="D2637" s="106">
        <v>0.70000000000000007</v>
      </c>
      <c r="E2637" s="3"/>
      <c r="F2637">
        <v>2091</v>
      </c>
    </row>
    <row r="2638" spans="1:6" x14ac:dyDescent="0.25">
      <c r="A2638">
        <v>7846</v>
      </c>
      <c r="B2638" s="15">
        <v>45415</v>
      </c>
      <c r="C2638" s="132">
        <v>0.44791666666666669</v>
      </c>
      <c r="D2638" s="105">
        <v>0.79375000000000007</v>
      </c>
      <c r="F2638">
        <v>2092</v>
      </c>
    </row>
    <row r="2639" spans="1:6" x14ac:dyDescent="0.25">
      <c r="A2639">
        <v>7846</v>
      </c>
      <c r="B2639" s="15">
        <v>45416</v>
      </c>
      <c r="C2639" s="135" t="s">
        <v>167</v>
      </c>
      <c r="D2639" s="133"/>
      <c r="E2639" s="3"/>
      <c r="F2639">
        <v>2093</v>
      </c>
    </row>
    <row r="2640" spans="1:6" x14ac:dyDescent="0.25">
      <c r="A2640">
        <v>7846</v>
      </c>
      <c r="B2640" s="15">
        <v>45417</v>
      </c>
      <c r="C2640" s="133"/>
      <c r="D2640" s="133"/>
      <c r="E2640" s="3"/>
      <c r="F2640">
        <v>2094</v>
      </c>
    </row>
    <row r="2641" spans="1:6" x14ac:dyDescent="0.25">
      <c r="A2641">
        <v>7846</v>
      </c>
      <c r="B2641" s="15">
        <v>45418</v>
      </c>
      <c r="C2641" s="132">
        <v>0.44791666666666669</v>
      </c>
      <c r="D2641" s="105">
        <v>0.79375000000000007</v>
      </c>
      <c r="E2641" s="3"/>
      <c r="F2641">
        <v>2095</v>
      </c>
    </row>
    <row r="2642" spans="1:6" x14ac:dyDescent="0.25">
      <c r="A2642">
        <v>7846</v>
      </c>
      <c r="B2642" s="15">
        <v>45419</v>
      </c>
      <c r="C2642" s="105">
        <v>0.35416666666666669</v>
      </c>
      <c r="D2642" s="106">
        <v>0.70000000000000007</v>
      </c>
      <c r="E2642" s="3"/>
      <c r="F2642">
        <v>2096</v>
      </c>
    </row>
    <row r="2643" spans="1:6" x14ac:dyDescent="0.25">
      <c r="A2643">
        <v>7846</v>
      </c>
      <c r="B2643" s="15">
        <v>45420</v>
      </c>
      <c r="C2643" s="119"/>
      <c r="D2643" s="119"/>
      <c r="E2643" s="3"/>
      <c r="F2643">
        <v>2097</v>
      </c>
    </row>
    <row r="2644" spans="1:6" x14ac:dyDescent="0.25">
      <c r="A2644">
        <v>7846</v>
      </c>
      <c r="B2644" s="15">
        <v>45421</v>
      </c>
      <c r="C2644" s="132">
        <v>0.44791666666666669</v>
      </c>
      <c r="D2644" s="105">
        <v>0.79375000000000007</v>
      </c>
      <c r="E2644" s="3"/>
      <c r="F2644">
        <v>2098</v>
      </c>
    </row>
    <row r="2645" spans="1:6" x14ac:dyDescent="0.25">
      <c r="A2645">
        <v>7846</v>
      </c>
      <c r="B2645" s="15">
        <v>45422</v>
      </c>
      <c r="C2645" s="105">
        <v>0.35416666666666669</v>
      </c>
      <c r="D2645" s="106">
        <v>0.70000000000000007</v>
      </c>
      <c r="E2645" s="3"/>
      <c r="F2645">
        <v>2099</v>
      </c>
    </row>
    <row r="2646" spans="1:6" x14ac:dyDescent="0.25">
      <c r="A2646">
        <v>7846</v>
      </c>
      <c r="B2646" s="15">
        <v>45423</v>
      </c>
      <c r="C2646" s="133"/>
      <c r="D2646" s="133"/>
      <c r="F2646">
        <v>2100</v>
      </c>
    </row>
    <row r="2647" spans="1:6" x14ac:dyDescent="0.25">
      <c r="A2647">
        <v>7846</v>
      </c>
      <c r="B2647" s="15">
        <v>45424</v>
      </c>
      <c r="C2647" s="133"/>
      <c r="D2647" s="133"/>
      <c r="E2647" s="3"/>
      <c r="F2647">
        <v>2101</v>
      </c>
    </row>
    <row r="2648" spans="1:6" x14ac:dyDescent="0.25">
      <c r="A2648">
        <v>7846</v>
      </c>
      <c r="B2648" s="15">
        <v>45425</v>
      </c>
      <c r="C2648" s="132">
        <v>0.44791666666666669</v>
      </c>
      <c r="D2648" s="105">
        <v>0.79375000000000007</v>
      </c>
      <c r="F2648">
        <v>2102</v>
      </c>
    </row>
    <row r="2649" spans="1:6" x14ac:dyDescent="0.25">
      <c r="A2649">
        <v>7846</v>
      </c>
      <c r="B2649" s="15">
        <v>45426</v>
      </c>
      <c r="C2649" s="105">
        <v>0.375</v>
      </c>
      <c r="D2649" s="108">
        <v>0.72083333333333333</v>
      </c>
      <c r="E2649" s="3"/>
      <c r="F2649">
        <v>2103</v>
      </c>
    </row>
    <row r="2650" spans="1:6" x14ac:dyDescent="0.25">
      <c r="A2650">
        <v>7846</v>
      </c>
      <c r="B2650" s="15">
        <v>45427</v>
      </c>
      <c r="C2650" s="105">
        <v>0.35416666666666669</v>
      </c>
      <c r="D2650" s="106">
        <v>0.70000000000000007</v>
      </c>
      <c r="E2650" s="3"/>
      <c r="F2650">
        <v>2104</v>
      </c>
    </row>
    <row r="2651" spans="1:6" x14ac:dyDescent="0.25">
      <c r="A2651">
        <v>7846</v>
      </c>
      <c r="B2651" s="15">
        <v>45428</v>
      </c>
      <c r="C2651" s="105">
        <v>0.375</v>
      </c>
      <c r="D2651" s="108">
        <v>0.72083333333333333</v>
      </c>
      <c r="E2651" s="3"/>
      <c r="F2651">
        <v>2105</v>
      </c>
    </row>
    <row r="2652" spans="1:6" x14ac:dyDescent="0.25">
      <c r="A2652">
        <v>7846</v>
      </c>
      <c r="B2652" s="15">
        <v>45429</v>
      </c>
      <c r="C2652" s="132">
        <v>0.44791666666666669</v>
      </c>
      <c r="D2652" s="105">
        <v>0.79375000000000007</v>
      </c>
      <c r="E2652" s="3"/>
      <c r="F2652">
        <v>2106</v>
      </c>
    </row>
    <row r="2653" spans="1:6" x14ac:dyDescent="0.25">
      <c r="A2653">
        <v>7846</v>
      </c>
      <c r="B2653" s="15">
        <v>45430</v>
      </c>
      <c r="C2653" s="133"/>
      <c r="D2653" s="133"/>
      <c r="E2653" s="3"/>
      <c r="F2653">
        <v>2107</v>
      </c>
    </row>
    <row r="2654" spans="1:6" x14ac:dyDescent="0.25">
      <c r="A2654">
        <v>7846</v>
      </c>
      <c r="B2654" s="15">
        <v>45431</v>
      </c>
      <c r="C2654" s="133"/>
      <c r="D2654" s="133"/>
      <c r="E2654" s="3"/>
      <c r="F2654">
        <v>2108</v>
      </c>
    </row>
    <row r="2655" spans="1:6" x14ac:dyDescent="0.25">
      <c r="A2655">
        <v>7846</v>
      </c>
      <c r="B2655" s="15">
        <v>45432</v>
      </c>
      <c r="C2655" s="132">
        <v>0.44791666666666669</v>
      </c>
      <c r="D2655" s="105">
        <v>0.79375000000000007</v>
      </c>
      <c r="E2655" s="3"/>
      <c r="F2655">
        <v>2109</v>
      </c>
    </row>
    <row r="2656" spans="1:6" x14ac:dyDescent="0.25">
      <c r="A2656">
        <v>7846</v>
      </c>
      <c r="B2656" s="15">
        <v>45433</v>
      </c>
      <c r="C2656" s="106">
        <v>0.375</v>
      </c>
      <c r="D2656" s="108">
        <v>0.72083333333333333</v>
      </c>
      <c r="E2656" s="3"/>
      <c r="F2656">
        <v>2110</v>
      </c>
    </row>
    <row r="2657" spans="1:6" x14ac:dyDescent="0.25">
      <c r="A2657">
        <v>7846</v>
      </c>
      <c r="B2657" s="15">
        <v>45434</v>
      </c>
      <c r="C2657" s="105">
        <v>0.35416666666666669</v>
      </c>
      <c r="D2657" s="106">
        <v>0.70000000000000007</v>
      </c>
      <c r="E2657" s="3"/>
      <c r="F2657">
        <v>2111</v>
      </c>
    </row>
    <row r="2658" spans="1:6" x14ac:dyDescent="0.25">
      <c r="A2658">
        <v>7846</v>
      </c>
      <c r="B2658" s="15">
        <v>45435</v>
      </c>
      <c r="C2658" s="132">
        <v>0.44791666666666669</v>
      </c>
      <c r="D2658" s="105">
        <v>0.79375000000000007</v>
      </c>
      <c r="E2658" s="3"/>
      <c r="F2658">
        <v>2112</v>
      </c>
    </row>
    <row r="2659" spans="1:6" x14ac:dyDescent="0.25">
      <c r="A2659">
        <v>7846</v>
      </c>
      <c r="B2659" s="15">
        <v>45436</v>
      </c>
      <c r="C2659" s="106">
        <v>0.375</v>
      </c>
      <c r="D2659" s="108">
        <v>0.72083333333333333</v>
      </c>
      <c r="F2659">
        <v>2113</v>
      </c>
    </row>
    <row r="2660" spans="1:6" x14ac:dyDescent="0.25">
      <c r="A2660">
        <v>7846</v>
      </c>
      <c r="B2660" s="15">
        <v>45437</v>
      </c>
      <c r="C2660" s="133"/>
      <c r="D2660" s="133"/>
      <c r="E2660" s="3"/>
      <c r="F2660">
        <v>2114</v>
      </c>
    </row>
    <row r="2661" spans="1:6" x14ac:dyDescent="0.25">
      <c r="A2661">
        <v>7846</v>
      </c>
      <c r="B2661" s="15">
        <v>45438</v>
      </c>
      <c r="C2661" s="133"/>
      <c r="D2661" s="133"/>
      <c r="E2661" s="3"/>
      <c r="F2661">
        <v>2115</v>
      </c>
    </row>
    <row r="2662" spans="1:6" x14ac:dyDescent="0.25">
      <c r="A2662">
        <v>7846</v>
      </c>
      <c r="B2662" s="15">
        <v>45439</v>
      </c>
      <c r="C2662" s="132">
        <v>0.44791666666666669</v>
      </c>
      <c r="D2662" s="105">
        <v>0.79375000000000007</v>
      </c>
      <c r="F2662">
        <v>2116</v>
      </c>
    </row>
    <row r="2663" spans="1:6" x14ac:dyDescent="0.25">
      <c r="A2663">
        <v>7846</v>
      </c>
      <c r="B2663" s="15">
        <v>45440</v>
      </c>
      <c r="C2663" s="106">
        <v>0.375</v>
      </c>
      <c r="D2663" s="108">
        <v>0.72083333333333333</v>
      </c>
      <c r="E2663" s="3"/>
      <c r="F2663">
        <v>2117</v>
      </c>
    </row>
    <row r="2664" spans="1:6" x14ac:dyDescent="0.25">
      <c r="A2664">
        <v>7846</v>
      </c>
      <c r="B2664" s="15">
        <v>45441</v>
      </c>
      <c r="C2664" s="105">
        <v>0.35416666666666669</v>
      </c>
      <c r="D2664" s="106">
        <v>0.70000000000000007</v>
      </c>
      <c r="F2664">
        <v>2118</v>
      </c>
    </row>
    <row r="2665" spans="1:6" x14ac:dyDescent="0.25">
      <c r="A2665">
        <v>7846</v>
      </c>
      <c r="B2665" s="15">
        <v>45442</v>
      </c>
      <c r="C2665" s="106">
        <v>0.375</v>
      </c>
      <c r="D2665" s="108">
        <v>0.72083333333333333</v>
      </c>
      <c r="E2665" s="3"/>
      <c r="F2665">
        <v>2119</v>
      </c>
    </row>
    <row r="2666" spans="1:6" x14ac:dyDescent="0.25">
      <c r="A2666">
        <v>7846</v>
      </c>
      <c r="B2666" s="15">
        <v>45443</v>
      </c>
      <c r="C2666" s="132">
        <v>0.44791666666666669</v>
      </c>
      <c r="D2666" s="105">
        <v>0.79375000000000007</v>
      </c>
      <c r="E2666" s="3"/>
      <c r="F2666">
        <v>2120</v>
      </c>
    </row>
    <row r="2667" spans="1:6" x14ac:dyDescent="0.25">
      <c r="A2667">
        <v>7846</v>
      </c>
      <c r="B2667" s="15">
        <v>45444</v>
      </c>
      <c r="C2667" s="133"/>
      <c r="D2667" s="133"/>
      <c r="E2667" s="3"/>
      <c r="F2667">
        <v>2121</v>
      </c>
    </row>
    <row r="2668" spans="1:6" x14ac:dyDescent="0.25">
      <c r="A2668">
        <v>7846</v>
      </c>
      <c r="B2668" s="15">
        <v>45445</v>
      </c>
      <c r="C2668" s="133"/>
      <c r="D2668" s="133"/>
      <c r="E2668" s="3"/>
      <c r="F2668">
        <v>2122</v>
      </c>
    </row>
    <row r="2669" spans="1:6" x14ac:dyDescent="0.25">
      <c r="A2669">
        <v>7846</v>
      </c>
      <c r="B2669" s="15">
        <v>45446</v>
      </c>
      <c r="C2669" s="132">
        <v>0.44791666666666669</v>
      </c>
      <c r="D2669" s="105">
        <v>0.79375000000000007</v>
      </c>
      <c r="F2669">
        <v>2123</v>
      </c>
    </row>
    <row r="2670" spans="1:6" x14ac:dyDescent="0.25">
      <c r="A2670">
        <v>7846</v>
      </c>
      <c r="B2670" s="15">
        <v>45447</v>
      </c>
      <c r="C2670" s="105">
        <v>0.35416666666666669</v>
      </c>
      <c r="D2670" s="106">
        <v>0.70000000000000007</v>
      </c>
      <c r="E2670" s="3"/>
      <c r="F2670">
        <v>2124</v>
      </c>
    </row>
    <row r="2671" spans="1:6" x14ac:dyDescent="0.25">
      <c r="A2671">
        <v>7846</v>
      </c>
      <c r="B2671" s="15">
        <v>45448</v>
      </c>
      <c r="C2671" s="106">
        <v>0.375</v>
      </c>
      <c r="D2671" s="108">
        <v>0.72083333333333333</v>
      </c>
      <c r="E2671" s="3"/>
      <c r="F2671">
        <v>2125</v>
      </c>
    </row>
    <row r="2672" spans="1:6" x14ac:dyDescent="0.25">
      <c r="A2672">
        <v>7846</v>
      </c>
      <c r="B2672" s="15">
        <v>45449</v>
      </c>
      <c r="C2672" s="132">
        <v>0.44791666666666669</v>
      </c>
      <c r="D2672" s="105">
        <v>0.79375000000000007</v>
      </c>
      <c r="E2672" s="3"/>
      <c r="F2672">
        <v>2126</v>
      </c>
    </row>
    <row r="2673" spans="1:6" x14ac:dyDescent="0.25">
      <c r="A2673">
        <v>7846</v>
      </c>
      <c r="B2673" s="15">
        <v>45450</v>
      </c>
      <c r="C2673" s="105">
        <v>0.35416666666666669</v>
      </c>
      <c r="D2673" s="106">
        <v>0.70000000000000007</v>
      </c>
      <c r="E2673" s="3"/>
      <c r="F2673">
        <v>2127</v>
      </c>
    </row>
    <row r="2674" spans="1:6" x14ac:dyDescent="0.25">
      <c r="A2674">
        <v>7846</v>
      </c>
      <c r="B2674" s="15">
        <v>45451</v>
      </c>
      <c r="C2674" s="133"/>
      <c r="D2674" s="133"/>
      <c r="E2674" s="3"/>
      <c r="F2674">
        <v>2128</v>
      </c>
    </row>
    <row r="2675" spans="1:6" x14ac:dyDescent="0.25">
      <c r="A2675">
        <v>7846</v>
      </c>
      <c r="B2675" s="15">
        <v>45452</v>
      </c>
      <c r="C2675" s="133"/>
      <c r="D2675" s="133"/>
      <c r="E2675" s="3"/>
      <c r="F2675">
        <v>2129</v>
      </c>
    </row>
    <row r="2676" spans="1:6" x14ac:dyDescent="0.25">
      <c r="A2676">
        <v>7846</v>
      </c>
      <c r="B2676" s="15">
        <v>45453</v>
      </c>
      <c r="C2676" s="132">
        <v>0.44791666666666669</v>
      </c>
      <c r="D2676" s="105">
        <v>0.79375000000000007</v>
      </c>
      <c r="E2676" s="3"/>
      <c r="F2676">
        <v>2130</v>
      </c>
    </row>
    <row r="2677" spans="1:6" x14ac:dyDescent="0.25">
      <c r="A2677">
        <v>7846</v>
      </c>
      <c r="B2677" s="15">
        <v>45454</v>
      </c>
      <c r="C2677" s="106">
        <v>0.375</v>
      </c>
      <c r="D2677" s="108">
        <v>0.72083333333333333</v>
      </c>
      <c r="F2677">
        <v>2131</v>
      </c>
    </row>
    <row r="2678" spans="1:6" x14ac:dyDescent="0.25">
      <c r="A2678">
        <v>7846</v>
      </c>
      <c r="B2678" s="15">
        <v>45455</v>
      </c>
      <c r="C2678" s="105">
        <v>0.35416666666666669</v>
      </c>
      <c r="D2678" s="106">
        <v>0.70000000000000007</v>
      </c>
      <c r="E2678" s="3"/>
      <c r="F2678">
        <v>2132</v>
      </c>
    </row>
    <row r="2679" spans="1:6" x14ac:dyDescent="0.25">
      <c r="A2679">
        <v>7846</v>
      </c>
      <c r="B2679" s="15">
        <v>45456</v>
      </c>
      <c r="C2679" s="106">
        <v>0.375</v>
      </c>
      <c r="D2679" s="108">
        <v>0.72083333333333333</v>
      </c>
      <c r="F2679">
        <v>2133</v>
      </c>
    </row>
    <row r="2680" spans="1:6" x14ac:dyDescent="0.25">
      <c r="A2680">
        <v>7846</v>
      </c>
      <c r="B2680" s="15">
        <v>45457</v>
      </c>
      <c r="C2680" s="132">
        <v>0.44791666666666669</v>
      </c>
      <c r="D2680" s="105">
        <v>0.79375000000000007</v>
      </c>
      <c r="E2680" s="3"/>
      <c r="F2680">
        <v>2134</v>
      </c>
    </row>
    <row r="2681" spans="1:6" x14ac:dyDescent="0.25">
      <c r="A2681">
        <v>7846</v>
      </c>
      <c r="B2681" s="15">
        <v>45458</v>
      </c>
      <c r="C2681" s="133"/>
      <c r="D2681" s="133"/>
      <c r="E2681" s="3"/>
      <c r="F2681">
        <v>2135</v>
      </c>
    </row>
    <row r="2682" spans="1:6" x14ac:dyDescent="0.25">
      <c r="A2682">
        <v>7846</v>
      </c>
      <c r="B2682" s="15">
        <v>45459</v>
      </c>
      <c r="C2682" s="133"/>
      <c r="D2682" s="133"/>
      <c r="E2682" s="3"/>
      <c r="F2682">
        <v>2136</v>
      </c>
    </row>
    <row r="2683" spans="1:6" x14ac:dyDescent="0.25">
      <c r="A2683">
        <v>7846</v>
      </c>
      <c r="B2683" s="15">
        <v>45460</v>
      </c>
      <c r="C2683" s="132">
        <v>0.44791666666666669</v>
      </c>
      <c r="D2683" s="105">
        <v>0.79375000000000007</v>
      </c>
      <c r="E2683" s="3"/>
      <c r="F2683">
        <v>2137</v>
      </c>
    </row>
    <row r="2684" spans="1:6" x14ac:dyDescent="0.25">
      <c r="A2684">
        <v>7846</v>
      </c>
      <c r="B2684" s="15">
        <v>45461</v>
      </c>
      <c r="C2684" s="106">
        <v>0.375</v>
      </c>
      <c r="D2684" s="108">
        <v>0.72083333333333333</v>
      </c>
      <c r="E2684" s="3"/>
      <c r="F2684">
        <v>2138</v>
      </c>
    </row>
    <row r="2685" spans="1:6" x14ac:dyDescent="0.25">
      <c r="A2685">
        <v>7846</v>
      </c>
      <c r="B2685" s="15">
        <v>45462</v>
      </c>
      <c r="C2685" s="105">
        <v>0.35416666666666669</v>
      </c>
      <c r="D2685" s="106">
        <v>0.70000000000000007</v>
      </c>
      <c r="E2685" s="3"/>
      <c r="F2685">
        <v>2139</v>
      </c>
    </row>
    <row r="2686" spans="1:6" x14ac:dyDescent="0.25">
      <c r="A2686">
        <v>7846</v>
      </c>
      <c r="B2686" s="15">
        <v>45463</v>
      </c>
      <c r="C2686" s="106">
        <v>0.375</v>
      </c>
      <c r="D2686" s="108">
        <v>0.72083333333333333</v>
      </c>
      <c r="E2686" s="3"/>
      <c r="F2686">
        <v>2140</v>
      </c>
    </row>
    <row r="2687" spans="1:6" x14ac:dyDescent="0.25">
      <c r="A2687">
        <v>7846</v>
      </c>
      <c r="B2687" s="15">
        <v>45464</v>
      </c>
      <c r="C2687" s="106">
        <v>0.375</v>
      </c>
      <c r="D2687" s="108">
        <v>0.72083333333333333</v>
      </c>
      <c r="E2687" s="3"/>
      <c r="F2687">
        <v>2141</v>
      </c>
    </row>
    <row r="2688" spans="1:6" x14ac:dyDescent="0.25">
      <c r="A2688">
        <v>7846</v>
      </c>
      <c r="B2688" s="15">
        <v>45465</v>
      </c>
      <c r="C2688" s="133"/>
      <c r="D2688" s="133"/>
      <c r="E2688" s="3"/>
      <c r="F2688">
        <v>2142</v>
      </c>
    </row>
    <row r="2689" spans="1:6" x14ac:dyDescent="0.25">
      <c r="A2689">
        <v>7846</v>
      </c>
      <c r="B2689" s="15">
        <v>45466</v>
      </c>
      <c r="C2689" s="133"/>
      <c r="D2689" s="133"/>
      <c r="E2689" s="3"/>
      <c r="F2689">
        <v>2143</v>
      </c>
    </row>
    <row r="2690" spans="1:6" x14ac:dyDescent="0.25">
      <c r="A2690">
        <v>7846</v>
      </c>
      <c r="B2690" s="15">
        <v>45467</v>
      </c>
      <c r="C2690" s="105">
        <v>0.35416666666666669</v>
      </c>
      <c r="D2690" s="106">
        <v>0.70000000000000007</v>
      </c>
      <c r="F2690">
        <v>2144</v>
      </c>
    </row>
    <row r="2691" spans="1:6" x14ac:dyDescent="0.25">
      <c r="A2691">
        <v>7846</v>
      </c>
      <c r="B2691" s="15">
        <v>45468</v>
      </c>
      <c r="C2691" s="106">
        <v>0.375</v>
      </c>
      <c r="D2691" s="108">
        <v>0.72083333333333333</v>
      </c>
      <c r="E2691" s="3"/>
      <c r="F2691">
        <v>2145</v>
      </c>
    </row>
    <row r="2692" spans="1:6" x14ac:dyDescent="0.25">
      <c r="A2692">
        <v>7846</v>
      </c>
      <c r="B2692" s="15">
        <v>45469</v>
      </c>
      <c r="C2692" s="105">
        <v>0.35416666666666669</v>
      </c>
      <c r="D2692" s="106">
        <v>0.70000000000000007</v>
      </c>
      <c r="E2692" s="3"/>
      <c r="F2692">
        <v>2146</v>
      </c>
    </row>
    <row r="2693" spans="1:6" x14ac:dyDescent="0.25">
      <c r="A2693">
        <v>7846</v>
      </c>
      <c r="B2693" s="15">
        <v>45470</v>
      </c>
      <c r="C2693" s="106">
        <v>0.375</v>
      </c>
      <c r="D2693" s="108">
        <v>0.72083333333333333</v>
      </c>
      <c r="F2693">
        <v>2147</v>
      </c>
    </row>
    <row r="2694" spans="1:6" x14ac:dyDescent="0.25">
      <c r="A2694">
        <v>7846</v>
      </c>
      <c r="B2694" s="15">
        <v>45471</v>
      </c>
      <c r="C2694" s="106">
        <v>0.375</v>
      </c>
      <c r="D2694" s="108">
        <v>0.72083333333333333</v>
      </c>
      <c r="E2694" s="3"/>
      <c r="F2694">
        <v>2148</v>
      </c>
    </row>
    <row r="2695" spans="1:6" x14ac:dyDescent="0.25">
      <c r="A2695">
        <v>7846</v>
      </c>
      <c r="B2695" s="15">
        <v>45472</v>
      </c>
      <c r="C2695" s="133"/>
      <c r="D2695" s="133"/>
      <c r="F2695">
        <v>2149</v>
      </c>
    </row>
    <row r="2696" spans="1:6" x14ac:dyDescent="0.25">
      <c r="A2696">
        <v>7846</v>
      </c>
      <c r="B2696" s="15">
        <v>45473</v>
      </c>
      <c r="C2696" s="133"/>
      <c r="D2696" s="133"/>
      <c r="E2696" s="3"/>
      <c r="F2696">
        <v>2150</v>
      </c>
    </row>
    <row r="2697" spans="1:6" x14ac:dyDescent="0.25">
      <c r="A2697">
        <v>7846</v>
      </c>
      <c r="B2697" s="15">
        <v>45474</v>
      </c>
      <c r="C2697" s="132">
        <v>0.44791666666666669</v>
      </c>
      <c r="D2697" s="105">
        <v>0.79375000000000007</v>
      </c>
      <c r="E2697" s="3"/>
      <c r="F2697">
        <v>2151</v>
      </c>
    </row>
    <row r="2698" spans="1:6" x14ac:dyDescent="0.25">
      <c r="A2698">
        <v>7846</v>
      </c>
      <c r="B2698" s="15">
        <v>45475</v>
      </c>
      <c r="C2698" s="105">
        <v>0.35416666666666669</v>
      </c>
      <c r="D2698" s="106">
        <v>0.70000000000000007</v>
      </c>
      <c r="E2698" s="3"/>
      <c r="F2698">
        <v>2152</v>
      </c>
    </row>
    <row r="2699" spans="1:6" x14ac:dyDescent="0.25">
      <c r="A2699">
        <v>7846</v>
      </c>
      <c r="B2699" s="15">
        <v>45476</v>
      </c>
      <c r="C2699" s="106">
        <v>0.375</v>
      </c>
      <c r="D2699" s="108">
        <v>0.72083333333333333</v>
      </c>
      <c r="E2699" s="3"/>
      <c r="F2699">
        <v>2153</v>
      </c>
    </row>
    <row r="2700" spans="1:6" x14ac:dyDescent="0.25">
      <c r="A2700">
        <v>7846</v>
      </c>
      <c r="B2700" s="15">
        <v>45477</v>
      </c>
      <c r="C2700" s="106">
        <v>0.375</v>
      </c>
      <c r="D2700" s="108">
        <v>0.72083333333333333</v>
      </c>
      <c r="F2700">
        <v>2154</v>
      </c>
    </row>
    <row r="2701" spans="1:6" x14ac:dyDescent="0.25">
      <c r="A2701">
        <v>7846</v>
      </c>
      <c r="B2701" s="15">
        <v>45478</v>
      </c>
      <c r="C2701" s="105">
        <v>0.35416666666666669</v>
      </c>
      <c r="D2701" s="106">
        <v>0.70000000000000007</v>
      </c>
      <c r="E2701" s="3"/>
      <c r="F2701">
        <v>2155</v>
      </c>
    </row>
    <row r="2702" spans="1:6" x14ac:dyDescent="0.25">
      <c r="A2702">
        <v>7846</v>
      </c>
      <c r="B2702" s="15">
        <v>45479</v>
      </c>
      <c r="C2702" s="133"/>
      <c r="D2702" s="133"/>
      <c r="E2702" s="3"/>
      <c r="F2702">
        <v>2156</v>
      </c>
    </row>
    <row r="2703" spans="1:6" x14ac:dyDescent="0.25">
      <c r="A2703">
        <v>7846</v>
      </c>
      <c r="B2703" s="15">
        <v>45480</v>
      </c>
      <c r="C2703" s="133"/>
      <c r="D2703" s="133"/>
      <c r="E2703" s="3"/>
      <c r="F2703">
        <v>2157</v>
      </c>
    </row>
    <row r="2704" spans="1:6" x14ac:dyDescent="0.25">
      <c r="A2704">
        <v>7846</v>
      </c>
      <c r="B2704" s="15">
        <v>45481</v>
      </c>
      <c r="C2704" s="105">
        <v>0.35416666666666669</v>
      </c>
      <c r="D2704" s="106">
        <v>0.70000000000000007</v>
      </c>
      <c r="E2704" s="3"/>
      <c r="F2704">
        <v>2158</v>
      </c>
    </row>
    <row r="2705" spans="1:6" x14ac:dyDescent="0.25">
      <c r="A2705">
        <v>7846</v>
      </c>
      <c r="B2705" s="15">
        <v>45482</v>
      </c>
      <c r="C2705" s="106">
        <v>0.375</v>
      </c>
      <c r="D2705" s="108">
        <v>0.72083333333333333</v>
      </c>
      <c r="E2705" s="3"/>
      <c r="F2705">
        <v>2159</v>
      </c>
    </row>
    <row r="2706" spans="1:6" x14ac:dyDescent="0.25">
      <c r="A2706">
        <v>7846</v>
      </c>
      <c r="B2706" s="15">
        <v>45483</v>
      </c>
      <c r="C2706" s="105">
        <v>0.35416666666666669</v>
      </c>
      <c r="D2706" s="106">
        <v>0.70000000000000007</v>
      </c>
      <c r="E2706" s="3"/>
      <c r="F2706">
        <v>2160</v>
      </c>
    </row>
    <row r="2707" spans="1:6" x14ac:dyDescent="0.25">
      <c r="A2707">
        <v>7846</v>
      </c>
      <c r="B2707" s="15">
        <v>45484</v>
      </c>
      <c r="C2707" s="106">
        <v>0.375</v>
      </c>
      <c r="D2707" s="108">
        <v>0.72083333333333333</v>
      </c>
      <c r="E2707" s="3"/>
      <c r="F2707">
        <v>2161</v>
      </c>
    </row>
    <row r="2708" spans="1:6" x14ac:dyDescent="0.25">
      <c r="A2708">
        <v>7846</v>
      </c>
      <c r="B2708" s="15">
        <v>45485</v>
      </c>
      <c r="C2708" s="106">
        <v>0.375</v>
      </c>
      <c r="D2708" s="108">
        <v>0.72083333333333333</v>
      </c>
      <c r="F2708">
        <v>2162</v>
      </c>
    </row>
    <row r="2709" spans="1:6" x14ac:dyDescent="0.25">
      <c r="A2709">
        <v>7846</v>
      </c>
      <c r="B2709" s="15">
        <v>45486</v>
      </c>
      <c r="C2709" s="133"/>
      <c r="D2709" s="133"/>
      <c r="E2709" s="3"/>
      <c r="F2709">
        <v>2163</v>
      </c>
    </row>
    <row r="2710" spans="1:6" x14ac:dyDescent="0.25">
      <c r="A2710">
        <v>7846</v>
      </c>
      <c r="B2710" s="15">
        <v>45487</v>
      </c>
      <c r="C2710" s="133"/>
      <c r="D2710" s="133"/>
      <c r="F2710">
        <v>2164</v>
      </c>
    </row>
    <row r="2711" spans="1:6" x14ac:dyDescent="0.25">
      <c r="A2711">
        <v>7846</v>
      </c>
      <c r="B2711" s="15">
        <v>45488</v>
      </c>
      <c r="C2711" s="132">
        <v>0.44791666666666669</v>
      </c>
      <c r="D2711" s="105">
        <v>0.79375000000000007</v>
      </c>
      <c r="E2711" s="3"/>
      <c r="F2711">
        <v>2165</v>
      </c>
    </row>
    <row r="2712" spans="1:6" x14ac:dyDescent="0.25">
      <c r="A2712">
        <v>7846</v>
      </c>
      <c r="B2712" s="15">
        <v>45489</v>
      </c>
      <c r="C2712" s="106">
        <v>0.375</v>
      </c>
      <c r="D2712" s="108">
        <v>0.72083333333333333</v>
      </c>
      <c r="E2712" s="3"/>
      <c r="F2712">
        <v>2166</v>
      </c>
    </row>
    <row r="2713" spans="1:6" x14ac:dyDescent="0.25">
      <c r="A2713">
        <v>7846</v>
      </c>
      <c r="B2713" s="15">
        <v>45490</v>
      </c>
      <c r="C2713" s="105">
        <v>0.35416666666666669</v>
      </c>
      <c r="D2713" s="106">
        <v>0.70000000000000007</v>
      </c>
      <c r="E2713" s="3"/>
      <c r="F2713">
        <v>2167</v>
      </c>
    </row>
    <row r="2714" spans="1:6" x14ac:dyDescent="0.25">
      <c r="A2714">
        <v>7846</v>
      </c>
      <c r="B2714" s="15">
        <v>45491</v>
      </c>
      <c r="C2714" s="106">
        <v>0.375</v>
      </c>
      <c r="D2714" s="108">
        <v>0.72083333333333333</v>
      </c>
      <c r="E2714" s="3"/>
      <c r="F2714">
        <v>2168</v>
      </c>
    </row>
    <row r="2715" spans="1:6" x14ac:dyDescent="0.25">
      <c r="A2715">
        <v>7846</v>
      </c>
      <c r="B2715" s="15">
        <v>45492</v>
      </c>
      <c r="C2715" s="106">
        <v>0.375</v>
      </c>
      <c r="D2715" s="108">
        <v>0.72083333333333333</v>
      </c>
      <c r="E2715" s="3"/>
      <c r="F2715">
        <v>2169</v>
      </c>
    </row>
    <row r="2716" spans="1:6" x14ac:dyDescent="0.25">
      <c r="A2716">
        <v>7846</v>
      </c>
      <c r="B2716" s="15">
        <v>45493</v>
      </c>
      <c r="C2716" s="133"/>
      <c r="D2716" s="133"/>
      <c r="E2716" s="3"/>
      <c r="F2716">
        <v>2170</v>
      </c>
    </row>
    <row r="2717" spans="1:6" x14ac:dyDescent="0.25">
      <c r="A2717">
        <v>7846</v>
      </c>
      <c r="B2717" s="15">
        <v>45494</v>
      </c>
      <c r="C2717" s="133"/>
      <c r="D2717" s="133"/>
      <c r="E2717" s="3"/>
      <c r="F2717">
        <v>2171</v>
      </c>
    </row>
    <row r="2718" spans="1:6" x14ac:dyDescent="0.25">
      <c r="A2718">
        <v>7846</v>
      </c>
      <c r="B2718" s="15">
        <v>45495</v>
      </c>
      <c r="C2718" s="105">
        <v>0.35416666666666669</v>
      </c>
      <c r="D2718" s="106">
        <v>0.70000000000000007</v>
      </c>
      <c r="E2718" s="3"/>
      <c r="F2718">
        <v>2172</v>
      </c>
    </row>
    <row r="2719" spans="1:6" x14ac:dyDescent="0.25">
      <c r="A2719">
        <v>7846</v>
      </c>
      <c r="B2719" s="15">
        <v>45496</v>
      </c>
      <c r="C2719" s="106">
        <v>0.375</v>
      </c>
      <c r="D2719" s="108">
        <v>0.72083333333333333</v>
      </c>
      <c r="E2719" s="3"/>
      <c r="F2719">
        <v>2173</v>
      </c>
    </row>
    <row r="2720" spans="1:6" x14ac:dyDescent="0.25">
      <c r="A2720">
        <v>7846</v>
      </c>
      <c r="B2720" s="15">
        <v>45497</v>
      </c>
      <c r="C2720" s="105">
        <v>0.35416666666666669</v>
      </c>
      <c r="D2720" s="106">
        <v>0.70000000000000007</v>
      </c>
      <c r="E2720" s="3"/>
      <c r="F2720">
        <v>2174</v>
      </c>
    </row>
    <row r="2721" spans="1:6" x14ac:dyDescent="0.25">
      <c r="A2721">
        <v>7846</v>
      </c>
      <c r="B2721" s="15">
        <v>45498</v>
      </c>
      <c r="C2721" s="106">
        <v>0.375</v>
      </c>
      <c r="D2721" s="108">
        <v>0.72083333333333333</v>
      </c>
      <c r="F2721">
        <v>2175</v>
      </c>
    </row>
    <row r="2722" spans="1:6" x14ac:dyDescent="0.25">
      <c r="A2722">
        <v>7846</v>
      </c>
      <c r="B2722" s="15">
        <v>45499</v>
      </c>
      <c r="C2722" s="106">
        <v>0.375</v>
      </c>
      <c r="D2722" s="108">
        <v>0.72083333333333333</v>
      </c>
      <c r="E2722" s="3"/>
      <c r="F2722">
        <v>2176</v>
      </c>
    </row>
    <row r="2723" spans="1:6" x14ac:dyDescent="0.25">
      <c r="A2723">
        <v>7846</v>
      </c>
      <c r="B2723" s="15">
        <v>45500</v>
      </c>
      <c r="C2723" s="133"/>
      <c r="D2723" s="133"/>
      <c r="E2723" s="3"/>
      <c r="F2723">
        <v>2177</v>
      </c>
    </row>
    <row r="2724" spans="1:6" x14ac:dyDescent="0.25">
      <c r="A2724">
        <v>7846</v>
      </c>
      <c r="B2724" s="15">
        <v>45501</v>
      </c>
      <c r="C2724" s="133"/>
      <c r="D2724" s="133"/>
      <c r="F2724">
        <v>2178</v>
      </c>
    </row>
    <row r="2725" spans="1:6" x14ac:dyDescent="0.25">
      <c r="A2725">
        <v>7846</v>
      </c>
      <c r="B2725" s="15">
        <v>45502</v>
      </c>
      <c r="C2725" s="132">
        <v>0.44791666666666669</v>
      </c>
      <c r="D2725" s="105">
        <v>0.79375000000000007</v>
      </c>
      <c r="E2725" s="3"/>
      <c r="F2725">
        <v>2179</v>
      </c>
    </row>
    <row r="2726" spans="1:6" x14ac:dyDescent="0.25">
      <c r="A2726">
        <v>7846</v>
      </c>
      <c r="B2726" s="15">
        <v>45503</v>
      </c>
      <c r="C2726" s="105">
        <v>0.35416666666666669</v>
      </c>
      <c r="D2726" s="106">
        <v>0.70000000000000007</v>
      </c>
      <c r="F2726">
        <v>2180</v>
      </c>
    </row>
    <row r="2727" spans="1:6" x14ac:dyDescent="0.25">
      <c r="A2727">
        <v>7846</v>
      </c>
      <c r="B2727" s="15">
        <v>45504</v>
      </c>
      <c r="C2727" s="106">
        <v>0.375</v>
      </c>
      <c r="D2727" s="108">
        <v>0.72083333333333333</v>
      </c>
      <c r="E2727" s="3"/>
      <c r="F2727">
        <v>2181</v>
      </c>
    </row>
    <row r="2728" spans="1:6" x14ac:dyDescent="0.25">
      <c r="A2728">
        <v>7846</v>
      </c>
      <c r="B2728" s="15">
        <v>45505</v>
      </c>
      <c r="C2728" s="106">
        <v>0.375</v>
      </c>
      <c r="D2728" s="108">
        <v>0.72083333333333333</v>
      </c>
      <c r="E2728" s="3"/>
      <c r="F2728">
        <v>2182</v>
      </c>
    </row>
    <row r="2729" spans="1:6" x14ac:dyDescent="0.25">
      <c r="A2729">
        <v>7846</v>
      </c>
      <c r="B2729" s="15">
        <v>45506</v>
      </c>
      <c r="C2729" s="105">
        <v>0.35416666666666669</v>
      </c>
      <c r="D2729" s="106">
        <v>0.70000000000000007</v>
      </c>
      <c r="E2729" s="3"/>
      <c r="F2729">
        <v>2183</v>
      </c>
    </row>
    <row r="2730" spans="1:6" x14ac:dyDescent="0.25">
      <c r="A2730">
        <v>7846</v>
      </c>
      <c r="B2730" s="15">
        <v>45507</v>
      </c>
      <c r="C2730" s="133"/>
      <c r="D2730" s="133"/>
      <c r="E2730" s="3"/>
      <c r="F2730">
        <v>2184</v>
      </c>
    </row>
    <row r="2731" spans="1:6" x14ac:dyDescent="0.25">
      <c r="A2731">
        <v>7846</v>
      </c>
      <c r="B2731" s="15">
        <v>45508</v>
      </c>
      <c r="C2731" s="133"/>
      <c r="D2731" s="133"/>
      <c r="F2731">
        <v>2185</v>
      </c>
    </row>
    <row r="2732" spans="1:6" x14ac:dyDescent="0.25">
      <c r="A2732">
        <v>7846</v>
      </c>
      <c r="B2732" s="15">
        <v>45509</v>
      </c>
      <c r="C2732" s="105">
        <v>0.35416666666666669</v>
      </c>
      <c r="D2732" s="106">
        <v>0.70000000000000007</v>
      </c>
      <c r="E2732" s="3"/>
      <c r="F2732">
        <v>2186</v>
      </c>
    </row>
    <row r="2733" spans="1:6" x14ac:dyDescent="0.25">
      <c r="A2733">
        <v>7846</v>
      </c>
      <c r="B2733" s="15">
        <v>45510</v>
      </c>
      <c r="C2733" s="106">
        <v>0.375</v>
      </c>
      <c r="D2733" s="108">
        <v>0.72083333333333333</v>
      </c>
      <c r="E2733" s="3"/>
      <c r="F2733">
        <v>2187</v>
      </c>
    </row>
    <row r="2734" spans="1:6" x14ac:dyDescent="0.25">
      <c r="A2734">
        <v>7846</v>
      </c>
      <c r="B2734" s="15">
        <v>45511</v>
      </c>
      <c r="C2734" s="105">
        <v>0.35416666666666669</v>
      </c>
      <c r="D2734" s="106">
        <v>0.70000000000000007</v>
      </c>
      <c r="E2734" s="3"/>
      <c r="F2734">
        <v>2188</v>
      </c>
    </row>
    <row r="2735" spans="1:6" x14ac:dyDescent="0.25">
      <c r="A2735">
        <v>7846</v>
      </c>
      <c r="B2735" s="15">
        <v>45512</v>
      </c>
      <c r="C2735" s="106">
        <v>0.375</v>
      </c>
      <c r="D2735" s="108">
        <v>0.72083333333333333</v>
      </c>
      <c r="E2735" s="3"/>
      <c r="F2735">
        <v>2189</v>
      </c>
    </row>
    <row r="2736" spans="1:6" x14ac:dyDescent="0.25">
      <c r="A2736">
        <v>7846</v>
      </c>
      <c r="B2736" s="15">
        <v>45513</v>
      </c>
      <c r="C2736" s="106">
        <v>0.375</v>
      </c>
      <c r="D2736" s="108">
        <v>0.72083333333333333</v>
      </c>
      <c r="E2736" s="3"/>
      <c r="F2736">
        <v>2190</v>
      </c>
    </row>
    <row r="2737" spans="1:6" x14ac:dyDescent="0.25">
      <c r="A2737">
        <v>7846</v>
      </c>
      <c r="B2737" s="15">
        <v>45514</v>
      </c>
      <c r="C2737" s="133"/>
      <c r="D2737" s="133"/>
      <c r="E2737" s="3"/>
      <c r="F2737">
        <v>2191</v>
      </c>
    </row>
    <row r="2738" spans="1:6" x14ac:dyDescent="0.25">
      <c r="A2738">
        <v>7846</v>
      </c>
      <c r="B2738" s="15">
        <v>45515</v>
      </c>
      <c r="C2738" s="133"/>
      <c r="D2738" s="133"/>
      <c r="E2738" s="3"/>
      <c r="F2738">
        <v>2192</v>
      </c>
    </row>
    <row r="2739" spans="1:6" x14ac:dyDescent="0.25">
      <c r="A2739">
        <v>7846</v>
      </c>
      <c r="B2739" s="15">
        <v>45516</v>
      </c>
      <c r="C2739" s="132">
        <v>0.44791666666666669</v>
      </c>
      <c r="D2739" s="105">
        <v>0.79375000000000007</v>
      </c>
      <c r="F2739">
        <v>2193</v>
      </c>
    </row>
    <row r="2740" spans="1:6" x14ac:dyDescent="0.25">
      <c r="A2740">
        <v>7846</v>
      </c>
      <c r="B2740" s="15">
        <v>45517</v>
      </c>
      <c r="C2740" s="106">
        <v>0.375</v>
      </c>
      <c r="D2740" s="108">
        <v>0.72083333333333333</v>
      </c>
      <c r="E2740" s="3"/>
      <c r="F2740">
        <v>2194</v>
      </c>
    </row>
    <row r="2741" spans="1:6" x14ac:dyDescent="0.25">
      <c r="A2741">
        <v>7846</v>
      </c>
      <c r="B2741" s="15">
        <v>45518</v>
      </c>
      <c r="C2741" s="105">
        <v>0.35416666666666669</v>
      </c>
      <c r="D2741" s="106">
        <v>0.70000000000000007</v>
      </c>
      <c r="F2741">
        <v>2195</v>
      </c>
    </row>
    <row r="2742" spans="1:6" x14ac:dyDescent="0.25">
      <c r="A2742">
        <v>7846</v>
      </c>
      <c r="B2742" s="15">
        <v>45519</v>
      </c>
      <c r="C2742" s="106">
        <v>0.375</v>
      </c>
      <c r="D2742" s="108">
        <v>0.72083333333333333</v>
      </c>
      <c r="E2742" s="3"/>
      <c r="F2742">
        <v>2196</v>
      </c>
    </row>
    <row r="2743" spans="1:6" x14ac:dyDescent="0.25">
      <c r="A2743">
        <v>7846</v>
      </c>
      <c r="B2743" s="15">
        <v>45520</v>
      </c>
      <c r="C2743" s="106">
        <v>0.375</v>
      </c>
      <c r="D2743" s="108">
        <v>0.72083333333333333</v>
      </c>
      <c r="E2743" s="3"/>
      <c r="F2743">
        <v>2197</v>
      </c>
    </row>
    <row r="2744" spans="1:6" x14ac:dyDescent="0.25">
      <c r="A2744">
        <v>7846</v>
      </c>
      <c r="B2744" s="15">
        <v>45521</v>
      </c>
      <c r="C2744" s="133"/>
      <c r="D2744" s="133"/>
      <c r="E2744" s="3"/>
      <c r="F2744">
        <v>2198</v>
      </c>
    </row>
    <row r="2745" spans="1:6" x14ac:dyDescent="0.25">
      <c r="A2745">
        <v>7846</v>
      </c>
      <c r="B2745" s="15">
        <v>45522</v>
      </c>
      <c r="C2745" s="133"/>
      <c r="D2745" s="133"/>
      <c r="E2745" s="3"/>
      <c r="F2745">
        <v>2199</v>
      </c>
    </row>
    <row r="2746" spans="1:6" x14ac:dyDescent="0.25">
      <c r="A2746">
        <v>7846</v>
      </c>
      <c r="B2746" s="15">
        <v>45523</v>
      </c>
      <c r="C2746" s="105">
        <v>0.35416666666666669</v>
      </c>
      <c r="D2746" s="106">
        <v>0.70000000000000007</v>
      </c>
      <c r="E2746" s="3"/>
      <c r="F2746">
        <v>2200</v>
      </c>
    </row>
    <row r="2747" spans="1:6" x14ac:dyDescent="0.25">
      <c r="A2747">
        <v>7846</v>
      </c>
      <c r="B2747" s="15">
        <v>45524</v>
      </c>
      <c r="C2747" s="106">
        <v>0.375</v>
      </c>
      <c r="D2747" s="108">
        <v>0.72083333333333333</v>
      </c>
      <c r="E2747" s="3"/>
      <c r="F2747">
        <v>2201</v>
      </c>
    </row>
    <row r="2748" spans="1:6" x14ac:dyDescent="0.25">
      <c r="A2748">
        <v>7846</v>
      </c>
      <c r="B2748" s="15">
        <v>45525</v>
      </c>
      <c r="C2748" s="105">
        <v>0.35416666666666669</v>
      </c>
      <c r="D2748" s="106">
        <v>0.70000000000000007</v>
      </c>
      <c r="E2748" s="3"/>
      <c r="F2748">
        <v>2202</v>
      </c>
    </row>
    <row r="2749" spans="1:6" x14ac:dyDescent="0.25">
      <c r="A2749">
        <v>7846</v>
      </c>
      <c r="B2749" s="15">
        <v>45526</v>
      </c>
      <c r="C2749" s="106">
        <v>0.375</v>
      </c>
      <c r="D2749" s="108">
        <v>0.72083333333333333</v>
      </c>
      <c r="E2749" s="3"/>
      <c r="F2749">
        <v>2203</v>
      </c>
    </row>
    <row r="2750" spans="1:6" x14ac:dyDescent="0.25">
      <c r="A2750">
        <v>7846</v>
      </c>
      <c r="B2750" s="15">
        <v>45527</v>
      </c>
      <c r="C2750" s="106">
        <v>0.375</v>
      </c>
      <c r="D2750" s="108">
        <v>0.72083333333333333</v>
      </c>
      <c r="E2750" s="3"/>
      <c r="F2750">
        <v>2204</v>
      </c>
    </row>
    <row r="2751" spans="1:6" x14ac:dyDescent="0.25">
      <c r="A2751">
        <v>7846</v>
      </c>
      <c r="B2751" s="15">
        <v>45528</v>
      </c>
      <c r="C2751" s="133"/>
      <c r="D2751" s="133"/>
      <c r="E2751" s="3"/>
      <c r="F2751">
        <v>2205</v>
      </c>
    </row>
    <row r="2752" spans="1:6" x14ac:dyDescent="0.25">
      <c r="A2752">
        <v>7846</v>
      </c>
      <c r="B2752" s="15">
        <v>45529</v>
      </c>
      <c r="C2752" s="133"/>
      <c r="D2752" s="133"/>
      <c r="F2752">
        <v>2206</v>
      </c>
    </row>
    <row r="2753" spans="1:6" x14ac:dyDescent="0.25">
      <c r="A2753">
        <v>7846</v>
      </c>
      <c r="B2753" s="15">
        <v>45530</v>
      </c>
      <c r="C2753" s="132">
        <v>0.44791666666666669</v>
      </c>
      <c r="D2753" s="105">
        <v>0.79375000000000007</v>
      </c>
      <c r="E2753" s="3"/>
      <c r="F2753">
        <v>2207</v>
      </c>
    </row>
    <row r="2754" spans="1:6" x14ac:dyDescent="0.25">
      <c r="A2754">
        <v>7846</v>
      </c>
      <c r="B2754" s="15">
        <v>45531</v>
      </c>
      <c r="C2754" s="105">
        <v>0.35416666666666669</v>
      </c>
      <c r="D2754" s="106">
        <v>0.70000000000000007</v>
      </c>
      <c r="E2754" s="3"/>
      <c r="F2754">
        <v>2208</v>
      </c>
    </row>
    <row r="2755" spans="1:6" x14ac:dyDescent="0.25">
      <c r="A2755">
        <v>7846</v>
      </c>
      <c r="B2755" s="15">
        <v>45532</v>
      </c>
      <c r="C2755" s="106">
        <v>0.375</v>
      </c>
      <c r="D2755" s="108">
        <v>0.72083333333333333</v>
      </c>
      <c r="F2755">
        <v>2209</v>
      </c>
    </row>
    <row r="2756" spans="1:6" x14ac:dyDescent="0.25">
      <c r="A2756">
        <v>7846</v>
      </c>
      <c r="B2756" s="15">
        <v>45533</v>
      </c>
      <c r="C2756" s="106">
        <v>0.375</v>
      </c>
      <c r="D2756" s="108">
        <v>0.72083333333333333</v>
      </c>
      <c r="E2756" s="3"/>
      <c r="F2756">
        <v>2210</v>
      </c>
    </row>
    <row r="2757" spans="1:6" x14ac:dyDescent="0.25">
      <c r="A2757">
        <v>7846</v>
      </c>
      <c r="B2757" s="15">
        <v>45534</v>
      </c>
      <c r="C2757" s="105">
        <v>0.35416666666666669</v>
      </c>
      <c r="D2757" s="106">
        <v>0.70000000000000007</v>
      </c>
      <c r="F2757">
        <v>2211</v>
      </c>
    </row>
    <row r="2758" spans="1:6" x14ac:dyDescent="0.25">
      <c r="A2758">
        <v>7846</v>
      </c>
      <c r="B2758" s="15">
        <v>45535</v>
      </c>
      <c r="C2758" s="133"/>
      <c r="D2758" s="133"/>
      <c r="E2758" s="3"/>
      <c r="F2758">
        <v>2212</v>
      </c>
    </row>
    <row r="2759" spans="1:6" x14ac:dyDescent="0.25">
      <c r="A2759">
        <v>7846</v>
      </c>
      <c r="B2759" s="15">
        <v>45536</v>
      </c>
      <c r="C2759" s="133"/>
      <c r="D2759" s="133"/>
      <c r="E2759" s="3"/>
      <c r="F2759">
        <v>2213</v>
      </c>
    </row>
    <row r="2760" spans="1:6" x14ac:dyDescent="0.25">
      <c r="A2760">
        <v>7846</v>
      </c>
      <c r="B2760" s="15">
        <v>45537</v>
      </c>
      <c r="C2760" s="105">
        <v>0.35416666666666669</v>
      </c>
      <c r="D2760" s="106">
        <v>0.70000000000000007</v>
      </c>
      <c r="E2760" s="3"/>
      <c r="F2760">
        <v>2214</v>
      </c>
    </row>
    <row r="2761" spans="1:6" x14ac:dyDescent="0.25">
      <c r="A2761">
        <v>7846</v>
      </c>
      <c r="B2761" s="15">
        <v>45538</v>
      </c>
      <c r="C2761" s="106">
        <v>0.375</v>
      </c>
      <c r="D2761" s="108">
        <v>0.72083333333333333</v>
      </c>
      <c r="E2761" s="3"/>
      <c r="F2761">
        <v>2215</v>
      </c>
    </row>
    <row r="2762" spans="1:6" x14ac:dyDescent="0.25">
      <c r="A2762">
        <v>7846</v>
      </c>
      <c r="B2762" s="15">
        <v>45539</v>
      </c>
      <c r="C2762" s="105">
        <v>0.35416666666666669</v>
      </c>
      <c r="D2762" s="106">
        <v>0.70000000000000007</v>
      </c>
      <c r="F2762">
        <v>2216</v>
      </c>
    </row>
    <row r="2763" spans="1:6" x14ac:dyDescent="0.25">
      <c r="A2763">
        <v>7846</v>
      </c>
      <c r="B2763" s="15">
        <v>45540</v>
      </c>
      <c r="C2763" s="106">
        <v>0.375</v>
      </c>
      <c r="D2763" s="108">
        <v>0.72083333333333333</v>
      </c>
      <c r="E2763" s="3"/>
      <c r="F2763">
        <v>2217</v>
      </c>
    </row>
    <row r="2764" spans="1:6" x14ac:dyDescent="0.25">
      <c r="A2764">
        <v>7846</v>
      </c>
      <c r="B2764" s="15">
        <v>45541</v>
      </c>
      <c r="C2764" s="106">
        <v>0.375</v>
      </c>
      <c r="D2764" s="108">
        <v>0.72083333333333333</v>
      </c>
      <c r="E2764" s="3"/>
      <c r="F2764">
        <v>2218</v>
      </c>
    </row>
    <row r="2765" spans="1:6" x14ac:dyDescent="0.25">
      <c r="A2765">
        <v>7846</v>
      </c>
      <c r="B2765" s="15">
        <v>45542</v>
      </c>
      <c r="C2765" s="133"/>
      <c r="D2765" s="133"/>
      <c r="E2765" s="3"/>
      <c r="F2765">
        <v>2219</v>
      </c>
    </row>
    <row r="2766" spans="1:6" x14ac:dyDescent="0.25">
      <c r="A2766">
        <v>7846</v>
      </c>
      <c r="B2766" s="15">
        <v>45543</v>
      </c>
      <c r="C2766" s="133"/>
      <c r="D2766" s="133"/>
      <c r="E2766" s="3"/>
      <c r="F2766">
        <v>2220</v>
      </c>
    </row>
    <row r="2767" spans="1:6" x14ac:dyDescent="0.25">
      <c r="A2767">
        <v>7846</v>
      </c>
      <c r="B2767" s="15">
        <v>45544</v>
      </c>
      <c r="C2767" s="132">
        <v>0.44791666666666669</v>
      </c>
      <c r="D2767" s="105">
        <v>0.79375000000000007</v>
      </c>
      <c r="E2767" s="3"/>
      <c r="F2767">
        <v>2221</v>
      </c>
    </row>
    <row r="2768" spans="1:6" x14ac:dyDescent="0.25">
      <c r="A2768">
        <v>7846</v>
      </c>
      <c r="B2768" s="15">
        <v>45545</v>
      </c>
      <c r="C2768" s="106">
        <v>0.375</v>
      </c>
      <c r="D2768" s="108">
        <v>0.72083333333333333</v>
      </c>
      <c r="E2768" s="3"/>
      <c r="F2768">
        <v>2222</v>
      </c>
    </row>
    <row r="2769" spans="1:6" x14ac:dyDescent="0.25">
      <c r="A2769">
        <v>7846</v>
      </c>
      <c r="B2769" s="15">
        <v>45546</v>
      </c>
      <c r="C2769" s="105">
        <v>0.35416666666666669</v>
      </c>
      <c r="D2769" s="106">
        <v>0.70000000000000007</v>
      </c>
      <c r="E2769" s="3"/>
      <c r="F2769">
        <v>2223</v>
      </c>
    </row>
    <row r="2770" spans="1:6" x14ac:dyDescent="0.25">
      <c r="A2770">
        <v>7846</v>
      </c>
      <c r="B2770" s="15">
        <v>45547</v>
      </c>
      <c r="C2770" s="106">
        <v>0.375</v>
      </c>
      <c r="D2770" s="108">
        <v>0.72083333333333333</v>
      </c>
      <c r="F2770">
        <v>2224</v>
      </c>
    </row>
    <row r="2771" spans="1:6" x14ac:dyDescent="0.25">
      <c r="A2771">
        <v>7846</v>
      </c>
      <c r="B2771" s="15">
        <v>45548</v>
      </c>
      <c r="C2771" s="106">
        <v>0.375</v>
      </c>
      <c r="D2771" s="108">
        <v>0.72083333333333333</v>
      </c>
      <c r="E2771" s="3"/>
      <c r="F2771">
        <v>2225</v>
      </c>
    </row>
    <row r="2772" spans="1:6" x14ac:dyDescent="0.25">
      <c r="A2772">
        <v>7846</v>
      </c>
      <c r="B2772" s="15">
        <v>45549</v>
      </c>
      <c r="C2772" s="133"/>
      <c r="D2772" s="133"/>
      <c r="F2772">
        <v>2226</v>
      </c>
    </row>
    <row r="2773" spans="1:6" x14ac:dyDescent="0.25">
      <c r="A2773">
        <v>7846</v>
      </c>
      <c r="B2773" s="15">
        <v>45550</v>
      </c>
      <c r="C2773" s="133"/>
      <c r="D2773" s="133"/>
      <c r="E2773" s="3"/>
      <c r="F2773">
        <v>2227</v>
      </c>
    </row>
    <row r="2774" spans="1:6" x14ac:dyDescent="0.25">
      <c r="A2774">
        <v>7846</v>
      </c>
      <c r="B2774" s="15">
        <v>45551</v>
      </c>
      <c r="C2774" s="105">
        <v>0.35416666666666669</v>
      </c>
      <c r="D2774" s="106">
        <v>0.70000000000000007</v>
      </c>
      <c r="E2774" s="3"/>
      <c r="F2774">
        <v>2228</v>
      </c>
    </row>
    <row r="2775" spans="1:6" x14ac:dyDescent="0.25">
      <c r="A2775">
        <v>7846</v>
      </c>
      <c r="B2775" s="15">
        <v>45552</v>
      </c>
      <c r="C2775" s="106">
        <v>0.375</v>
      </c>
      <c r="D2775" s="108">
        <v>0.72083333333333333</v>
      </c>
      <c r="E2775" s="3"/>
      <c r="F2775">
        <v>2229</v>
      </c>
    </row>
    <row r="2776" spans="1:6" x14ac:dyDescent="0.25">
      <c r="A2776">
        <v>7846</v>
      </c>
      <c r="B2776" s="15">
        <v>45553</v>
      </c>
      <c r="C2776" s="105">
        <v>0.35416666666666669</v>
      </c>
      <c r="D2776" s="106">
        <v>0.70000000000000007</v>
      </c>
      <c r="E2776" s="3"/>
      <c r="F2776">
        <v>2230</v>
      </c>
    </row>
    <row r="2777" spans="1:6" x14ac:dyDescent="0.25">
      <c r="A2777">
        <v>7846</v>
      </c>
      <c r="B2777" s="15">
        <v>45554</v>
      </c>
      <c r="C2777" s="106">
        <v>0.375</v>
      </c>
      <c r="D2777" s="108">
        <v>0.72083333333333333</v>
      </c>
      <c r="E2777" s="3"/>
      <c r="F2777">
        <v>2231</v>
      </c>
    </row>
    <row r="2778" spans="1:6" x14ac:dyDescent="0.25">
      <c r="A2778">
        <v>7846</v>
      </c>
      <c r="B2778" s="15">
        <v>45555</v>
      </c>
      <c r="C2778" s="106">
        <v>0.375</v>
      </c>
      <c r="D2778" s="108">
        <v>0.72083333333333333</v>
      </c>
      <c r="E2778" s="3"/>
      <c r="F2778">
        <v>2232</v>
      </c>
    </row>
    <row r="2779" spans="1:6" x14ac:dyDescent="0.25">
      <c r="A2779">
        <v>7846</v>
      </c>
      <c r="B2779" s="15">
        <v>45556</v>
      </c>
      <c r="C2779" s="133"/>
      <c r="D2779" s="133"/>
      <c r="E2779" s="3"/>
      <c r="F2779">
        <v>2233</v>
      </c>
    </row>
    <row r="2780" spans="1:6" x14ac:dyDescent="0.25">
      <c r="A2780">
        <v>7846</v>
      </c>
      <c r="B2780" s="15">
        <v>45557</v>
      </c>
      <c r="C2780" s="133"/>
      <c r="D2780" s="133"/>
      <c r="E2780" s="3"/>
      <c r="F2780">
        <v>2234</v>
      </c>
    </row>
    <row r="2781" spans="1:6" x14ac:dyDescent="0.25">
      <c r="A2781">
        <v>7846</v>
      </c>
      <c r="B2781" s="15">
        <v>45558</v>
      </c>
      <c r="C2781" s="132">
        <v>0.44791666666666669</v>
      </c>
      <c r="D2781" s="105">
        <v>0.79375000000000007</v>
      </c>
      <c r="E2781" s="3"/>
      <c r="F2781">
        <v>2235</v>
      </c>
    </row>
    <row r="2782" spans="1:6" x14ac:dyDescent="0.25">
      <c r="A2782">
        <v>7846</v>
      </c>
      <c r="B2782" s="15">
        <v>45559</v>
      </c>
      <c r="C2782" s="105">
        <v>0.35416666666666669</v>
      </c>
      <c r="D2782" s="106">
        <v>0.70000000000000007</v>
      </c>
      <c r="E2782" s="3"/>
      <c r="F2782">
        <v>2236</v>
      </c>
    </row>
    <row r="2783" spans="1:6" x14ac:dyDescent="0.25">
      <c r="A2783">
        <v>7846</v>
      </c>
      <c r="B2783" s="15">
        <v>45560</v>
      </c>
      <c r="C2783" s="106">
        <v>0.375</v>
      </c>
      <c r="D2783" s="108">
        <v>0.72083333333333333</v>
      </c>
      <c r="F2783">
        <v>2237</v>
      </c>
    </row>
    <row r="2784" spans="1:6" x14ac:dyDescent="0.25">
      <c r="A2784">
        <v>7846</v>
      </c>
      <c r="B2784" s="15">
        <v>45561</v>
      </c>
      <c r="C2784" s="106">
        <v>0.375</v>
      </c>
      <c r="D2784" s="108">
        <v>0.72083333333333333</v>
      </c>
      <c r="E2784" s="3"/>
      <c r="F2784">
        <v>2238</v>
      </c>
    </row>
    <row r="2785" spans="1:6" x14ac:dyDescent="0.25">
      <c r="A2785">
        <v>7846</v>
      </c>
      <c r="B2785" s="15">
        <v>45562</v>
      </c>
      <c r="C2785" s="105">
        <v>0.35416666666666669</v>
      </c>
      <c r="D2785" s="106">
        <v>0.70000000000000007</v>
      </c>
      <c r="E2785" s="3"/>
      <c r="F2785">
        <v>2239</v>
      </c>
    </row>
    <row r="2786" spans="1:6" x14ac:dyDescent="0.25">
      <c r="A2786">
        <v>7846</v>
      </c>
      <c r="B2786" s="15">
        <v>45563</v>
      </c>
      <c r="C2786" s="133"/>
      <c r="D2786" s="133"/>
      <c r="F2786">
        <v>2240</v>
      </c>
    </row>
    <row r="2787" spans="1:6" x14ac:dyDescent="0.25">
      <c r="A2787">
        <v>7846</v>
      </c>
      <c r="B2787" s="15">
        <v>45564</v>
      </c>
      <c r="C2787" s="133"/>
      <c r="D2787" s="133"/>
      <c r="E2787" s="3"/>
      <c r="F2787">
        <v>2241</v>
      </c>
    </row>
    <row r="2788" spans="1:6" x14ac:dyDescent="0.25">
      <c r="A2788">
        <v>7846</v>
      </c>
      <c r="B2788" s="15">
        <v>45565</v>
      </c>
      <c r="C2788" s="105">
        <v>0.35416666666666669</v>
      </c>
      <c r="D2788" s="106">
        <v>0.70000000000000007</v>
      </c>
      <c r="F2788">
        <v>2242</v>
      </c>
    </row>
    <row r="2789" spans="1:6" x14ac:dyDescent="0.25">
      <c r="A2789">
        <v>7846</v>
      </c>
      <c r="B2789" s="15">
        <v>45566</v>
      </c>
      <c r="C2789" s="106">
        <v>0.375</v>
      </c>
      <c r="D2789" s="108">
        <v>0.72083333333333333</v>
      </c>
      <c r="E2789" s="3"/>
      <c r="F2789">
        <v>2243</v>
      </c>
    </row>
    <row r="2790" spans="1:6" x14ac:dyDescent="0.25">
      <c r="A2790">
        <v>7846</v>
      </c>
      <c r="B2790" s="15">
        <v>45567</v>
      </c>
      <c r="C2790" s="105">
        <v>0.35416666666666669</v>
      </c>
      <c r="D2790" s="106">
        <v>0.70000000000000007</v>
      </c>
      <c r="E2790" s="3"/>
      <c r="F2790">
        <v>2244</v>
      </c>
    </row>
    <row r="2791" spans="1:6" x14ac:dyDescent="0.25">
      <c r="A2791">
        <v>7846</v>
      </c>
      <c r="B2791" s="15">
        <v>45568</v>
      </c>
      <c r="C2791" s="106">
        <v>0.375</v>
      </c>
      <c r="D2791" s="108">
        <v>0.72083333333333333</v>
      </c>
      <c r="E2791" s="3"/>
      <c r="F2791">
        <v>2245</v>
      </c>
    </row>
    <row r="2792" spans="1:6" x14ac:dyDescent="0.25">
      <c r="A2792">
        <v>7846</v>
      </c>
      <c r="B2792" s="15">
        <v>45569</v>
      </c>
      <c r="C2792" s="106">
        <v>0.375</v>
      </c>
      <c r="D2792" s="108">
        <v>0.72083333333333333</v>
      </c>
      <c r="E2792" s="3"/>
      <c r="F2792">
        <v>2246</v>
      </c>
    </row>
    <row r="2793" spans="1:6" x14ac:dyDescent="0.25">
      <c r="A2793">
        <v>7846</v>
      </c>
      <c r="B2793" s="15">
        <v>45570</v>
      </c>
      <c r="C2793" s="133"/>
      <c r="D2793" s="133"/>
      <c r="F2793">
        <v>2247</v>
      </c>
    </row>
    <row r="2794" spans="1:6" x14ac:dyDescent="0.25">
      <c r="A2794">
        <v>7846</v>
      </c>
      <c r="B2794" s="15">
        <v>45571</v>
      </c>
      <c r="C2794" s="133"/>
      <c r="D2794" s="133"/>
      <c r="E2794" s="3"/>
      <c r="F2794">
        <v>2248</v>
      </c>
    </row>
    <row r="2795" spans="1:6" x14ac:dyDescent="0.25">
      <c r="A2795">
        <v>7846</v>
      </c>
      <c r="B2795" s="15">
        <v>45572</v>
      </c>
      <c r="C2795" s="132">
        <v>0.44791666666666669</v>
      </c>
      <c r="D2795" s="105">
        <v>0.79375000000000007</v>
      </c>
      <c r="E2795" s="3"/>
      <c r="F2795">
        <v>2249</v>
      </c>
    </row>
    <row r="2796" spans="1:6" x14ac:dyDescent="0.25">
      <c r="A2796">
        <v>7846</v>
      </c>
      <c r="B2796" s="15">
        <v>45573</v>
      </c>
      <c r="C2796" s="106">
        <v>0.375</v>
      </c>
      <c r="D2796" s="108">
        <v>0.72083333333333333</v>
      </c>
      <c r="E2796" s="3"/>
      <c r="F2796">
        <v>2250</v>
      </c>
    </row>
    <row r="2797" spans="1:6" x14ac:dyDescent="0.25">
      <c r="A2797">
        <v>7846</v>
      </c>
      <c r="B2797" s="15">
        <v>45574</v>
      </c>
      <c r="C2797" s="105">
        <v>0.35416666666666669</v>
      </c>
      <c r="D2797" s="106">
        <v>0.70000000000000007</v>
      </c>
      <c r="E2797" s="3"/>
      <c r="F2797">
        <v>2251</v>
      </c>
    </row>
    <row r="2798" spans="1:6" x14ac:dyDescent="0.25">
      <c r="A2798">
        <v>7846</v>
      </c>
      <c r="B2798" s="15">
        <v>45575</v>
      </c>
      <c r="C2798" s="106">
        <v>0.375</v>
      </c>
      <c r="D2798" s="108">
        <v>0.72083333333333333</v>
      </c>
      <c r="E2798" s="3"/>
      <c r="F2798">
        <v>2252</v>
      </c>
    </row>
    <row r="2799" spans="1:6" x14ac:dyDescent="0.25">
      <c r="A2799">
        <v>7846</v>
      </c>
      <c r="B2799" s="15">
        <v>45576</v>
      </c>
      <c r="C2799" s="106">
        <v>0.375</v>
      </c>
      <c r="D2799" s="108">
        <v>0.72083333333333333</v>
      </c>
      <c r="E2799" s="3"/>
      <c r="F2799">
        <v>2253</v>
      </c>
    </row>
    <row r="2800" spans="1:6" x14ac:dyDescent="0.25">
      <c r="A2800">
        <v>7846</v>
      </c>
      <c r="B2800" s="15">
        <v>45577</v>
      </c>
      <c r="C2800" s="133"/>
      <c r="D2800" s="133"/>
      <c r="E2800" s="3"/>
      <c r="F2800">
        <v>2254</v>
      </c>
    </row>
    <row r="2801" spans="1:6" x14ac:dyDescent="0.25">
      <c r="A2801">
        <v>7846</v>
      </c>
      <c r="B2801" s="15">
        <v>45578</v>
      </c>
      <c r="C2801" s="133"/>
      <c r="D2801" s="133"/>
      <c r="F2801">
        <v>2255</v>
      </c>
    </row>
    <row r="2802" spans="1:6" x14ac:dyDescent="0.25">
      <c r="A2802">
        <v>7846</v>
      </c>
      <c r="B2802" s="15">
        <v>45579</v>
      </c>
      <c r="C2802" s="105">
        <v>0.35416666666666669</v>
      </c>
      <c r="D2802" s="106">
        <v>0.70000000000000007</v>
      </c>
      <c r="E2802" s="3"/>
      <c r="F2802">
        <v>2256</v>
      </c>
    </row>
    <row r="2803" spans="1:6" x14ac:dyDescent="0.25">
      <c r="A2803">
        <v>7846</v>
      </c>
      <c r="B2803" s="15">
        <v>45580</v>
      </c>
      <c r="C2803" s="106">
        <v>0.375</v>
      </c>
      <c r="D2803" s="108">
        <v>0.72083333333333333</v>
      </c>
      <c r="F2803">
        <v>2257</v>
      </c>
    </row>
    <row r="2804" spans="1:6" x14ac:dyDescent="0.25">
      <c r="A2804">
        <v>7846</v>
      </c>
      <c r="B2804" s="15">
        <v>45581</v>
      </c>
      <c r="C2804" s="105">
        <v>0.35416666666666669</v>
      </c>
      <c r="D2804" s="106">
        <v>0.70000000000000007</v>
      </c>
      <c r="E2804" s="3"/>
      <c r="F2804">
        <v>2258</v>
      </c>
    </row>
    <row r="2805" spans="1:6" x14ac:dyDescent="0.25">
      <c r="A2805">
        <v>7846</v>
      </c>
      <c r="B2805" s="15">
        <v>45582</v>
      </c>
      <c r="C2805" s="106">
        <v>0.375</v>
      </c>
      <c r="D2805" s="108">
        <v>0.72083333333333333</v>
      </c>
      <c r="E2805" s="3"/>
      <c r="F2805">
        <v>2259</v>
      </c>
    </row>
    <row r="2806" spans="1:6" x14ac:dyDescent="0.25">
      <c r="A2806">
        <v>7846</v>
      </c>
      <c r="B2806" s="15">
        <v>45583</v>
      </c>
      <c r="C2806" s="106">
        <v>0.375</v>
      </c>
      <c r="D2806" s="108">
        <v>0.72083333333333333</v>
      </c>
      <c r="E2806" s="3"/>
      <c r="F2806">
        <v>2260</v>
      </c>
    </row>
    <row r="2807" spans="1:6" x14ac:dyDescent="0.25">
      <c r="A2807">
        <v>7846</v>
      </c>
      <c r="B2807" s="15">
        <v>45584</v>
      </c>
      <c r="C2807" s="133"/>
      <c r="D2807" s="133"/>
      <c r="E2807" s="3"/>
      <c r="F2807">
        <v>2261</v>
      </c>
    </row>
    <row r="2808" spans="1:6" x14ac:dyDescent="0.25">
      <c r="A2808">
        <v>7846</v>
      </c>
      <c r="B2808" s="15">
        <v>45585</v>
      </c>
      <c r="C2808" s="133"/>
      <c r="D2808" s="133"/>
      <c r="E2808" s="3"/>
      <c r="F2808">
        <v>2262</v>
      </c>
    </row>
    <row r="2809" spans="1:6" x14ac:dyDescent="0.25">
      <c r="A2809">
        <v>7846</v>
      </c>
      <c r="B2809" s="15">
        <v>45586</v>
      </c>
      <c r="C2809" s="132">
        <v>0.44791666666666669</v>
      </c>
      <c r="D2809" s="105">
        <v>0.79375000000000007</v>
      </c>
      <c r="E2809" s="3"/>
      <c r="F2809">
        <v>2263</v>
      </c>
    </row>
    <row r="2810" spans="1:6" x14ac:dyDescent="0.25">
      <c r="A2810">
        <v>7846</v>
      </c>
      <c r="B2810" s="15">
        <v>45587</v>
      </c>
      <c r="C2810" s="105">
        <v>0.35416666666666669</v>
      </c>
      <c r="D2810" s="106">
        <v>0.70000000000000007</v>
      </c>
      <c r="E2810" s="3"/>
      <c r="F2810">
        <v>2264</v>
      </c>
    </row>
    <row r="2811" spans="1:6" x14ac:dyDescent="0.25">
      <c r="A2811">
        <v>7846</v>
      </c>
      <c r="B2811" s="15">
        <v>45588</v>
      </c>
      <c r="C2811" s="106">
        <v>0.375</v>
      </c>
      <c r="D2811" s="108">
        <v>0.72083333333333333</v>
      </c>
      <c r="E2811" s="3"/>
      <c r="F2811">
        <v>2265</v>
      </c>
    </row>
    <row r="2812" spans="1:6" x14ac:dyDescent="0.25">
      <c r="A2812">
        <v>7846</v>
      </c>
      <c r="B2812" s="15">
        <v>45589</v>
      </c>
      <c r="C2812" s="106">
        <v>0.375</v>
      </c>
      <c r="D2812" s="108">
        <v>0.72083333333333333</v>
      </c>
      <c r="E2812" s="3"/>
      <c r="F2812">
        <v>2266</v>
      </c>
    </row>
    <row r="2813" spans="1:6" x14ac:dyDescent="0.25">
      <c r="A2813">
        <v>7846</v>
      </c>
      <c r="B2813" s="15">
        <v>45590</v>
      </c>
      <c r="C2813" s="105">
        <v>0.35416666666666669</v>
      </c>
      <c r="D2813" s="106">
        <v>0.70000000000000007</v>
      </c>
      <c r="E2813" s="3"/>
      <c r="F2813">
        <v>2267</v>
      </c>
    </row>
    <row r="2814" spans="1:6" x14ac:dyDescent="0.25">
      <c r="A2814">
        <v>7846</v>
      </c>
      <c r="B2814" s="15">
        <v>45591</v>
      </c>
      <c r="C2814" s="133"/>
      <c r="D2814" s="133"/>
      <c r="F2814">
        <v>2268</v>
      </c>
    </row>
    <row r="2815" spans="1:6" x14ac:dyDescent="0.25">
      <c r="A2815">
        <v>7846</v>
      </c>
      <c r="B2815" s="15">
        <v>45592</v>
      </c>
      <c r="C2815" s="133"/>
      <c r="D2815" s="133"/>
      <c r="E2815" s="3"/>
      <c r="F2815">
        <v>2269</v>
      </c>
    </row>
    <row r="2816" spans="1:6" x14ac:dyDescent="0.25">
      <c r="A2816">
        <v>7846</v>
      </c>
      <c r="B2816" s="15">
        <v>45593</v>
      </c>
      <c r="C2816" s="105">
        <v>0.35416666666666669</v>
      </c>
      <c r="D2816" s="106">
        <v>0.70000000000000007</v>
      </c>
      <c r="E2816" s="3"/>
      <c r="F2816">
        <v>2270</v>
      </c>
    </row>
    <row r="2817" spans="1:6" x14ac:dyDescent="0.25">
      <c r="A2817">
        <v>7846</v>
      </c>
      <c r="B2817" s="15">
        <v>45594</v>
      </c>
      <c r="C2817" s="106">
        <v>0.375</v>
      </c>
      <c r="D2817" s="108">
        <v>0.72083333333333333</v>
      </c>
      <c r="F2817">
        <v>2271</v>
      </c>
    </row>
    <row r="2818" spans="1:6" x14ac:dyDescent="0.25">
      <c r="A2818">
        <v>7846</v>
      </c>
      <c r="B2818" s="15">
        <v>45595</v>
      </c>
      <c r="C2818" s="105">
        <v>0.35416666666666669</v>
      </c>
      <c r="D2818" s="106">
        <v>0.70000000000000007</v>
      </c>
      <c r="E2818" s="3"/>
      <c r="F2818">
        <v>2272</v>
      </c>
    </row>
    <row r="2819" spans="1:6" x14ac:dyDescent="0.25">
      <c r="A2819">
        <v>7846</v>
      </c>
      <c r="B2819" s="15">
        <v>45596</v>
      </c>
      <c r="C2819" s="106">
        <v>0.375</v>
      </c>
      <c r="D2819" s="108">
        <v>0.72083333333333333</v>
      </c>
      <c r="F2819">
        <v>2273</v>
      </c>
    </row>
    <row r="2820" spans="1:6" x14ac:dyDescent="0.25">
      <c r="A2820">
        <v>7846</v>
      </c>
      <c r="B2820" s="15">
        <v>45597</v>
      </c>
      <c r="C2820" s="106">
        <v>0.375</v>
      </c>
      <c r="D2820" s="108">
        <v>0.72083333333333333</v>
      </c>
      <c r="E2820" s="3"/>
      <c r="F2820">
        <v>2274</v>
      </c>
    </row>
    <row r="2821" spans="1:6" x14ac:dyDescent="0.25">
      <c r="A2821">
        <v>7846</v>
      </c>
      <c r="B2821" s="15">
        <v>45598</v>
      </c>
      <c r="C2821" s="133"/>
      <c r="D2821" s="133"/>
      <c r="E2821" s="3"/>
      <c r="F2821">
        <v>2275</v>
      </c>
    </row>
    <row r="2822" spans="1:6" x14ac:dyDescent="0.25">
      <c r="A2822">
        <v>7846</v>
      </c>
      <c r="B2822" s="15">
        <v>45599</v>
      </c>
      <c r="C2822" s="133"/>
      <c r="D2822" s="133"/>
      <c r="E2822" s="3"/>
      <c r="F2822">
        <v>2276</v>
      </c>
    </row>
    <row r="2823" spans="1:6" x14ac:dyDescent="0.25">
      <c r="A2823">
        <v>7846</v>
      </c>
      <c r="B2823" s="15">
        <v>45600</v>
      </c>
      <c r="C2823" s="132">
        <v>0.44791666666666669</v>
      </c>
      <c r="D2823" s="105">
        <v>0.79375000000000007</v>
      </c>
      <c r="E2823" s="3"/>
      <c r="F2823">
        <v>2277</v>
      </c>
    </row>
    <row r="2824" spans="1:6" x14ac:dyDescent="0.25">
      <c r="A2824">
        <v>7846</v>
      </c>
      <c r="B2824" s="15">
        <v>45601</v>
      </c>
      <c r="C2824" s="106">
        <v>0.375</v>
      </c>
      <c r="D2824" s="108">
        <v>0.72083333333333333</v>
      </c>
      <c r="F2824">
        <v>2278</v>
      </c>
    </row>
    <row r="2825" spans="1:6" x14ac:dyDescent="0.25">
      <c r="A2825">
        <v>7846</v>
      </c>
      <c r="B2825" s="15">
        <v>45602</v>
      </c>
      <c r="C2825" s="105">
        <v>0.35416666666666669</v>
      </c>
      <c r="D2825" s="106">
        <v>0.70000000000000007</v>
      </c>
      <c r="E2825" s="3"/>
      <c r="F2825">
        <v>2279</v>
      </c>
    </row>
    <row r="2826" spans="1:6" x14ac:dyDescent="0.25">
      <c r="A2826">
        <v>7846</v>
      </c>
      <c r="B2826" s="15">
        <v>45603</v>
      </c>
      <c r="C2826" s="106">
        <v>0.375</v>
      </c>
      <c r="D2826" s="108">
        <v>0.72083333333333333</v>
      </c>
      <c r="E2826" s="3"/>
      <c r="F2826">
        <v>2280</v>
      </c>
    </row>
    <row r="2827" spans="1:6" x14ac:dyDescent="0.25">
      <c r="A2827">
        <v>7846</v>
      </c>
      <c r="B2827" s="15">
        <v>45604</v>
      </c>
      <c r="C2827" s="106">
        <v>0.375</v>
      </c>
      <c r="D2827" s="108">
        <v>0.72083333333333333</v>
      </c>
      <c r="E2827" s="3"/>
      <c r="F2827">
        <v>2281</v>
      </c>
    </row>
    <row r="2828" spans="1:6" x14ac:dyDescent="0.25">
      <c r="A2828">
        <v>7846</v>
      </c>
      <c r="B2828" s="15">
        <v>45605</v>
      </c>
      <c r="C2828" s="133"/>
      <c r="D2828" s="133"/>
      <c r="E2828" s="3"/>
      <c r="F2828">
        <v>2282</v>
      </c>
    </row>
    <row r="2829" spans="1:6" x14ac:dyDescent="0.25">
      <c r="A2829">
        <v>7846</v>
      </c>
      <c r="B2829" s="15">
        <v>45606</v>
      </c>
      <c r="C2829" s="133"/>
      <c r="D2829" s="133"/>
      <c r="E2829" s="3"/>
      <c r="F2829">
        <v>2283</v>
      </c>
    </row>
    <row r="2830" spans="1:6" x14ac:dyDescent="0.25">
      <c r="A2830">
        <v>7846</v>
      </c>
      <c r="B2830" s="15">
        <v>45607</v>
      </c>
      <c r="C2830" s="105">
        <v>0.35416666666666669</v>
      </c>
      <c r="D2830" s="106">
        <v>0.70000000000000007</v>
      </c>
      <c r="E2830" s="3"/>
      <c r="F2830">
        <v>2284</v>
      </c>
    </row>
    <row r="2831" spans="1:6" x14ac:dyDescent="0.25">
      <c r="A2831">
        <v>7846</v>
      </c>
      <c r="B2831" s="15">
        <v>45608</v>
      </c>
      <c r="C2831" s="106">
        <v>0.375</v>
      </c>
      <c r="D2831" s="108">
        <v>0.72083333333333333</v>
      </c>
      <c r="E2831" s="3"/>
      <c r="F2831">
        <v>2285</v>
      </c>
    </row>
    <row r="2832" spans="1:6" x14ac:dyDescent="0.25">
      <c r="A2832">
        <v>7846</v>
      </c>
      <c r="B2832" s="15">
        <v>45609</v>
      </c>
      <c r="C2832" s="105">
        <v>0.35416666666666669</v>
      </c>
      <c r="D2832" s="106">
        <v>0.70000000000000007</v>
      </c>
      <c r="F2832">
        <v>2286</v>
      </c>
    </row>
    <row r="2833" spans="1:6" x14ac:dyDescent="0.25">
      <c r="A2833">
        <v>7846</v>
      </c>
      <c r="B2833" s="15">
        <v>45610</v>
      </c>
      <c r="C2833" s="106">
        <v>0.375</v>
      </c>
      <c r="D2833" s="108">
        <v>0.72083333333333333</v>
      </c>
      <c r="E2833" s="3"/>
      <c r="F2833">
        <v>2287</v>
      </c>
    </row>
    <row r="2834" spans="1:6" x14ac:dyDescent="0.25">
      <c r="A2834">
        <v>7846</v>
      </c>
      <c r="B2834" s="15">
        <v>45611</v>
      </c>
      <c r="C2834" s="106">
        <v>0.375</v>
      </c>
      <c r="D2834" s="108">
        <v>0.72083333333333333</v>
      </c>
      <c r="F2834">
        <v>2288</v>
      </c>
    </row>
    <row r="2835" spans="1:6" x14ac:dyDescent="0.25">
      <c r="A2835">
        <v>7846</v>
      </c>
      <c r="B2835" s="15">
        <v>45612</v>
      </c>
      <c r="C2835" s="133"/>
      <c r="D2835" s="133"/>
      <c r="E2835" s="3"/>
      <c r="F2835">
        <v>2289</v>
      </c>
    </row>
    <row r="2836" spans="1:6" x14ac:dyDescent="0.25">
      <c r="A2836">
        <v>7846</v>
      </c>
      <c r="B2836" s="15">
        <v>45613</v>
      </c>
      <c r="C2836" s="133"/>
      <c r="D2836" s="133"/>
      <c r="E2836" s="3"/>
      <c r="F2836">
        <v>2290</v>
      </c>
    </row>
    <row r="2837" spans="1:6" x14ac:dyDescent="0.25">
      <c r="A2837">
        <v>7846</v>
      </c>
      <c r="B2837" s="15">
        <v>45614</v>
      </c>
      <c r="C2837" s="132">
        <v>0.44791666666666669</v>
      </c>
      <c r="D2837" s="105">
        <v>0.79375000000000007</v>
      </c>
      <c r="E2837" s="3"/>
      <c r="F2837">
        <v>2291</v>
      </c>
    </row>
    <row r="2838" spans="1:6" x14ac:dyDescent="0.25">
      <c r="A2838">
        <v>7846</v>
      </c>
      <c r="B2838" s="15">
        <v>45615</v>
      </c>
      <c r="C2838" s="105">
        <v>0.35416666666666669</v>
      </c>
      <c r="D2838" s="106">
        <v>0.70000000000000007</v>
      </c>
      <c r="E2838" s="3"/>
      <c r="F2838">
        <v>2292</v>
      </c>
    </row>
    <row r="2839" spans="1:6" x14ac:dyDescent="0.25">
      <c r="A2839">
        <v>7846</v>
      </c>
      <c r="B2839" s="15">
        <v>45616</v>
      </c>
      <c r="C2839" s="106">
        <v>0.375</v>
      </c>
      <c r="D2839" s="108">
        <v>0.72083333333333333</v>
      </c>
      <c r="E2839" s="3"/>
      <c r="F2839">
        <v>2293</v>
      </c>
    </row>
    <row r="2840" spans="1:6" x14ac:dyDescent="0.25">
      <c r="A2840">
        <v>7846</v>
      </c>
      <c r="B2840" s="15">
        <v>45617</v>
      </c>
      <c r="C2840" s="106">
        <v>0.375</v>
      </c>
      <c r="D2840" s="108">
        <v>0.72083333333333333</v>
      </c>
      <c r="E2840" s="3"/>
      <c r="F2840">
        <v>2294</v>
      </c>
    </row>
    <row r="2841" spans="1:6" x14ac:dyDescent="0.25">
      <c r="A2841">
        <v>7846</v>
      </c>
      <c r="B2841" s="15">
        <v>45618</v>
      </c>
      <c r="C2841" s="105">
        <v>0.35416666666666669</v>
      </c>
      <c r="D2841" s="106">
        <v>0.70000000000000007</v>
      </c>
      <c r="E2841" s="3"/>
      <c r="F2841">
        <v>2295</v>
      </c>
    </row>
    <row r="2842" spans="1:6" x14ac:dyDescent="0.25">
      <c r="A2842">
        <v>7846</v>
      </c>
      <c r="B2842" s="15">
        <v>45619</v>
      </c>
      <c r="C2842" s="133"/>
      <c r="D2842" s="133"/>
      <c r="E2842" s="3"/>
      <c r="F2842">
        <v>2296</v>
      </c>
    </row>
    <row r="2843" spans="1:6" x14ac:dyDescent="0.25">
      <c r="A2843">
        <v>7846</v>
      </c>
      <c r="B2843" s="15">
        <v>45620</v>
      </c>
      <c r="C2843" s="133"/>
      <c r="D2843" s="133"/>
      <c r="E2843" s="3"/>
      <c r="F2843">
        <v>2297</v>
      </c>
    </row>
    <row r="2844" spans="1:6" x14ac:dyDescent="0.25">
      <c r="A2844">
        <v>7884</v>
      </c>
      <c r="B2844" s="15">
        <v>45264</v>
      </c>
      <c r="E2844" s="160" t="s">
        <v>266</v>
      </c>
      <c r="F2844">
        <v>3670</v>
      </c>
    </row>
    <row r="2845" spans="1:6" x14ac:dyDescent="0.25">
      <c r="A2845">
        <v>7884</v>
      </c>
      <c r="B2845" s="15">
        <v>45265</v>
      </c>
      <c r="E2845" s="197" t="s">
        <v>263</v>
      </c>
      <c r="F2845">
        <v>3671</v>
      </c>
    </row>
    <row r="2846" spans="1:6" x14ac:dyDescent="0.25">
      <c r="A2846">
        <v>7884</v>
      </c>
      <c r="B2846" s="15">
        <v>45266</v>
      </c>
      <c r="E2846" s="158"/>
      <c r="F2846">
        <v>3672</v>
      </c>
    </row>
    <row r="2847" spans="1:6" x14ac:dyDescent="0.25">
      <c r="A2847">
        <v>7884</v>
      </c>
      <c r="B2847" s="15">
        <v>45267</v>
      </c>
      <c r="E2847" s="160" t="s">
        <v>266</v>
      </c>
      <c r="F2847">
        <v>3673</v>
      </c>
    </row>
    <row r="2848" spans="1:6" x14ac:dyDescent="0.25">
      <c r="A2848">
        <v>7884</v>
      </c>
      <c r="B2848" s="15">
        <v>45268</v>
      </c>
      <c r="E2848" s="197" t="s">
        <v>263</v>
      </c>
      <c r="F2848">
        <v>3674</v>
      </c>
    </row>
    <row r="2849" spans="1:6" x14ac:dyDescent="0.25">
      <c r="A2849">
        <v>7884</v>
      </c>
      <c r="B2849" s="15">
        <v>45269</v>
      </c>
      <c r="E2849" s="157"/>
      <c r="F2849">
        <v>3675</v>
      </c>
    </row>
    <row r="2850" spans="1:6" x14ac:dyDescent="0.25">
      <c r="A2850">
        <v>7884</v>
      </c>
      <c r="B2850" s="15">
        <v>45270</v>
      </c>
      <c r="E2850" s="157"/>
      <c r="F2850">
        <v>3676</v>
      </c>
    </row>
    <row r="2851" spans="1:6" x14ac:dyDescent="0.25">
      <c r="A2851">
        <v>7884</v>
      </c>
      <c r="B2851" s="15">
        <v>45271</v>
      </c>
      <c r="E2851" s="197" t="s">
        <v>263</v>
      </c>
      <c r="F2851">
        <v>3677</v>
      </c>
    </row>
    <row r="2852" spans="1:6" x14ac:dyDescent="0.25">
      <c r="A2852">
        <v>7884</v>
      </c>
      <c r="B2852" s="15">
        <v>45272</v>
      </c>
      <c r="E2852" s="159" t="s">
        <v>266</v>
      </c>
      <c r="F2852">
        <v>3678</v>
      </c>
    </row>
    <row r="2853" spans="1:6" x14ac:dyDescent="0.25">
      <c r="A2853">
        <v>7884</v>
      </c>
      <c r="B2853" s="15">
        <v>45273</v>
      </c>
      <c r="E2853" s="157"/>
      <c r="F2853">
        <v>3679</v>
      </c>
    </row>
    <row r="2854" spans="1:6" x14ac:dyDescent="0.25">
      <c r="A2854">
        <v>7884</v>
      </c>
      <c r="B2854" s="15">
        <v>45274</v>
      </c>
      <c r="E2854" s="160" t="s">
        <v>263</v>
      </c>
      <c r="F2854">
        <v>3680</v>
      </c>
    </row>
    <row r="2855" spans="1:6" x14ac:dyDescent="0.25">
      <c r="A2855">
        <v>7884</v>
      </c>
      <c r="B2855" s="15">
        <v>45275</v>
      </c>
      <c r="E2855" s="197" t="s">
        <v>377</v>
      </c>
      <c r="F2855">
        <v>3681</v>
      </c>
    </row>
    <row r="2856" spans="1:6" x14ac:dyDescent="0.25">
      <c r="A2856">
        <v>7884</v>
      </c>
      <c r="B2856" s="15">
        <v>45276</v>
      </c>
      <c r="E2856" s="160" t="s">
        <v>175</v>
      </c>
      <c r="F2856">
        <v>3682</v>
      </c>
    </row>
    <row r="2857" spans="1:6" x14ac:dyDescent="0.25">
      <c r="A2857">
        <v>7884</v>
      </c>
      <c r="B2857" s="15">
        <v>45277</v>
      </c>
      <c r="E2857" s="157"/>
      <c r="F2857">
        <v>3683</v>
      </c>
    </row>
    <row r="2858" spans="1:6" x14ac:dyDescent="0.25">
      <c r="A2858">
        <v>7884</v>
      </c>
      <c r="B2858" s="15">
        <v>45278</v>
      </c>
      <c r="E2858" s="160" t="s">
        <v>266</v>
      </c>
      <c r="F2858">
        <v>3684</v>
      </c>
    </row>
    <row r="2859" spans="1:6" x14ac:dyDescent="0.25">
      <c r="A2859">
        <v>7884</v>
      </c>
      <c r="B2859" s="15">
        <v>45279</v>
      </c>
      <c r="E2859" s="197" t="s">
        <v>263</v>
      </c>
      <c r="F2859">
        <v>3685</v>
      </c>
    </row>
    <row r="2860" spans="1:6" x14ac:dyDescent="0.25">
      <c r="A2860">
        <v>7884</v>
      </c>
      <c r="B2860" s="15">
        <v>45280</v>
      </c>
      <c r="E2860" s="158"/>
      <c r="F2860">
        <v>3686</v>
      </c>
    </row>
    <row r="2861" spans="1:6" x14ac:dyDescent="0.25">
      <c r="A2861">
        <v>7884</v>
      </c>
      <c r="B2861" s="15">
        <v>45281</v>
      </c>
      <c r="E2861" s="160" t="s">
        <v>266</v>
      </c>
      <c r="F2861">
        <v>3687</v>
      </c>
    </row>
    <row r="2862" spans="1:6" x14ac:dyDescent="0.25">
      <c r="A2862">
        <v>7884</v>
      </c>
      <c r="B2862" s="15">
        <v>45282</v>
      </c>
      <c r="E2862" s="197" t="s">
        <v>175</v>
      </c>
      <c r="F2862">
        <v>3688</v>
      </c>
    </row>
    <row r="2863" spans="1:6" x14ac:dyDescent="0.25">
      <c r="A2863">
        <v>7884</v>
      </c>
      <c r="B2863" s="15">
        <v>45283</v>
      </c>
      <c r="E2863" s="157"/>
      <c r="F2863">
        <v>3689</v>
      </c>
    </row>
    <row r="2864" spans="1:6" x14ac:dyDescent="0.25">
      <c r="A2864">
        <v>7884</v>
      </c>
      <c r="B2864" s="15">
        <v>45284</v>
      </c>
      <c r="E2864" s="157"/>
      <c r="F2864">
        <v>3690</v>
      </c>
    </row>
    <row r="2865" spans="1:6" x14ac:dyDescent="0.25">
      <c r="A2865">
        <v>7884</v>
      </c>
      <c r="B2865" s="15">
        <v>45285</v>
      </c>
      <c r="E2865" s="119"/>
      <c r="F2865">
        <v>3691</v>
      </c>
    </row>
    <row r="2866" spans="1:6" x14ac:dyDescent="0.25">
      <c r="A2866">
        <v>7884</v>
      </c>
      <c r="B2866" s="15">
        <v>45286</v>
      </c>
      <c r="E2866" s="120" t="s">
        <v>2</v>
      </c>
      <c r="F2866">
        <v>3692</v>
      </c>
    </row>
    <row r="2867" spans="1:6" x14ac:dyDescent="0.25">
      <c r="A2867">
        <v>7884</v>
      </c>
      <c r="B2867" s="15">
        <v>45287</v>
      </c>
      <c r="E2867" s="157"/>
      <c r="F2867">
        <v>3693</v>
      </c>
    </row>
    <row r="2868" spans="1:6" x14ac:dyDescent="0.25">
      <c r="A2868">
        <v>7884</v>
      </c>
      <c r="B2868" s="15">
        <v>45288</v>
      </c>
      <c r="E2868" s="117" t="s">
        <v>2</v>
      </c>
      <c r="F2868">
        <v>3694</v>
      </c>
    </row>
    <row r="2869" spans="1:6" x14ac:dyDescent="0.25">
      <c r="A2869">
        <v>7884</v>
      </c>
      <c r="B2869" s="15">
        <v>45289</v>
      </c>
      <c r="E2869" s="120" t="s">
        <v>2</v>
      </c>
      <c r="F2869">
        <v>3695</v>
      </c>
    </row>
    <row r="2870" spans="1:6" x14ac:dyDescent="0.25">
      <c r="A2870">
        <v>7884</v>
      </c>
      <c r="B2870" s="15">
        <v>45290</v>
      </c>
      <c r="E2870" s="121" t="s">
        <v>2</v>
      </c>
      <c r="F2870">
        <v>3696</v>
      </c>
    </row>
    <row r="2871" spans="1:6" x14ac:dyDescent="0.25">
      <c r="A2871">
        <v>7884</v>
      </c>
      <c r="B2871" s="15">
        <v>45291</v>
      </c>
      <c r="E2871" s="157"/>
      <c r="F2871">
        <v>3697</v>
      </c>
    </row>
    <row r="2872" spans="1:6" x14ac:dyDescent="0.25">
      <c r="A2872">
        <v>7884</v>
      </c>
      <c r="B2872" s="15">
        <v>45292</v>
      </c>
      <c r="E2872" s="119"/>
      <c r="F2872">
        <v>4419</v>
      </c>
    </row>
    <row r="2873" spans="1:6" x14ac:dyDescent="0.25">
      <c r="A2873">
        <v>7884</v>
      </c>
      <c r="B2873" s="15">
        <v>45293</v>
      </c>
      <c r="E2873" s="159" t="s">
        <v>263</v>
      </c>
      <c r="F2873">
        <v>4420</v>
      </c>
    </row>
    <row r="2874" spans="1:6" x14ac:dyDescent="0.25">
      <c r="A2874">
        <v>7884</v>
      </c>
      <c r="B2874" s="15">
        <v>45294</v>
      </c>
      <c r="E2874" s="158"/>
      <c r="F2874">
        <v>4421</v>
      </c>
    </row>
    <row r="2875" spans="1:6" x14ac:dyDescent="0.25">
      <c r="A2875">
        <v>7884</v>
      </c>
      <c r="B2875" s="15">
        <v>45295</v>
      </c>
      <c r="E2875" s="160" t="s">
        <v>266</v>
      </c>
      <c r="F2875">
        <v>4422</v>
      </c>
    </row>
    <row r="2876" spans="1:6" x14ac:dyDescent="0.25">
      <c r="A2876">
        <v>7884</v>
      </c>
      <c r="B2876" s="15">
        <v>45296</v>
      </c>
      <c r="E2876" s="197" t="s">
        <v>263</v>
      </c>
      <c r="F2876">
        <v>4423</v>
      </c>
    </row>
    <row r="2877" spans="1:6" x14ac:dyDescent="0.25">
      <c r="A2877">
        <v>7884</v>
      </c>
      <c r="B2877" s="15">
        <v>45297</v>
      </c>
      <c r="E2877" s="157"/>
      <c r="F2877">
        <v>4424</v>
      </c>
    </row>
    <row r="2878" spans="1:6" x14ac:dyDescent="0.25">
      <c r="A2878">
        <v>7884</v>
      </c>
      <c r="B2878" s="15">
        <v>45298</v>
      </c>
      <c r="E2878" s="157"/>
      <c r="F2878">
        <v>4425</v>
      </c>
    </row>
    <row r="2879" spans="1:6" x14ac:dyDescent="0.25">
      <c r="A2879">
        <v>7884</v>
      </c>
      <c r="B2879" s="15">
        <v>45299</v>
      </c>
      <c r="E2879" s="160" t="s">
        <v>263</v>
      </c>
      <c r="F2879">
        <v>4426</v>
      </c>
    </row>
    <row r="2880" spans="1:6" x14ac:dyDescent="0.25">
      <c r="A2880">
        <v>7884</v>
      </c>
      <c r="B2880" s="15">
        <v>45300</v>
      </c>
      <c r="E2880" s="197" t="s">
        <v>266</v>
      </c>
      <c r="F2880">
        <v>4427</v>
      </c>
    </row>
    <row r="2881" spans="1:6" x14ac:dyDescent="0.25">
      <c r="A2881">
        <v>7884</v>
      </c>
      <c r="B2881" s="15">
        <v>45301</v>
      </c>
      <c r="E2881" s="157"/>
      <c r="F2881">
        <v>4428</v>
      </c>
    </row>
    <row r="2882" spans="1:6" x14ac:dyDescent="0.25">
      <c r="A2882">
        <v>7884</v>
      </c>
      <c r="B2882" s="15">
        <v>45302</v>
      </c>
      <c r="E2882" s="160" t="s">
        <v>263</v>
      </c>
      <c r="F2882">
        <v>4429</v>
      </c>
    </row>
    <row r="2883" spans="1:6" x14ac:dyDescent="0.25">
      <c r="A2883">
        <v>7884</v>
      </c>
      <c r="B2883" s="15">
        <v>45303</v>
      </c>
      <c r="E2883" s="197" t="s">
        <v>266</v>
      </c>
      <c r="F2883">
        <v>4430</v>
      </c>
    </row>
    <row r="2884" spans="1:6" x14ac:dyDescent="0.25">
      <c r="A2884">
        <v>7884</v>
      </c>
      <c r="B2884" s="15">
        <v>45304</v>
      </c>
      <c r="E2884" s="160" t="s">
        <v>175</v>
      </c>
      <c r="F2884">
        <v>4431</v>
      </c>
    </row>
    <row r="2885" spans="1:6" x14ac:dyDescent="0.25">
      <c r="A2885">
        <v>7884</v>
      </c>
      <c r="B2885" s="15">
        <v>45305</v>
      </c>
      <c r="E2885" s="157"/>
      <c r="F2885">
        <v>4432</v>
      </c>
    </row>
    <row r="2886" spans="1:6" x14ac:dyDescent="0.25">
      <c r="A2886">
        <v>7884</v>
      </c>
      <c r="B2886" s="15">
        <v>45306</v>
      </c>
      <c r="E2886" s="160" t="s">
        <v>266</v>
      </c>
      <c r="F2886">
        <v>4433</v>
      </c>
    </row>
    <row r="2887" spans="1:6" x14ac:dyDescent="0.25">
      <c r="A2887">
        <v>7884</v>
      </c>
      <c r="B2887" s="15">
        <v>45307</v>
      </c>
      <c r="E2887" s="197" t="s">
        <v>263</v>
      </c>
      <c r="F2887">
        <v>4434</v>
      </c>
    </row>
    <row r="2888" spans="1:6" x14ac:dyDescent="0.25">
      <c r="A2888">
        <v>7884</v>
      </c>
      <c r="B2888" s="15">
        <v>45308</v>
      </c>
      <c r="E2888" s="158"/>
      <c r="F2888">
        <v>4435</v>
      </c>
    </row>
    <row r="2889" spans="1:6" x14ac:dyDescent="0.25">
      <c r="A2889">
        <v>7884</v>
      </c>
      <c r="B2889" s="15">
        <v>45309</v>
      </c>
      <c r="E2889" s="160" t="s">
        <v>266</v>
      </c>
      <c r="F2889">
        <v>4436</v>
      </c>
    </row>
    <row r="2890" spans="1:6" x14ac:dyDescent="0.25">
      <c r="A2890">
        <v>7884</v>
      </c>
      <c r="B2890" s="15">
        <v>45310</v>
      </c>
      <c r="E2890" s="197" t="s">
        <v>263</v>
      </c>
      <c r="F2890">
        <v>4437</v>
      </c>
    </row>
    <row r="2891" spans="1:6" x14ac:dyDescent="0.25">
      <c r="A2891">
        <v>7884</v>
      </c>
      <c r="B2891" s="15">
        <v>45311</v>
      </c>
      <c r="E2891" s="157"/>
      <c r="F2891">
        <v>4438</v>
      </c>
    </row>
    <row r="2892" spans="1:6" x14ac:dyDescent="0.25">
      <c r="A2892">
        <v>7884</v>
      </c>
      <c r="B2892" s="15">
        <v>45312</v>
      </c>
      <c r="E2892" s="157"/>
      <c r="F2892">
        <v>4439</v>
      </c>
    </row>
    <row r="2893" spans="1:6" x14ac:dyDescent="0.25">
      <c r="A2893">
        <v>7884</v>
      </c>
      <c r="B2893" s="15">
        <v>45313</v>
      </c>
      <c r="E2893" s="160" t="s">
        <v>263</v>
      </c>
      <c r="F2893">
        <v>4440</v>
      </c>
    </row>
    <row r="2894" spans="1:6" x14ac:dyDescent="0.25">
      <c r="A2894">
        <v>7884</v>
      </c>
      <c r="B2894" s="15">
        <v>45314</v>
      </c>
      <c r="E2894" s="197" t="s">
        <v>266</v>
      </c>
      <c r="F2894">
        <v>4441</v>
      </c>
    </row>
    <row r="2895" spans="1:6" x14ac:dyDescent="0.25">
      <c r="A2895">
        <v>7884</v>
      </c>
      <c r="B2895" s="15">
        <v>45315</v>
      </c>
      <c r="E2895" s="157"/>
      <c r="F2895">
        <v>4442</v>
      </c>
    </row>
    <row r="2896" spans="1:6" x14ac:dyDescent="0.25">
      <c r="A2896">
        <v>7884</v>
      </c>
      <c r="B2896" s="15">
        <v>45316</v>
      </c>
      <c r="E2896" s="160" t="s">
        <v>263</v>
      </c>
      <c r="F2896">
        <v>4443</v>
      </c>
    </row>
    <row r="2897" spans="1:6" x14ac:dyDescent="0.25">
      <c r="A2897">
        <v>7884</v>
      </c>
      <c r="B2897" s="15">
        <v>45317</v>
      </c>
      <c r="E2897" s="197" t="s">
        <v>266</v>
      </c>
      <c r="F2897">
        <v>4444</v>
      </c>
    </row>
    <row r="2898" spans="1:6" x14ac:dyDescent="0.25">
      <c r="A2898">
        <v>7884</v>
      </c>
      <c r="B2898" s="15">
        <v>45318</v>
      </c>
      <c r="E2898" s="160" t="s">
        <v>175</v>
      </c>
      <c r="F2898">
        <v>4445</v>
      </c>
    </row>
    <row r="2899" spans="1:6" x14ac:dyDescent="0.25">
      <c r="A2899">
        <v>7884</v>
      </c>
      <c r="B2899" s="15">
        <v>45319</v>
      </c>
      <c r="E2899" s="157"/>
      <c r="F2899">
        <v>4446</v>
      </c>
    </row>
    <row r="2900" spans="1:6" x14ac:dyDescent="0.25">
      <c r="A2900">
        <v>7884</v>
      </c>
      <c r="B2900" s="15">
        <v>45320</v>
      </c>
      <c r="E2900" s="120" t="s">
        <v>2</v>
      </c>
      <c r="F2900">
        <v>4447</v>
      </c>
    </row>
    <row r="2901" spans="1:6" x14ac:dyDescent="0.25">
      <c r="A2901">
        <v>7884</v>
      </c>
      <c r="B2901" s="15">
        <v>45321</v>
      </c>
      <c r="E2901" s="117" t="s">
        <v>2</v>
      </c>
      <c r="F2901">
        <v>4448</v>
      </c>
    </row>
    <row r="2902" spans="1:6" x14ac:dyDescent="0.25">
      <c r="A2902">
        <v>7884</v>
      </c>
      <c r="B2902" s="15">
        <v>45322</v>
      </c>
      <c r="E2902" s="158"/>
      <c r="F2902">
        <v>4449</v>
      </c>
    </row>
    <row r="2903" spans="1:6" x14ac:dyDescent="0.25">
      <c r="A2903">
        <v>7884</v>
      </c>
      <c r="B2903" s="15">
        <v>45323</v>
      </c>
      <c r="E2903" s="160" t="s">
        <v>266</v>
      </c>
      <c r="F2903">
        <v>4450</v>
      </c>
    </row>
    <row r="2904" spans="1:6" x14ac:dyDescent="0.25">
      <c r="A2904">
        <v>7884</v>
      </c>
      <c r="B2904" s="15">
        <v>45324</v>
      </c>
      <c r="E2904" s="160" t="s">
        <v>263</v>
      </c>
      <c r="F2904">
        <v>4451</v>
      </c>
    </row>
    <row r="2905" spans="1:6" x14ac:dyDescent="0.25">
      <c r="A2905">
        <v>7884</v>
      </c>
      <c r="B2905" s="15">
        <v>45325</v>
      </c>
      <c r="E2905" s="157"/>
      <c r="F2905">
        <v>4452</v>
      </c>
    </row>
    <row r="2906" spans="1:6" x14ac:dyDescent="0.25">
      <c r="A2906">
        <v>7884</v>
      </c>
      <c r="B2906" s="15">
        <v>45326</v>
      </c>
      <c r="E2906" s="157"/>
      <c r="F2906">
        <v>4453</v>
      </c>
    </row>
    <row r="2907" spans="1:6" x14ac:dyDescent="0.25">
      <c r="A2907">
        <v>7884</v>
      </c>
      <c r="B2907" s="15">
        <v>45327</v>
      </c>
      <c r="E2907" s="160" t="s">
        <v>263</v>
      </c>
      <c r="F2907">
        <v>5245</v>
      </c>
    </row>
    <row r="2908" spans="1:6" x14ac:dyDescent="0.25">
      <c r="A2908">
        <v>7884</v>
      </c>
      <c r="B2908" s="15">
        <v>45328</v>
      </c>
      <c r="E2908" s="197" t="s">
        <v>266</v>
      </c>
      <c r="F2908">
        <v>5246</v>
      </c>
    </row>
    <row r="2909" spans="1:6" x14ac:dyDescent="0.25">
      <c r="A2909">
        <v>7884</v>
      </c>
      <c r="B2909" s="15">
        <v>45329</v>
      </c>
      <c r="E2909" s="157"/>
      <c r="F2909">
        <v>5247</v>
      </c>
    </row>
    <row r="2910" spans="1:6" x14ac:dyDescent="0.25">
      <c r="A2910">
        <v>7884</v>
      </c>
      <c r="B2910" s="15">
        <v>45330</v>
      </c>
      <c r="E2910" s="160" t="s">
        <v>263</v>
      </c>
      <c r="F2910">
        <v>5248</v>
      </c>
    </row>
    <row r="2911" spans="1:6" x14ac:dyDescent="0.25">
      <c r="A2911">
        <v>7884</v>
      </c>
      <c r="B2911" s="15">
        <v>45331</v>
      </c>
      <c r="E2911" s="197" t="s">
        <v>266</v>
      </c>
      <c r="F2911">
        <v>5249</v>
      </c>
    </row>
    <row r="2912" spans="1:6" x14ac:dyDescent="0.25">
      <c r="A2912">
        <v>7884</v>
      </c>
      <c r="B2912" s="15">
        <v>45332</v>
      </c>
      <c r="E2912" s="160" t="s">
        <v>175</v>
      </c>
      <c r="F2912">
        <v>5250</v>
      </c>
    </row>
    <row r="2913" spans="1:6" x14ac:dyDescent="0.25">
      <c r="A2913">
        <v>7884</v>
      </c>
      <c r="B2913" s="15">
        <v>45333</v>
      </c>
      <c r="E2913" s="157"/>
      <c r="F2913">
        <v>5251</v>
      </c>
    </row>
    <row r="2914" spans="1:6" x14ac:dyDescent="0.25">
      <c r="A2914">
        <v>7884</v>
      </c>
      <c r="B2914" s="15">
        <v>45334</v>
      </c>
      <c r="E2914" s="160" t="s">
        <v>266</v>
      </c>
      <c r="F2914">
        <v>5252</v>
      </c>
    </row>
    <row r="2915" spans="1:6" x14ac:dyDescent="0.25">
      <c r="A2915">
        <v>7884</v>
      </c>
      <c r="B2915" s="15">
        <v>45335</v>
      </c>
      <c r="E2915" s="197" t="s">
        <v>263</v>
      </c>
      <c r="F2915">
        <v>5253</v>
      </c>
    </row>
    <row r="2916" spans="1:6" x14ac:dyDescent="0.25">
      <c r="A2916">
        <v>7884</v>
      </c>
      <c r="B2916" s="15">
        <v>45336</v>
      </c>
      <c r="E2916" s="158"/>
      <c r="F2916">
        <v>5254</v>
      </c>
    </row>
    <row r="2917" spans="1:6" x14ac:dyDescent="0.25">
      <c r="A2917">
        <v>7884</v>
      </c>
      <c r="B2917" s="15">
        <v>45337</v>
      </c>
      <c r="E2917" s="160" t="s">
        <v>266</v>
      </c>
      <c r="F2917">
        <v>5255</v>
      </c>
    </row>
    <row r="2918" spans="1:6" x14ac:dyDescent="0.25">
      <c r="A2918">
        <v>7884</v>
      </c>
      <c r="B2918" s="15">
        <v>45338</v>
      </c>
      <c r="E2918" s="197" t="s">
        <v>263</v>
      </c>
      <c r="F2918">
        <v>5256</v>
      </c>
    </row>
    <row r="2919" spans="1:6" x14ac:dyDescent="0.25">
      <c r="A2919">
        <v>7884</v>
      </c>
      <c r="B2919" s="15">
        <v>45339</v>
      </c>
      <c r="E2919" s="157"/>
      <c r="F2919">
        <v>5257</v>
      </c>
    </row>
    <row r="2920" spans="1:6" x14ac:dyDescent="0.25">
      <c r="A2920">
        <v>7884</v>
      </c>
      <c r="B2920" s="15">
        <v>45340</v>
      </c>
      <c r="E2920" s="157"/>
      <c r="F2920">
        <v>5258</v>
      </c>
    </row>
    <row r="2921" spans="1:6" x14ac:dyDescent="0.25">
      <c r="A2921">
        <v>7884</v>
      </c>
      <c r="B2921" s="15">
        <v>45341</v>
      </c>
      <c r="E2921" s="160" t="s">
        <v>263</v>
      </c>
      <c r="F2921">
        <v>5259</v>
      </c>
    </row>
    <row r="2922" spans="1:6" x14ac:dyDescent="0.25">
      <c r="A2922">
        <v>7884</v>
      </c>
      <c r="B2922" s="15">
        <v>45342</v>
      </c>
      <c r="E2922" s="197" t="s">
        <v>266</v>
      </c>
      <c r="F2922">
        <v>5260</v>
      </c>
    </row>
    <row r="2923" spans="1:6" x14ac:dyDescent="0.25">
      <c r="A2923">
        <v>7884</v>
      </c>
      <c r="B2923" s="15">
        <v>45343</v>
      </c>
      <c r="E2923" s="157"/>
      <c r="F2923">
        <v>5261</v>
      </c>
    </row>
    <row r="2924" spans="1:6" x14ac:dyDescent="0.25">
      <c r="A2924">
        <v>7884</v>
      </c>
      <c r="B2924" s="15">
        <v>45344</v>
      </c>
      <c r="E2924" s="160" t="s">
        <v>263</v>
      </c>
      <c r="F2924">
        <v>5262</v>
      </c>
    </row>
    <row r="2925" spans="1:6" x14ac:dyDescent="0.25">
      <c r="A2925">
        <v>7884</v>
      </c>
      <c r="B2925" s="15">
        <v>45345</v>
      </c>
      <c r="E2925" s="197" t="s">
        <v>266</v>
      </c>
      <c r="F2925">
        <v>5263</v>
      </c>
    </row>
    <row r="2926" spans="1:6" x14ac:dyDescent="0.25">
      <c r="A2926">
        <v>7884</v>
      </c>
      <c r="B2926" s="15">
        <v>45346</v>
      </c>
      <c r="E2926" s="121" t="s">
        <v>2</v>
      </c>
      <c r="F2926">
        <v>5264</v>
      </c>
    </row>
    <row r="2927" spans="1:6" x14ac:dyDescent="0.25">
      <c r="A2927">
        <v>7884</v>
      </c>
      <c r="B2927" s="15">
        <v>45347</v>
      </c>
      <c r="E2927" s="157"/>
      <c r="F2927">
        <v>5265</v>
      </c>
    </row>
    <row r="2928" spans="1:6" x14ac:dyDescent="0.25">
      <c r="A2928">
        <v>7884</v>
      </c>
      <c r="B2928" s="15">
        <v>45348</v>
      </c>
      <c r="E2928" s="120" t="s">
        <v>2</v>
      </c>
      <c r="F2928">
        <v>5266</v>
      </c>
    </row>
    <row r="2929" spans="1:6" x14ac:dyDescent="0.25">
      <c r="A2929">
        <v>7884</v>
      </c>
      <c r="B2929" s="15">
        <v>45349</v>
      </c>
      <c r="E2929" s="117" t="s">
        <v>2</v>
      </c>
      <c r="F2929">
        <v>5267</v>
      </c>
    </row>
    <row r="2930" spans="1:6" x14ac:dyDescent="0.25">
      <c r="A2930">
        <v>7884</v>
      </c>
      <c r="B2930" s="15">
        <v>45350</v>
      </c>
      <c r="E2930" s="158"/>
      <c r="F2930">
        <v>5268</v>
      </c>
    </row>
    <row r="2931" spans="1:6" x14ac:dyDescent="0.25">
      <c r="A2931">
        <v>7884</v>
      </c>
      <c r="B2931" s="15">
        <v>45351</v>
      </c>
      <c r="E2931" s="120" t="s">
        <v>2</v>
      </c>
      <c r="F2931">
        <v>5269</v>
      </c>
    </row>
    <row r="2932" spans="1:6" x14ac:dyDescent="0.25">
      <c r="A2932">
        <v>7884</v>
      </c>
      <c r="B2932" s="15">
        <v>45352</v>
      </c>
      <c r="E2932" s="117" t="s">
        <v>2</v>
      </c>
      <c r="F2932">
        <v>5270</v>
      </c>
    </row>
    <row r="2933" spans="1:6" x14ac:dyDescent="0.25">
      <c r="A2933">
        <v>7884</v>
      </c>
      <c r="B2933" s="15">
        <v>45353</v>
      </c>
      <c r="E2933" s="157"/>
      <c r="F2933">
        <v>5271</v>
      </c>
    </row>
    <row r="2934" spans="1:6" x14ac:dyDescent="0.25">
      <c r="A2934">
        <v>7884</v>
      </c>
      <c r="B2934" s="15">
        <v>45354</v>
      </c>
      <c r="E2934" s="157"/>
      <c r="F2934">
        <v>5272</v>
      </c>
    </row>
    <row r="2935" spans="1:6" x14ac:dyDescent="0.25">
      <c r="A2935">
        <v>7884</v>
      </c>
      <c r="B2935" s="15">
        <v>45355</v>
      </c>
      <c r="E2935" s="160" t="s">
        <v>263</v>
      </c>
      <c r="F2935">
        <v>5945</v>
      </c>
    </row>
    <row r="2936" spans="1:6" x14ac:dyDescent="0.25">
      <c r="A2936">
        <v>7884</v>
      </c>
      <c r="B2936" s="15">
        <v>45356</v>
      </c>
      <c r="E2936" s="197" t="s">
        <v>266</v>
      </c>
      <c r="F2936">
        <v>5946</v>
      </c>
    </row>
    <row r="2937" spans="1:6" x14ac:dyDescent="0.25">
      <c r="A2937">
        <v>7884</v>
      </c>
      <c r="B2937" s="15">
        <v>45357</v>
      </c>
      <c r="E2937" s="157"/>
      <c r="F2937">
        <v>5947</v>
      </c>
    </row>
    <row r="2938" spans="1:6" x14ac:dyDescent="0.25">
      <c r="A2938">
        <v>7884</v>
      </c>
      <c r="B2938" s="15">
        <v>45358</v>
      </c>
      <c r="E2938" s="160" t="s">
        <v>263</v>
      </c>
      <c r="F2938">
        <v>5948</v>
      </c>
    </row>
    <row r="2939" spans="1:6" x14ac:dyDescent="0.25">
      <c r="A2939">
        <v>7884</v>
      </c>
      <c r="B2939" s="15">
        <v>45359</v>
      </c>
      <c r="E2939" s="197" t="s">
        <v>266</v>
      </c>
      <c r="F2939">
        <v>5949</v>
      </c>
    </row>
    <row r="2940" spans="1:6" x14ac:dyDescent="0.25">
      <c r="A2940">
        <v>7884</v>
      </c>
      <c r="B2940" s="15">
        <v>45360</v>
      </c>
      <c r="E2940" s="160" t="s">
        <v>175</v>
      </c>
      <c r="F2940">
        <v>5950</v>
      </c>
    </row>
    <row r="2941" spans="1:6" x14ac:dyDescent="0.25">
      <c r="A2941">
        <v>7884</v>
      </c>
      <c r="B2941" s="15">
        <v>45361</v>
      </c>
      <c r="E2941" s="157"/>
      <c r="F2941">
        <v>5951</v>
      </c>
    </row>
    <row r="2942" spans="1:6" x14ac:dyDescent="0.25">
      <c r="A2942">
        <v>7884</v>
      </c>
      <c r="B2942" s="15">
        <v>45362</v>
      </c>
      <c r="E2942" s="160" t="s">
        <v>266</v>
      </c>
      <c r="F2942">
        <v>5952</v>
      </c>
    </row>
    <row r="2943" spans="1:6" x14ac:dyDescent="0.25">
      <c r="A2943">
        <v>7884</v>
      </c>
      <c r="B2943" s="15">
        <v>45363</v>
      </c>
      <c r="E2943" s="197" t="s">
        <v>263</v>
      </c>
      <c r="F2943">
        <v>5953</v>
      </c>
    </row>
    <row r="2944" spans="1:6" x14ac:dyDescent="0.25">
      <c r="A2944">
        <v>7884</v>
      </c>
      <c r="B2944" s="15">
        <v>45364</v>
      </c>
      <c r="E2944" s="158"/>
      <c r="F2944">
        <v>5954</v>
      </c>
    </row>
    <row r="2945" spans="1:6" x14ac:dyDescent="0.25">
      <c r="A2945">
        <v>7884</v>
      </c>
      <c r="B2945" s="15">
        <v>45365</v>
      </c>
      <c r="E2945" s="160" t="s">
        <v>266</v>
      </c>
      <c r="F2945">
        <v>5955</v>
      </c>
    </row>
    <row r="2946" spans="1:6" x14ac:dyDescent="0.25">
      <c r="A2946">
        <v>7884</v>
      </c>
      <c r="B2946" s="15">
        <v>45366</v>
      </c>
      <c r="E2946" s="197" t="s">
        <v>263</v>
      </c>
      <c r="F2946">
        <v>5956</v>
      </c>
    </row>
    <row r="2947" spans="1:6" x14ac:dyDescent="0.25">
      <c r="A2947">
        <v>7884</v>
      </c>
      <c r="B2947" s="15">
        <v>45367</v>
      </c>
      <c r="E2947" s="157"/>
      <c r="F2947">
        <v>5957</v>
      </c>
    </row>
    <row r="2948" spans="1:6" x14ac:dyDescent="0.25">
      <c r="A2948">
        <v>7884</v>
      </c>
      <c r="B2948" s="15">
        <v>45368</v>
      </c>
      <c r="E2948" s="157"/>
      <c r="F2948">
        <v>5958</v>
      </c>
    </row>
    <row r="2949" spans="1:6" x14ac:dyDescent="0.25">
      <c r="A2949">
        <v>7884</v>
      </c>
      <c r="B2949" s="15">
        <v>45369</v>
      </c>
      <c r="E2949" s="160" t="s">
        <v>263</v>
      </c>
      <c r="F2949">
        <v>5959</v>
      </c>
    </row>
    <row r="2950" spans="1:6" x14ac:dyDescent="0.25">
      <c r="A2950">
        <v>7884</v>
      </c>
      <c r="B2950" s="15">
        <v>45370</v>
      </c>
      <c r="E2950" s="197" t="s">
        <v>266</v>
      </c>
      <c r="F2950">
        <v>5960</v>
      </c>
    </row>
    <row r="2951" spans="1:6" x14ac:dyDescent="0.25">
      <c r="A2951">
        <v>7884</v>
      </c>
      <c r="B2951" s="15">
        <v>45371</v>
      </c>
      <c r="E2951" s="157"/>
      <c r="F2951">
        <v>5961</v>
      </c>
    </row>
    <row r="2952" spans="1:6" x14ac:dyDescent="0.25">
      <c r="A2952">
        <v>7884</v>
      </c>
      <c r="B2952" s="15">
        <v>45372</v>
      </c>
      <c r="E2952" s="160" t="s">
        <v>263</v>
      </c>
      <c r="F2952">
        <v>5962</v>
      </c>
    </row>
    <row r="2953" spans="1:6" x14ac:dyDescent="0.25">
      <c r="A2953">
        <v>7884</v>
      </c>
      <c r="B2953" s="15">
        <v>45373</v>
      </c>
      <c r="E2953" s="197" t="s">
        <v>266</v>
      </c>
      <c r="F2953">
        <v>5963</v>
      </c>
    </row>
    <row r="2954" spans="1:6" x14ac:dyDescent="0.25">
      <c r="A2954">
        <v>7884</v>
      </c>
      <c r="B2954" s="15">
        <v>45374</v>
      </c>
      <c r="E2954" s="160" t="s">
        <v>175</v>
      </c>
      <c r="F2954">
        <v>5964</v>
      </c>
    </row>
    <row r="2955" spans="1:6" x14ac:dyDescent="0.25">
      <c r="A2955">
        <v>7884</v>
      </c>
      <c r="B2955" s="15">
        <v>45375</v>
      </c>
      <c r="E2955" s="157"/>
      <c r="F2955">
        <v>5965</v>
      </c>
    </row>
    <row r="2956" spans="1:6" x14ac:dyDescent="0.25">
      <c r="A2956">
        <v>7884</v>
      </c>
      <c r="B2956" s="15">
        <v>45376</v>
      </c>
      <c r="E2956" s="160" t="s">
        <v>266</v>
      </c>
      <c r="F2956">
        <v>5966</v>
      </c>
    </row>
    <row r="2957" spans="1:6" x14ac:dyDescent="0.25">
      <c r="A2957">
        <v>7884</v>
      </c>
      <c r="B2957" s="15">
        <v>45377</v>
      </c>
      <c r="E2957" s="197" t="s">
        <v>263</v>
      </c>
      <c r="F2957">
        <v>5967</v>
      </c>
    </row>
    <row r="2958" spans="1:6" x14ac:dyDescent="0.25">
      <c r="A2958">
        <v>7884</v>
      </c>
      <c r="B2958" s="15">
        <v>45378</v>
      </c>
      <c r="E2958" s="158"/>
      <c r="F2958">
        <v>5968</v>
      </c>
    </row>
    <row r="2959" spans="1:6" x14ac:dyDescent="0.25">
      <c r="A2959">
        <v>7884</v>
      </c>
      <c r="B2959" s="15">
        <v>45379</v>
      </c>
      <c r="E2959" s="160" t="s">
        <v>266</v>
      </c>
      <c r="F2959">
        <v>5969</v>
      </c>
    </row>
    <row r="2960" spans="1:6" x14ac:dyDescent="0.25">
      <c r="A2960">
        <v>7884</v>
      </c>
      <c r="B2960" s="15">
        <v>45380</v>
      </c>
      <c r="E2960" s="197" t="s">
        <v>263</v>
      </c>
      <c r="F2960">
        <v>5970</v>
      </c>
    </row>
    <row r="2961" spans="1:6" x14ac:dyDescent="0.25">
      <c r="A2961">
        <v>7884</v>
      </c>
      <c r="B2961" s="15">
        <v>45381</v>
      </c>
      <c r="E2961" s="157"/>
      <c r="F2961">
        <v>5971</v>
      </c>
    </row>
    <row r="2962" spans="1:6" x14ac:dyDescent="0.25">
      <c r="A2962">
        <v>7884</v>
      </c>
      <c r="B2962" s="15">
        <v>45382</v>
      </c>
      <c r="E2962" s="157"/>
      <c r="F2962">
        <v>5972</v>
      </c>
    </row>
    <row r="2963" spans="1:6" x14ac:dyDescent="0.25">
      <c r="A2963">
        <v>7884</v>
      </c>
      <c r="B2963" s="15">
        <v>45383</v>
      </c>
      <c r="E2963" s="119"/>
      <c r="F2963">
        <v>6694</v>
      </c>
    </row>
    <row r="2964" spans="1:6" x14ac:dyDescent="0.25">
      <c r="A2964">
        <v>7884</v>
      </c>
      <c r="B2964" s="15">
        <v>45384</v>
      </c>
      <c r="E2964" s="197" t="s">
        <v>266</v>
      </c>
      <c r="F2964">
        <v>6695</v>
      </c>
    </row>
    <row r="2965" spans="1:6" x14ac:dyDescent="0.25">
      <c r="A2965">
        <v>7884</v>
      </c>
      <c r="B2965" s="15">
        <v>45385</v>
      </c>
      <c r="E2965" s="157"/>
      <c r="F2965">
        <v>6696</v>
      </c>
    </row>
    <row r="2966" spans="1:6" x14ac:dyDescent="0.25">
      <c r="A2966">
        <v>7884</v>
      </c>
      <c r="B2966" s="15">
        <v>45386</v>
      </c>
      <c r="E2966" s="160" t="s">
        <v>263</v>
      </c>
      <c r="F2966">
        <v>6697</v>
      </c>
    </row>
    <row r="2967" spans="1:6" x14ac:dyDescent="0.25">
      <c r="A2967">
        <v>7884</v>
      </c>
      <c r="B2967" s="15">
        <v>45387</v>
      </c>
      <c r="E2967" s="197" t="s">
        <v>266</v>
      </c>
      <c r="F2967">
        <v>6698</v>
      </c>
    </row>
    <row r="2968" spans="1:6" x14ac:dyDescent="0.25">
      <c r="A2968">
        <v>7884</v>
      </c>
      <c r="B2968" s="15">
        <v>45388</v>
      </c>
      <c r="E2968" s="160" t="s">
        <v>175</v>
      </c>
      <c r="F2968">
        <v>6699</v>
      </c>
    </row>
    <row r="2969" spans="1:6" x14ac:dyDescent="0.25">
      <c r="A2969">
        <v>7884</v>
      </c>
      <c r="B2969" s="15">
        <v>45389</v>
      </c>
      <c r="E2969" s="157"/>
      <c r="F2969">
        <v>6700</v>
      </c>
    </row>
    <row r="2970" spans="1:6" x14ac:dyDescent="0.25">
      <c r="A2970">
        <v>7884</v>
      </c>
      <c r="B2970" s="15">
        <v>45390</v>
      </c>
      <c r="E2970" s="160" t="s">
        <v>266</v>
      </c>
      <c r="F2970">
        <v>6701</v>
      </c>
    </row>
    <row r="2971" spans="1:6" x14ac:dyDescent="0.25">
      <c r="A2971">
        <v>7884</v>
      </c>
      <c r="B2971" s="15">
        <v>45391</v>
      </c>
      <c r="E2971" s="197" t="s">
        <v>263</v>
      </c>
      <c r="F2971">
        <v>6702</v>
      </c>
    </row>
    <row r="2972" spans="1:6" x14ac:dyDescent="0.25">
      <c r="A2972">
        <v>7884</v>
      </c>
      <c r="B2972" s="15">
        <v>45392</v>
      </c>
      <c r="E2972" s="158"/>
      <c r="F2972">
        <v>6703</v>
      </c>
    </row>
    <row r="2973" spans="1:6" x14ac:dyDescent="0.25">
      <c r="A2973">
        <v>7884</v>
      </c>
      <c r="B2973" s="15">
        <v>45393</v>
      </c>
      <c r="E2973" s="160" t="s">
        <v>266</v>
      </c>
      <c r="F2973">
        <v>6704</v>
      </c>
    </row>
    <row r="2974" spans="1:6" x14ac:dyDescent="0.25">
      <c r="A2974">
        <v>7884</v>
      </c>
      <c r="B2974" s="15">
        <v>45394</v>
      </c>
      <c r="E2974" s="197" t="s">
        <v>263</v>
      </c>
      <c r="F2974">
        <v>6705</v>
      </c>
    </row>
    <row r="2975" spans="1:6" x14ac:dyDescent="0.25">
      <c r="A2975">
        <v>7884</v>
      </c>
      <c r="B2975" s="15">
        <v>45395</v>
      </c>
      <c r="E2975" s="157"/>
      <c r="F2975">
        <v>6706</v>
      </c>
    </row>
    <row r="2976" spans="1:6" x14ac:dyDescent="0.25">
      <c r="A2976">
        <v>7884</v>
      </c>
      <c r="B2976" s="15">
        <v>45396</v>
      </c>
      <c r="E2976" s="157"/>
      <c r="F2976">
        <v>6707</v>
      </c>
    </row>
    <row r="2977" spans="1:6" x14ac:dyDescent="0.25">
      <c r="A2977">
        <v>7884</v>
      </c>
      <c r="B2977" s="15">
        <v>45397</v>
      </c>
      <c r="E2977" s="160" t="s">
        <v>263</v>
      </c>
      <c r="F2977">
        <v>6708</v>
      </c>
    </row>
    <row r="2978" spans="1:6" x14ac:dyDescent="0.25">
      <c r="A2978">
        <v>7884</v>
      </c>
      <c r="B2978" s="15">
        <v>45398</v>
      </c>
      <c r="E2978" s="197" t="s">
        <v>266</v>
      </c>
      <c r="F2978">
        <v>6709</v>
      </c>
    </row>
    <row r="2979" spans="1:6" x14ac:dyDescent="0.25">
      <c r="A2979">
        <v>7884</v>
      </c>
      <c r="B2979" s="15">
        <v>45399</v>
      </c>
      <c r="E2979" s="157"/>
      <c r="F2979">
        <v>6710</v>
      </c>
    </row>
    <row r="2980" spans="1:6" x14ac:dyDescent="0.25">
      <c r="A2980">
        <v>7884</v>
      </c>
      <c r="B2980" s="15">
        <v>45400</v>
      </c>
      <c r="E2980" s="160" t="s">
        <v>263</v>
      </c>
      <c r="F2980">
        <v>6711</v>
      </c>
    </row>
    <row r="2981" spans="1:6" x14ac:dyDescent="0.25">
      <c r="A2981">
        <v>7884</v>
      </c>
      <c r="B2981" s="15">
        <v>45401</v>
      </c>
      <c r="E2981" s="197" t="s">
        <v>266</v>
      </c>
      <c r="F2981">
        <v>6712</v>
      </c>
    </row>
    <row r="2982" spans="1:6" x14ac:dyDescent="0.25">
      <c r="A2982">
        <v>7884</v>
      </c>
      <c r="B2982" s="15">
        <v>45402</v>
      </c>
      <c r="E2982" s="160" t="s">
        <v>175</v>
      </c>
      <c r="F2982">
        <v>6713</v>
      </c>
    </row>
    <row r="2983" spans="1:6" x14ac:dyDescent="0.25">
      <c r="A2983">
        <v>7884</v>
      </c>
      <c r="B2983" s="15">
        <v>45403</v>
      </c>
      <c r="E2983" s="157"/>
      <c r="F2983">
        <v>6714</v>
      </c>
    </row>
    <row r="2984" spans="1:6" x14ac:dyDescent="0.25">
      <c r="A2984">
        <v>7884</v>
      </c>
      <c r="B2984" s="15">
        <v>45404</v>
      </c>
      <c r="E2984" s="160" t="s">
        <v>266</v>
      </c>
      <c r="F2984">
        <v>6715</v>
      </c>
    </row>
    <row r="2985" spans="1:6" x14ac:dyDescent="0.25">
      <c r="A2985">
        <v>7884</v>
      </c>
      <c r="B2985" s="15">
        <v>45405</v>
      </c>
      <c r="E2985" s="197" t="s">
        <v>263</v>
      </c>
      <c r="F2985">
        <v>6716</v>
      </c>
    </row>
    <row r="2986" spans="1:6" x14ac:dyDescent="0.25">
      <c r="A2986">
        <v>7884</v>
      </c>
      <c r="B2986" s="15">
        <v>45406</v>
      </c>
      <c r="E2986" s="158"/>
      <c r="F2986">
        <v>6717</v>
      </c>
    </row>
    <row r="2987" spans="1:6" x14ac:dyDescent="0.25">
      <c r="A2987">
        <v>7884</v>
      </c>
      <c r="B2987" s="15">
        <v>45407</v>
      </c>
      <c r="E2987" s="160" t="s">
        <v>266</v>
      </c>
      <c r="F2987">
        <v>6718</v>
      </c>
    </row>
    <row r="2988" spans="1:6" x14ac:dyDescent="0.25">
      <c r="A2988">
        <v>7884</v>
      </c>
      <c r="B2988" s="15">
        <v>45408</v>
      </c>
      <c r="E2988" s="197" t="s">
        <v>263</v>
      </c>
      <c r="F2988">
        <v>6719</v>
      </c>
    </row>
    <row r="2989" spans="1:6" x14ac:dyDescent="0.25">
      <c r="A2989">
        <v>7884</v>
      </c>
      <c r="B2989" s="15">
        <v>45409</v>
      </c>
      <c r="E2989" s="157"/>
      <c r="F2989">
        <v>6720</v>
      </c>
    </row>
    <row r="2990" spans="1:6" x14ac:dyDescent="0.25">
      <c r="A2990">
        <v>7884</v>
      </c>
      <c r="B2990" s="15">
        <v>45410</v>
      </c>
      <c r="E2990" s="157"/>
      <c r="F2990">
        <v>6721</v>
      </c>
    </row>
    <row r="2991" spans="1:6" x14ac:dyDescent="0.25">
      <c r="A2991">
        <v>7884</v>
      </c>
      <c r="B2991" s="15">
        <v>45411</v>
      </c>
      <c r="E2991" s="117" t="s">
        <v>2</v>
      </c>
      <c r="F2991">
        <v>6722</v>
      </c>
    </row>
    <row r="2992" spans="1:6" x14ac:dyDescent="0.25">
      <c r="A2992">
        <v>7884</v>
      </c>
      <c r="B2992" s="15">
        <v>45412</v>
      </c>
      <c r="E2992" s="120" t="s">
        <v>2</v>
      </c>
      <c r="F2992">
        <v>6723</v>
      </c>
    </row>
    <row r="2993" spans="1:6" x14ac:dyDescent="0.25">
      <c r="A2993">
        <v>7884</v>
      </c>
      <c r="B2993" s="15">
        <v>45413</v>
      </c>
      <c r="E2993" s="157"/>
      <c r="F2993">
        <v>6724</v>
      </c>
    </row>
    <row r="2994" spans="1:6" x14ac:dyDescent="0.25">
      <c r="A2994">
        <v>7884</v>
      </c>
      <c r="B2994" s="15">
        <v>45414</v>
      </c>
      <c r="E2994" s="117" t="s">
        <v>2</v>
      </c>
      <c r="F2994">
        <v>6725</v>
      </c>
    </row>
    <row r="2995" spans="1:6" x14ac:dyDescent="0.25">
      <c r="A2995">
        <v>7884</v>
      </c>
      <c r="B2995" s="15">
        <v>45415</v>
      </c>
      <c r="E2995" s="120" t="s">
        <v>2</v>
      </c>
      <c r="F2995">
        <v>6726</v>
      </c>
    </row>
    <row r="2996" spans="1:6" x14ac:dyDescent="0.25">
      <c r="A2996">
        <v>7884</v>
      </c>
      <c r="B2996" s="15">
        <v>45416</v>
      </c>
      <c r="E2996" s="121" t="s">
        <v>2</v>
      </c>
      <c r="F2996">
        <v>6727</v>
      </c>
    </row>
    <row r="2997" spans="1:6" x14ac:dyDescent="0.25">
      <c r="A2997">
        <v>7884</v>
      </c>
      <c r="B2997" s="15">
        <v>45417</v>
      </c>
      <c r="E2997" s="157"/>
      <c r="F2997">
        <v>6728</v>
      </c>
    </row>
    <row r="2998" spans="1:6" x14ac:dyDescent="0.25">
      <c r="A2998">
        <v>7888</v>
      </c>
      <c r="B2998" s="15">
        <v>45047</v>
      </c>
      <c r="C2998" s="147"/>
      <c r="D2998" s="147"/>
      <c r="E2998" s="3"/>
      <c r="F2998">
        <v>2298</v>
      </c>
    </row>
    <row r="2999" spans="1:6" x14ac:dyDescent="0.25">
      <c r="A2999">
        <v>7888</v>
      </c>
      <c r="B2999" s="15">
        <v>45048</v>
      </c>
      <c r="C2999" s="106">
        <v>0.35416666666666669</v>
      </c>
      <c r="D2999" s="106">
        <v>0.66666666666666663</v>
      </c>
      <c r="E2999" s="3"/>
      <c r="F2999">
        <v>2299</v>
      </c>
    </row>
    <row r="3000" spans="1:6" x14ac:dyDescent="0.25">
      <c r="A3000">
        <v>7888</v>
      </c>
      <c r="B3000" s="15">
        <v>45049</v>
      </c>
      <c r="C3000" s="154"/>
      <c r="D3000" s="154"/>
      <c r="F3000">
        <v>2300</v>
      </c>
    </row>
    <row r="3001" spans="1:6" x14ac:dyDescent="0.25">
      <c r="A3001">
        <v>7888</v>
      </c>
      <c r="B3001" s="15">
        <v>45050</v>
      </c>
      <c r="C3001" s="106">
        <v>0.36458333333333331</v>
      </c>
      <c r="D3001" s="105">
        <v>0.80208333333333337</v>
      </c>
      <c r="E3001" s="3"/>
      <c r="F3001">
        <v>2301</v>
      </c>
    </row>
    <row r="3002" spans="1:6" x14ac:dyDescent="0.25">
      <c r="A3002">
        <v>7888</v>
      </c>
      <c r="B3002" s="15">
        <v>45051</v>
      </c>
      <c r="C3002" s="105">
        <v>0.35416666666666669</v>
      </c>
      <c r="D3002" s="106">
        <v>0.66666666666666663</v>
      </c>
      <c r="E3002" s="3"/>
      <c r="F3002">
        <v>2302</v>
      </c>
    </row>
    <row r="3003" spans="1:6" x14ac:dyDescent="0.25">
      <c r="A3003">
        <v>7888</v>
      </c>
      <c r="B3003" s="15">
        <v>45052</v>
      </c>
      <c r="C3003" s="133"/>
      <c r="D3003" s="133"/>
      <c r="F3003">
        <v>2303</v>
      </c>
    </row>
    <row r="3004" spans="1:6" x14ac:dyDescent="0.25">
      <c r="A3004">
        <v>7888</v>
      </c>
      <c r="B3004" s="15">
        <v>45053</v>
      </c>
      <c r="C3004" s="133"/>
      <c r="D3004" s="133"/>
      <c r="E3004" s="3"/>
      <c r="F3004">
        <v>2304</v>
      </c>
    </row>
    <row r="3005" spans="1:6" x14ac:dyDescent="0.25">
      <c r="A3005">
        <v>7888</v>
      </c>
      <c r="B3005" s="15">
        <v>45054</v>
      </c>
      <c r="C3005" s="147"/>
      <c r="D3005" s="147"/>
      <c r="F3005">
        <v>2305</v>
      </c>
    </row>
    <row r="3006" spans="1:6" x14ac:dyDescent="0.25">
      <c r="A3006">
        <v>7888</v>
      </c>
      <c r="B3006" s="15">
        <v>45055</v>
      </c>
      <c r="C3006" s="109" t="s">
        <v>2</v>
      </c>
      <c r="D3006" s="109" t="s">
        <v>2</v>
      </c>
      <c r="E3006" s="3"/>
      <c r="F3006">
        <v>2306</v>
      </c>
    </row>
    <row r="3007" spans="1:6" x14ac:dyDescent="0.25">
      <c r="A3007">
        <v>7888</v>
      </c>
      <c r="B3007" s="15">
        <v>45056</v>
      </c>
      <c r="C3007" s="154"/>
      <c r="D3007" s="154"/>
      <c r="E3007" s="3"/>
      <c r="F3007">
        <v>2307</v>
      </c>
    </row>
    <row r="3008" spans="1:6" x14ac:dyDescent="0.25">
      <c r="A3008">
        <v>7888</v>
      </c>
      <c r="B3008" s="15">
        <v>45057</v>
      </c>
      <c r="C3008" s="105">
        <v>0.35416666666666669</v>
      </c>
      <c r="D3008" s="106">
        <v>0.66666666666666663</v>
      </c>
      <c r="E3008" s="3"/>
      <c r="F3008">
        <v>2308</v>
      </c>
    </row>
    <row r="3009" spans="1:6" x14ac:dyDescent="0.25">
      <c r="A3009">
        <v>7888</v>
      </c>
      <c r="B3009" s="15">
        <v>45058</v>
      </c>
      <c r="C3009" s="106">
        <v>0.36458333333333331</v>
      </c>
      <c r="D3009" s="105">
        <v>0.80208333333333337</v>
      </c>
      <c r="E3009" s="3"/>
      <c r="F3009">
        <v>2309</v>
      </c>
    </row>
    <row r="3010" spans="1:6" x14ac:dyDescent="0.25">
      <c r="A3010">
        <v>7888</v>
      </c>
      <c r="B3010" s="15">
        <v>45059</v>
      </c>
      <c r="C3010" s="116" t="s">
        <v>167</v>
      </c>
      <c r="D3010" s="133"/>
      <c r="F3010">
        <v>2310</v>
      </c>
    </row>
    <row r="3011" spans="1:6" x14ac:dyDescent="0.25">
      <c r="A3011">
        <v>7888</v>
      </c>
      <c r="B3011" s="15">
        <v>45060</v>
      </c>
      <c r="C3011" s="133"/>
      <c r="D3011" s="133"/>
      <c r="E3011" s="3"/>
      <c r="F3011">
        <v>2311</v>
      </c>
    </row>
    <row r="3012" spans="1:6" x14ac:dyDescent="0.25">
      <c r="A3012">
        <v>7888</v>
      </c>
      <c r="B3012" s="15">
        <v>45061</v>
      </c>
      <c r="C3012" s="133"/>
      <c r="D3012" s="133"/>
      <c r="E3012" s="3"/>
      <c r="F3012">
        <v>2312</v>
      </c>
    </row>
    <row r="3013" spans="1:6" x14ac:dyDescent="0.25">
      <c r="A3013">
        <v>7888</v>
      </c>
      <c r="B3013" s="15">
        <v>45062</v>
      </c>
      <c r="C3013" s="106">
        <v>0.36458333333333331</v>
      </c>
      <c r="D3013" s="105">
        <v>0.80208333333333337</v>
      </c>
      <c r="E3013" s="3"/>
      <c r="F3013">
        <v>2313</v>
      </c>
    </row>
    <row r="3014" spans="1:6" x14ac:dyDescent="0.25">
      <c r="A3014">
        <v>7888</v>
      </c>
      <c r="B3014" s="15">
        <v>45063</v>
      </c>
      <c r="C3014" s="105">
        <v>0.35416666666666669</v>
      </c>
      <c r="D3014" s="106">
        <v>0.66666666666666663</v>
      </c>
      <c r="E3014" s="3"/>
      <c r="F3014">
        <v>2314</v>
      </c>
    </row>
    <row r="3015" spans="1:6" x14ac:dyDescent="0.25">
      <c r="A3015">
        <v>7888</v>
      </c>
      <c r="B3015" s="15">
        <v>45064</v>
      </c>
      <c r="C3015" s="107"/>
      <c r="D3015" s="107"/>
      <c r="E3015" s="3"/>
      <c r="F3015">
        <v>2315</v>
      </c>
    </row>
    <row r="3016" spans="1:6" x14ac:dyDescent="0.25">
      <c r="A3016">
        <v>7888</v>
      </c>
      <c r="B3016" s="15">
        <v>45065</v>
      </c>
      <c r="C3016" s="104" t="s">
        <v>2</v>
      </c>
      <c r="D3016" s="104" t="s">
        <v>2</v>
      </c>
      <c r="E3016" s="3"/>
      <c r="F3016">
        <v>2316</v>
      </c>
    </row>
    <row r="3017" spans="1:6" x14ac:dyDescent="0.25">
      <c r="A3017">
        <v>7888</v>
      </c>
      <c r="B3017" s="15">
        <v>45066</v>
      </c>
      <c r="C3017" s="133"/>
      <c r="D3017" s="133"/>
      <c r="E3017" s="3"/>
      <c r="F3017">
        <v>2317</v>
      </c>
    </row>
    <row r="3018" spans="1:6" x14ac:dyDescent="0.25">
      <c r="A3018">
        <v>7888</v>
      </c>
      <c r="B3018" s="15">
        <v>45067</v>
      </c>
      <c r="C3018" s="133"/>
      <c r="D3018" s="133"/>
      <c r="F3018">
        <v>2318</v>
      </c>
    </row>
    <row r="3019" spans="1:6" x14ac:dyDescent="0.25">
      <c r="A3019">
        <v>7888</v>
      </c>
      <c r="B3019" s="15">
        <v>45068</v>
      </c>
      <c r="C3019" s="152"/>
      <c r="D3019" s="152"/>
      <c r="E3019" s="3"/>
      <c r="F3019">
        <v>2319</v>
      </c>
    </row>
    <row r="3020" spans="1:6" x14ac:dyDescent="0.25">
      <c r="A3020">
        <v>7888</v>
      </c>
      <c r="B3020" s="15">
        <v>45069</v>
      </c>
      <c r="C3020" s="104" t="s">
        <v>2</v>
      </c>
      <c r="D3020" s="104" t="s">
        <v>2</v>
      </c>
      <c r="F3020">
        <v>2320</v>
      </c>
    </row>
    <row r="3021" spans="1:6" x14ac:dyDescent="0.25">
      <c r="A3021">
        <v>7888</v>
      </c>
      <c r="B3021" s="15">
        <v>45070</v>
      </c>
      <c r="C3021" s="104" t="s">
        <v>2</v>
      </c>
      <c r="D3021" s="104" t="s">
        <v>2</v>
      </c>
      <c r="E3021" s="3"/>
      <c r="F3021">
        <v>2321</v>
      </c>
    </row>
    <row r="3022" spans="1:6" x14ac:dyDescent="0.25">
      <c r="A3022">
        <v>7888</v>
      </c>
      <c r="B3022" s="15">
        <v>45071</v>
      </c>
      <c r="C3022" s="106">
        <v>0.35416666666666669</v>
      </c>
      <c r="D3022" s="106">
        <v>0.66666666666666663</v>
      </c>
      <c r="E3022" s="3"/>
      <c r="F3022">
        <v>2322</v>
      </c>
    </row>
    <row r="3023" spans="1:6" x14ac:dyDescent="0.25">
      <c r="A3023">
        <v>7888</v>
      </c>
      <c r="B3023" s="15">
        <v>45072</v>
      </c>
      <c r="C3023" s="106">
        <v>0.36458333333333331</v>
      </c>
      <c r="D3023" s="105">
        <v>0.80208333333333337</v>
      </c>
      <c r="E3023" s="3"/>
      <c r="F3023">
        <v>2323</v>
      </c>
    </row>
    <row r="3024" spans="1:6" x14ac:dyDescent="0.25">
      <c r="A3024">
        <v>7888</v>
      </c>
      <c r="B3024" s="15">
        <v>45073</v>
      </c>
      <c r="C3024" s="116" t="s">
        <v>167</v>
      </c>
      <c r="D3024" s="133"/>
      <c r="E3024" s="3"/>
      <c r="F3024">
        <v>2324</v>
      </c>
    </row>
    <row r="3025" spans="1:6" x14ac:dyDescent="0.25">
      <c r="A3025">
        <v>7888</v>
      </c>
      <c r="B3025" s="15">
        <v>45074</v>
      </c>
      <c r="C3025" s="133"/>
      <c r="D3025" s="133"/>
      <c r="E3025" s="3"/>
      <c r="F3025">
        <v>2325</v>
      </c>
    </row>
    <row r="3026" spans="1:6" x14ac:dyDescent="0.25">
      <c r="A3026">
        <v>7888</v>
      </c>
      <c r="B3026" s="15">
        <v>45075</v>
      </c>
      <c r="C3026" s="133"/>
      <c r="D3026" s="133"/>
      <c r="E3026" s="3"/>
      <c r="F3026">
        <v>2326</v>
      </c>
    </row>
    <row r="3027" spans="1:6" x14ac:dyDescent="0.25">
      <c r="A3027">
        <v>7888</v>
      </c>
      <c r="B3027" s="15">
        <v>45076</v>
      </c>
      <c r="C3027" s="106">
        <v>0.36458333333333331</v>
      </c>
      <c r="D3027" s="105">
        <v>0.80208333333333337</v>
      </c>
      <c r="E3027" s="3"/>
      <c r="F3027">
        <v>2327</v>
      </c>
    </row>
    <row r="3028" spans="1:6" x14ac:dyDescent="0.25">
      <c r="A3028">
        <v>7888</v>
      </c>
      <c r="B3028" s="15">
        <v>45077</v>
      </c>
      <c r="C3028" s="105">
        <v>0.35416666666666669</v>
      </c>
      <c r="D3028" s="106">
        <v>0.66666666666666663</v>
      </c>
      <c r="E3028" s="3"/>
      <c r="F3028">
        <v>2328</v>
      </c>
    </row>
    <row r="3029" spans="1:6" x14ac:dyDescent="0.25">
      <c r="A3029">
        <v>7888</v>
      </c>
      <c r="B3029" s="15">
        <v>45078</v>
      </c>
      <c r="C3029" s="106">
        <v>0.36458333333333331</v>
      </c>
      <c r="D3029" s="105">
        <v>0.80208333333333337</v>
      </c>
      <c r="E3029" s="3"/>
      <c r="F3029">
        <v>2329</v>
      </c>
    </row>
    <row r="3030" spans="1:6" x14ac:dyDescent="0.25">
      <c r="A3030">
        <v>7888</v>
      </c>
      <c r="B3030" s="15">
        <v>45079</v>
      </c>
      <c r="C3030" s="106">
        <v>0.35416666666666669</v>
      </c>
      <c r="D3030" s="106">
        <v>0.66666666666666663</v>
      </c>
      <c r="E3030" s="3"/>
      <c r="F3030">
        <v>2330</v>
      </c>
    </row>
    <row r="3031" spans="1:6" x14ac:dyDescent="0.25">
      <c r="A3031">
        <v>7888</v>
      </c>
      <c r="B3031" s="15">
        <v>45080</v>
      </c>
      <c r="C3031" s="133"/>
      <c r="D3031" s="133"/>
      <c r="F3031">
        <v>2331</v>
      </c>
    </row>
    <row r="3032" spans="1:6" x14ac:dyDescent="0.25">
      <c r="A3032">
        <v>7888</v>
      </c>
      <c r="B3032" s="15">
        <v>45081</v>
      </c>
      <c r="C3032" s="133"/>
      <c r="D3032" s="133"/>
      <c r="E3032" s="3"/>
      <c r="F3032">
        <v>2332</v>
      </c>
    </row>
    <row r="3033" spans="1:6" x14ac:dyDescent="0.25">
      <c r="A3033">
        <v>7888</v>
      </c>
      <c r="B3033" s="15">
        <v>45082</v>
      </c>
      <c r="C3033" s="133"/>
      <c r="D3033" s="133"/>
      <c r="E3033" s="3"/>
      <c r="F3033">
        <v>2333</v>
      </c>
    </row>
    <row r="3034" spans="1:6" x14ac:dyDescent="0.25">
      <c r="A3034">
        <v>7888</v>
      </c>
      <c r="B3034" s="15">
        <v>45083</v>
      </c>
      <c r="C3034" s="105">
        <v>0.35416666666666669</v>
      </c>
      <c r="D3034" s="106">
        <v>0.66666666666666663</v>
      </c>
      <c r="F3034">
        <v>2334</v>
      </c>
    </row>
    <row r="3035" spans="1:6" x14ac:dyDescent="0.25">
      <c r="A3035">
        <v>7888</v>
      </c>
      <c r="B3035" s="15">
        <v>45084</v>
      </c>
      <c r="C3035" s="106">
        <v>0.36458333333333331</v>
      </c>
      <c r="D3035" s="105">
        <v>0.80208333333333337</v>
      </c>
      <c r="E3035" s="3"/>
      <c r="F3035">
        <v>2335</v>
      </c>
    </row>
    <row r="3036" spans="1:6" x14ac:dyDescent="0.25">
      <c r="A3036">
        <v>7888</v>
      </c>
      <c r="B3036" s="15">
        <v>45085</v>
      </c>
      <c r="C3036" s="106">
        <v>0.35416666666666669</v>
      </c>
      <c r="D3036" s="106">
        <v>0.66666666666666663</v>
      </c>
      <c r="F3036">
        <v>2336</v>
      </c>
    </row>
    <row r="3037" spans="1:6" x14ac:dyDescent="0.25">
      <c r="A3037">
        <v>7888</v>
      </c>
      <c r="B3037" s="15">
        <v>45086</v>
      </c>
      <c r="C3037" s="106">
        <v>0.36458333333333331</v>
      </c>
      <c r="D3037" s="105">
        <v>0.80208333333333337</v>
      </c>
      <c r="E3037" s="3"/>
      <c r="F3037">
        <v>2337</v>
      </c>
    </row>
    <row r="3038" spans="1:6" x14ac:dyDescent="0.25">
      <c r="A3038">
        <v>7888</v>
      </c>
      <c r="B3038" s="15">
        <v>45087</v>
      </c>
      <c r="C3038" s="116" t="s">
        <v>167</v>
      </c>
      <c r="D3038" s="133"/>
      <c r="E3038" s="3"/>
      <c r="F3038">
        <v>2338</v>
      </c>
    </row>
    <row r="3039" spans="1:6" x14ac:dyDescent="0.25">
      <c r="A3039">
        <v>7888</v>
      </c>
      <c r="B3039" s="15">
        <v>45088</v>
      </c>
      <c r="C3039" s="133"/>
      <c r="D3039" s="133"/>
      <c r="E3039" s="3"/>
      <c r="F3039">
        <v>2339</v>
      </c>
    </row>
    <row r="3040" spans="1:6" x14ac:dyDescent="0.25">
      <c r="A3040">
        <v>7888</v>
      </c>
      <c r="B3040" s="15">
        <v>45089</v>
      </c>
      <c r="C3040" s="133"/>
      <c r="D3040" s="133"/>
      <c r="E3040" s="3"/>
      <c r="F3040">
        <v>2340</v>
      </c>
    </row>
    <row r="3041" spans="1:6" x14ac:dyDescent="0.25">
      <c r="A3041">
        <v>7888</v>
      </c>
      <c r="B3041" s="15">
        <v>45090</v>
      </c>
      <c r="C3041" s="106">
        <v>0.36458333333333331</v>
      </c>
      <c r="D3041" s="105">
        <v>0.80208333333333337</v>
      </c>
      <c r="F3041">
        <v>2341</v>
      </c>
    </row>
    <row r="3042" spans="1:6" x14ac:dyDescent="0.25">
      <c r="A3042">
        <v>7888</v>
      </c>
      <c r="B3042" s="15">
        <v>45091</v>
      </c>
      <c r="C3042" s="105">
        <v>0.35416666666666669</v>
      </c>
      <c r="D3042" s="105">
        <v>0.66666666666666663</v>
      </c>
      <c r="E3042" s="3"/>
      <c r="F3042">
        <v>2342</v>
      </c>
    </row>
    <row r="3043" spans="1:6" x14ac:dyDescent="0.25">
      <c r="A3043">
        <v>7888</v>
      </c>
      <c r="B3043" s="15">
        <v>45092</v>
      </c>
      <c r="C3043" s="106">
        <v>0.36458333333333331</v>
      </c>
      <c r="D3043" s="105">
        <v>0.80208333333333337</v>
      </c>
      <c r="E3043" s="3"/>
      <c r="F3043">
        <v>2343</v>
      </c>
    </row>
    <row r="3044" spans="1:6" x14ac:dyDescent="0.25">
      <c r="A3044">
        <v>7888</v>
      </c>
      <c r="B3044" s="15">
        <v>45093</v>
      </c>
      <c r="C3044" s="105">
        <v>0.35416666666666669</v>
      </c>
      <c r="D3044" s="106">
        <v>0.66666666666666663</v>
      </c>
      <c r="E3044" s="3"/>
      <c r="F3044">
        <v>2344</v>
      </c>
    </row>
    <row r="3045" spans="1:6" x14ac:dyDescent="0.25">
      <c r="A3045">
        <v>7888</v>
      </c>
      <c r="B3045" s="15">
        <v>45094</v>
      </c>
      <c r="C3045" s="133"/>
      <c r="D3045" s="133"/>
      <c r="E3045" s="3"/>
      <c r="F3045">
        <v>2345</v>
      </c>
    </row>
    <row r="3046" spans="1:6" x14ac:dyDescent="0.25">
      <c r="A3046">
        <v>7888</v>
      </c>
      <c r="B3046" s="15">
        <v>45095</v>
      </c>
      <c r="C3046" s="133"/>
      <c r="D3046" s="133"/>
      <c r="E3046" s="3"/>
      <c r="F3046">
        <v>2346</v>
      </c>
    </row>
    <row r="3047" spans="1:6" x14ac:dyDescent="0.25">
      <c r="A3047">
        <v>7888</v>
      </c>
      <c r="B3047" s="15">
        <v>45096</v>
      </c>
      <c r="C3047" s="154"/>
      <c r="D3047" s="154"/>
      <c r="E3047" s="3"/>
      <c r="F3047">
        <v>2347</v>
      </c>
    </row>
    <row r="3048" spans="1:6" x14ac:dyDescent="0.25">
      <c r="A3048">
        <v>7888</v>
      </c>
      <c r="B3048" s="15">
        <v>45097</v>
      </c>
      <c r="C3048" s="109" t="s">
        <v>2</v>
      </c>
      <c r="D3048" s="109" t="s">
        <v>2</v>
      </c>
      <c r="E3048" s="3"/>
      <c r="F3048">
        <v>2348</v>
      </c>
    </row>
    <row r="3049" spans="1:6" x14ac:dyDescent="0.25">
      <c r="A3049">
        <v>7888</v>
      </c>
      <c r="B3049" s="15">
        <v>45098</v>
      </c>
      <c r="C3049" s="109" t="s">
        <v>2</v>
      </c>
      <c r="D3049" s="109" t="s">
        <v>2</v>
      </c>
      <c r="F3049">
        <v>2349</v>
      </c>
    </row>
    <row r="3050" spans="1:6" x14ac:dyDescent="0.25">
      <c r="A3050">
        <v>7888</v>
      </c>
      <c r="B3050" s="15">
        <v>45099</v>
      </c>
      <c r="C3050" s="109" t="s">
        <v>2</v>
      </c>
      <c r="D3050" s="109" t="s">
        <v>2</v>
      </c>
      <c r="E3050" s="3"/>
      <c r="F3050">
        <v>2350</v>
      </c>
    </row>
    <row r="3051" spans="1:6" x14ac:dyDescent="0.25">
      <c r="A3051">
        <v>7888</v>
      </c>
      <c r="B3051" s="15">
        <v>45100</v>
      </c>
      <c r="C3051" s="109" t="s">
        <v>2</v>
      </c>
      <c r="D3051" s="109" t="s">
        <v>2</v>
      </c>
      <c r="F3051">
        <v>2351</v>
      </c>
    </row>
    <row r="3052" spans="1:6" x14ac:dyDescent="0.25">
      <c r="A3052">
        <v>7888</v>
      </c>
      <c r="B3052" s="15">
        <v>45101</v>
      </c>
      <c r="C3052" s="109" t="s">
        <v>2</v>
      </c>
      <c r="D3052" s="133"/>
      <c r="E3052" s="3"/>
      <c r="F3052">
        <v>2352</v>
      </c>
    </row>
    <row r="3053" spans="1:6" x14ac:dyDescent="0.25">
      <c r="A3053">
        <v>7888</v>
      </c>
      <c r="B3053" s="15">
        <v>45102</v>
      </c>
      <c r="C3053" s="133"/>
      <c r="D3053" s="133"/>
      <c r="E3053" s="3"/>
      <c r="F3053">
        <v>2353</v>
      </c>
    </row>
    <row r="3054" spans="1:6" x14ac:dyDescent="0.25">
      <c r="A3054">
        <v>7888</v>
      </c>
      <c r="B3054" s="15">
        <v>45103</v>
      </c>
      <c r="C3054" s="133"/>
      <c r="D3054" s="133"/>
      <c r="E3054" s="3"/>
      <c r="F3054">
        <v>2354</v>
      </c>
    </row>
    <row r="3055" spans="1:6" x14ac:dyDescent="0.25">
      <c r="A3055">
        <v>7888</v>
      </c>
      <c r="B3055" s="15">
        <v>45104</v>
      </c>
      <c r="C3055" s="109" t="s">
        <v>2</v>
      </c>
      <c r="D3055" s="109" t="s">
        <v>2</v>
      </c>
      <c r="E3055" s="3"/>
      <c r="F3055">
        <v>2355</v>
      </c>
    </row>
    <row r="3056" spans="1:6" x14ac:dyDescent="0.25">
      <c r="A3056">
        <v>7888</v>
      </c>
      <c r="B3056" s="15">
        <v>45105</v>
      </c>
      <c r="C3056" s="109" t="s">
        <v>2</v>
      </c>
      <c r="D3056" s="109" t="s">
        <v>2</v>
      </c>
      <c r="E3056" s="3"/>
      <c r="F3056">
        <v>2356</v>
      </c>
    </row>
    <row r="3057" spans="1:6" x14ac:dyDescent="0.25">
      <c r="A3057">
        <v>7888</v>
      </c>
      <c r="B3057" s="15">
        <v>45106</v>
      </c>
      <c r="C3057" s="109" t="s">
        <v>2</v>
      </c>
      <c r="D3057" s="109" t="s">
        <v>2</v>
      </c>
      <c r="E3057" s="3"/>
      <c r="F3057">
        <v>2357</v>
      </c>
    </row>
    <row r="3058" spans="1:6" x14ac:dyDescent="0.25">
      <c r="A3058">
        <v>7888</v>
      </c>
      <c r="B3058" s="15">
        <v>45107</v>
      </c>
      <c r="C3058" s="109" t="s">
        <v>2</v>
      </c>
      <c r="D3058" s="109" t="s">
        <v>2</v>
      </c>
      <c r="E3058" s="3"/>
      <c r="F3058">
        <v>2358</v>
      </c>
    </row>
    <row r="3059" spans="1:6" x14ac:dyDescent="0.25">
      <c r="A3059">
        <v>7888</v>
      </c>
      <c r="B3059" s="15">
        <v>45108</v>
      </c>
      <c r="C3059" s="133"/>
      <c r="D3059" s="133"/>
      <c r="E3059" s="3"/>
      <c r="F3059">
        <v>2359</v>
      </c>
    </row>
    <row r="3060" spans="1:6" x14ac:dyDescent="0.25">
      <c r="A3060">
        <v>7888</v>
      </c>
      <c r="B3060" s="15">
        <v>45109</v>
      </c>
      <c r="C3060" s="133"/>
      <c r="D3060" s="133"/>
      <c r="E3060" s="3"/>
      <c r="F3060">
        <v>2360</v>
      </c>
    </row>
    <row r="3061" spans="1:6" x14ac:dyDescent="0.25">
      <c r="A3061">
        <v>7888</v>
      </c>
      <c r="B3061" s="15">
        <v>45110</v>
      </c>
      <c r="C3061" s="133"/>
      <c r="D3061" s="133"/>
      <c r="E3061" s="3"/>
      <c r="F3061">
        <v>2361</v>
      </c>
    </row>
    <row r="3062" spans="1:6" x14ac:dyDescent="0.25">
      <c r="A3062">
        <v>7888</v>
      </c>
      <c r="B3062" s="15">
        <v>45111</v>
      </c>
      <c r="C3062" s="106">
        <v>0.35416666666666669</v>
      </c>
      <c r="D3062" s="106">
        <v>0.66666666666666663</v>
      </c>
      <c r="F3062">
        <v>2362</v>
      </c>
    </row>
    <row r="3063" spans="1:6" x14ac:dyDescent="0.25">
      <c r="A3063">
        <v>7888</v>
      </c>
      <c r="B3063" s="15">
        <v>45112</v>
      </c>
      <c r="C3063" s="106">
        <v>0.36458333333333331</v>
      </c>
      <c r="D3063" s="105">
        <v>0.80208333333333337</v>
      </c>
      <c r="E3063" s="3"/>
      <c r="F3063">
        <v>2363</v>
      </c>
    </row>
    <row r="3064" spans="1:6" x14ac:dyDescent="0.25">
      <c r="A3064">
        <v>7888</v>
      </c>
      <c r="B3064" s="15">
        <v>45113</v>
      </c>
      <c r="C3064" s="106">
        <v>0.35416666666666669</v>
      </c>
      <c r="D3064" s="106">
        <v>0.66666666666666663</v>
      </c>
      <c r="E3064" s="3"/>
      <c r="F3064">
        <v>2364</v>
      </c>
    </row>
    <row r="3065" spans="1:6" x14ac:dyDescent="0.25">
      <c r="A3065">
        <v>7888</v>
      </c>
      <c r="B3065" s="15">
        <v>45114</v>
      </c>
      <c r="C3065" s="106">
        <v>0.36458333333333331</v>
      </c>
      <c r="D3065" s="105">
        <v>0.80208333333333337</v>
      </c>
      <c r="F3065">
        <v>2365</v>
      </c>
    </row>
    <row r="3066" spans="1:6" x14ac:dyDescent="0.25">
      <c r="A3066">
        <v>7888</v>
      </c>
      <c r="B3066" s="15">
        <v>45115</v>
      </c>
      <c r="C3066" s="116" t="s">
        <v>167</v>
      </c>
      <c r="D3066" s="133"/>
      <c r="E3066" s="3"/>
      <c r="F3066">
        <v>2366</v>
      </c>
    </row>
    <row r="3067" spans="1:6" x14ac:dyDescent="0.25">
      <c r="A3067">
        <v>7888</v>
      </c>
      <c r="B3067" s="15">
        <v>45116</v>
      </c>
      <c r="C3067" s="133"/>
      <c r="D3067" s="133"/>
      <c r="F3067">
        <v>2367</v>
      </c>
    </row>
    <row r="3068" spans="1:6" x14ac:dyDescent="0.25">
      <c r="A3068">
        <v>7888</v>
      </c>
      <c r="B3068" s="15">
        <v>45117</v>
      </c>
      <c r="C3068" s="133"/>
      <c r="D3068" s="133"/>
      <c r="E3068" s="3"/>
      <c r="F3068">
        <v>2368</v>
      </c>
    </row>
    <row r="3069" spans="1:6" x14ac:dyDescent="0.25">
      <c r="A3069">
        <v>7888</v>
      </c>
      <c r="B3069" s="15">
        <v>45118</v>
      </c>
      <c r="C3069" s="106">
        <v>0.36458333333333331</v>
      </c>
      <c r="D3069" s="105">
        <v>0.80208333333333337</v>
      </c>
      <c r="E3069" s="3"/>
      <c r="F3069">
        <v>2369</v>
      </c>
    </row>
    <row r="3070" spans="1:6" x14ac:dyDescent="0.25">
      <c r="A3070">
        <v>7888</v>
      </c>
      <c r="B3070" s="15">
        <v>45119</v>
      </c>
      <c r="C3070" s="106">
        <v>0.35416666666666669</v>
      </c>
      <c r="D3070" s="105">
        <v>0.66666666666666663</v>
      </c>
      <c r="E3070" s="3"/>
      <c r="F3070">
        <v>2370</v>
      </c>
    </row>
    <row r="3071" spans="1:6" x14ac:dyDescent="0.25">
      <c r="A3071">
        <v>7888</v>
      </c>
      <c r="B3071" s="15">
        <v>45120</v>
      </c>
      <c r="C3071" s="109" t="s">
        <v>2</v>
      </c>
      <c r="D3071" s="109" t="s">
        <v>2</v>
      </c>
      <c r="E3071" s="3"/>
      <c r="F3071">
        <v>2371</v>
      </c>
    </row>
    <row r="3072" spans="1:6" x14ac:dyDescent="0.25">
      <c r="A3072">
        <v>7888</v>
      </c>
      <c r="B3072" s="15">
        <v>45121</v>
      </c>
      <c r="C3072" s="107"/>
      <c r="D3072" s="107"/>
      <c r="F3072">
        <v>2372</v>
      </c>
    </row>
    <row r="3073" spans="1:6" x14ac:dyDescent="0.25">
      <c r="A3073">
        <v>7888</v>
      </c>
      <c r="B3073" s="15">
        <v>45122</v>
      </c>
      <c r="C3073" s="133"/>
      <c r="D3073" s="133"/>
      <c r="E3073" s="3"/>
      <c r="F3073">
        <v>2373</v>
      </c>
    </row>
    <row r="3074" spans="1:6" x14ac:dyDescent="0.25">
      <c r="A3074">
        <v>7888</v>
      </c>
      <c r="B3074" s="15">
        <v>45123</v>
      </c>
      <c r="C3074" s="133"/>
      <c r="D3074" s="133"/>
      <c r="E3074" s="3"/>
      <c r="F3074">
        <v>2374</v>
      </c>
    </row>
    <row r="3075" spans="1:6" x14ac:dyDescent="0.25">
      <c r="A3075">
        <v>7888</v>
      </c>
      <c r="B3075" s="15">
        <v>45124</v>
      </c>
      <c r="C3075" s="133"/>
      <c r="D3075" s="133"/>
      <c r="E3075" s="3"/>
      <c r="F3075">
        <v>2375</v>
      </c>
    </row>
    <row r="3076" spans="1:6" x14ac:dyDescent="0.25">
      <c r="A3076">
        <v>7888</v>
      </c>
      <c r="B3076" s="15">
        <v>45125</v>
      </c>
      <c r="C3076" s="105">
        <v>0.35416666666666669</v>
      </c>
      <c r="D3076" s="106">
        <v>0.66666666666666663</v>
      </c>
      <c r="E3076" s="3"/>
      <c r="F3076">
        <v>2376</v>
      </c>
    </row>
    <row r="3077" spans="1:6" x14ac:dyDescent="0.25">
      <c r="A3077">
        <v>7888</v>
      </c>
      <c r="B3077" s="15">
        <v>45126</v>
      </c>
      <c r="C3077" s="106">
        <v>0.36458333333333331</v>
      </c>
      <c r="D3077" s="105">
        <v>0.80208333333333337</v>
      </c>
      <c r="E3077" s="3"/>
      <c r="F3077">
        <v>2377</v>
      </c>
    </row>
    <row r="3078" spans="1:6" x14ac:dyDescent="0.25">
      <c r="A3078">
        <v>7888</v>
      </c>
      <c r="B3078" s="15">
        <v>45127</v>
      </c>
      <c r="C3078" s="105">
        <v>0.35416666666666669</v>
      </c>
      <c r="D3078" s="106">
        <v>0.66666666666666663</v>
      </c>
      <c r="E3078" s="3"/>
      <c r="F3078">
        <v>2378</v>
      </c>
    </row>
    <row r="3079" spans="1:6" x14ac:dyDescent="0.25">
      <c r="A3079">
        <v>7888</v>
      </c>
      <c r="B3079" s="15">
        <v>45128</v>
      </c>
      <c r="C3079" s="106">
        <v>0.36458333333333331</v>
      </c>
      <c r="D3079" s="105">
        <v>0.80208333333333337</v>
      </c>
      <c r="E3079" s="3"/>
      <c r="F3079">
        <v>2379</v>
      </c>
    </row>
    <row r="3080" spans="1:6" x14ac:dyDescent="0.25">
      <c r="A3080">
        <v>7888</v>
      </c>
      <c r="B3080" s="15">
        <v>45129</v>
      </c>
      <c r="C3080" s="116" t="s">
        <v>167</v>
      </c>
      <c r="D3080" s="133"/>
      <c r="F3080">
        <v>2380</v>
      </c>
    </row>
    <row r="3081" spans="1:6" x14ac:dyDescent="0.25">
      <c r="A3081">
        <v>7888</v>
      </c>
      <c r="B3081" s="15">
        <v>45130</v>
      </c>
      <c r="C3081" s="133"/>
      <c r="D3081" s="133"/>
      <c r="E3081" s="3"/>
      <c r="F3081">
        <v>2381</v>
      </c>
    </row>
    <row r="3082" spans="1:6" x14ac:dyDescent="0.25">
      <c r="A3082">
        <v>7888</v>
      </c>
      <c r="B3082" s="15">
        <v>45131</v>
      </c>
      <c r="C3082" s="133"/>
      <c r="D3082" s="133"/>
      <c r="F3082">
        <v>2382</v>
      </c>
    </row>
    <row r="3083" spans="1:6" x14ac:dyDescent="0.25">
      <c r="A3083">
        <v>7888</v>
      </c>
      <c r="B3083" s="15">
        <v>45132</v>
      </c>
      <c r="C3083" s="106">
        <v>0.36458333333333331</v>
      </c>
      <c r="D3083" s="105">
        <v>0.80208333333333337</v>
      </c>
      <c r="E3083" s="3"/>
      <c r="F3083">
        <v>2383</v>
      </c>
    </row>
    <row r="3084" spans="1:6" x14ac:dyDescent="0.25">
      <c r="A3084">
        <v>7888</v>
      </c>
      <c r="B3084" s="15">
        <v>45133</v>
      </c>
      <c r="C3084" s="105">
        <v>0.35416666666666669</v>
      </c>
      <c r="D3084" s="106">
        <v>0.66666666666666663</v>
      </c>
      <c r="E3084" s="3"/>
      <c r="F3084">
        <v>2384</v>
      </c>
    </row>
    <row r="3085" spans="1:6" x14ac:dyDescent="0.25">
      <c r="A3085">
        <v>7888</v>
      </c>
      <c r="B3085" s="15">
        <v>45134</v>
      </c>
      <c r="C3085" s="106">
        <v>0.36458333333333331</v>
      </c>
      <c r="D3085" s="105">
        <v>0.80208333333333337</v>
      </c>
      <c r="E3085" s="3"/>
      <c r="F3085">
        <v>2385</v>
      </c>
    </row>
    <row r="3086" spans="1:6" x14ac:dyDescent="0.25">
      <c r="A3086">
        <v>7888</v>
      </c>
      <c r="B3086" s="15">
        <v>45135</v>
      </c>
      <c r="C3086" s="105">
        <v>0.35416666666666669</v>
      </c>
      <c r="D3086" s="106">
        <v>0.66666666666666663</v>
      </c>
      <c r="E3086" s="3"/>
      <c r="F3086">
        <v>2386</v>
      </c>
    </row>
    <row r="3087" spans="1:6" x14ac:dyDescent="0.25">
      <c r="A3087">
        <v>7888</v>
      </c>
      <c r="B3087" s="15">
        <v>45136</v>
      </c>
      <c r="C3087" s="133"/>
      <c r="D3087" s="133"/>
      <c r="E3087" s="3"/>
      <c r="F3087">
        <v>2387</v>
      </c>
    </row>
    <row r="3088" spans="1:6" x14ac:dyDescent="0.25">
      <c r="A3088">
        <v>7888</v>
      </c>
      <c r="B3088" s="15">
        <v>45137</v>
      </c>
      <c r="C3088" s="133"/>
      <c r="D3088" s="133"/>
      <c r="E3088" s="3"/>
      <c r="F3088">
        <v>2388</v>
      </c>
    </row>
    <row r="3089" spans="1:6" x14ac:dyDescent="0.25">
      <c r="A3089">
        <v>7888</v>
      </c>
      <c r="B3089" s="15">
        <v>45138</v>
      </c>
      <c r="C3089" s="133"/>
      <c r="D3089" s="133"/>
      <c r="E3089" s="3"/>
      <c r="F3089">
        <v>2389</v>
      </c>
    </row>
    <row r="3090" spans="1:6" x14ac:dyDescent="0.25">
      <c r="A3090">
        <v>7888</v>
      </c>
      <c r="B3090" s="15">
        <v>45139</v>
      </c>
      <c r="C3090" s="106">
        <v>0.35416666666666669</v>
      </c>
      <c r="D3090" s="106">
        <v>0.66666666666666663</v>
      </c>
      <c r="E3090" s="3"/>
      <c r="F3090">
        <v>2390</v>
      </c>
    </row>
    <row r="3091" spans="1:6" x14ac:dyDescent="0.25">
      <c r="A3091">
        <v>7888</v>
      </c>
      <c r="B3091" s="15">
        <v>45140</v>
      </c>
      <c r="C3091" s="106">
        <v>0.36458333333333331</v>
      </c>
      <c r="D3091" s="105">
        <v>0.80208333333333337</v>
      </c>
      <c r="E3091" s="3"/>
      <c r="F3091">
        <v>2391</v>
      </c>
    </row>
    <row r="3092" spans="1:6" x14ac:dyDescent="0.25">
      <c r="A3092">
        <v>7888</v>
      </c>
      <c r="B3092" s="15">
        <v>45141</v>
      </c>
      <c r="C3092" s="105">
        <v>0.35416666666666669</v>
      </c>
      <c r="D3092" s="106">
        <v>0.66666666666666663</v>
      </c>
      <c r="E3092" s="3"/>
      <c r="F3092">
        <v>2392</v>
      </c>
    </row>
    <row r="3093" spans="1:6" x14ac:dyDescent="0.25">
      <c r="A3093">
        <v>7888</v>
      </c>
      <c r="B3093" s="15">
        <v>45142</v>
      </c>
      <c r="C3093" s="106">
        <v>0.36458333333333331</v>
      </c>
      <c r="D3093" s="105">
        <v>0.80208333333333337</v>
      </c>
      <c r="F3093">
        <v>2393</v>
      </c>
    </row>
    <row r="3094" spans="1:6" x14ac:dyDescent="0.25">
      <c r="A3094">
        <v>7888</v>
      </c>
      <c r="B3094" s="15">
        <v>45143</v>
      </c>
      <c r="C3094" s="116" t="s">
        <v>167</v>
      </c>
      <c r="D3094" s="133"/>
      <c r="E3094" s="3"/>
      <c r="F3094">
        <v>2394</v>
      </c>
    </row>
    <row r="3095" spans="1:6" x14ac:dyDescent="0.25">
      <c r="A3095">
        <v>7888</v>
      </c>
      <c r="B3095" s="15">
        <v>45144</v>
      </c>
      <c r="C3095" s="133"/>
      <c r="D3095" s="133"/>
      <c r="E3095" s="3"/>
      <c r="F3095">
        <v>2395</v>
      </c>
    </row>
    <row r="3096" spans="1:6" x14ac:dyDescent="0.25">
      <c r="A3096">
        <v>7888</v>
      </c>
      <c r="B3096" s="15">
        <v>45145</v>
      </c>
      <c r="C3096" s="133"/>
      <c r="D3096" s="133"/>
      <c r="F3096">
        <v>2396</v>
      </c>
    </row>
    <row r="3097" spans="1:6" x14ac:dyDescent="0.25">
      <c r="A3097">
        <v>7888</v>
      </c>
      <c r="B3097" s="15">
        <v>45146</v>
      </c>
      <c r="C3097" s="106">
        <v>0.36458333333333331</v>
      </c>
      <c r="D3097" s="105">
        <v>0.80208333333333337</v>
      </c>
      <c r="E3097" s="3"/>
      <c r="F3097">
        <v>2397</v>
      </c>
    </row>
    <row r="3098" spans="1:6" x14ac:dyDescent="0.25">
      <c r="A3098">
        <v>7888</v>
      </c>
      <c r="B3098" s="15">
        <v>45147</v>
      </c>
      <c r="C3098" s="105">
        <v>0.35416666666666669</v>
      </c>
      <c r="D3098" s="106">
        <v>0.66666666666666663</v>
      </c>
      <c r="F3098">
        <v>2398</v>
      </c>
    </row>
    <row r="3099" spans="1:6" x14ac:dyDescent="0.25">
      <c r="A3099">
        <v>7888</v>
      </c>
      <c r="B3099" s="15">
        <v>45148</v>
      </c>
      <c r="C3099" s="106">
        <v>0.36458333333333331</v>
      </c>
      <c r="D3099" s="105">
        <v>0.80208333333333337</v>
      </c>
      <c r="E3099" s="3"/>
      <c r="F3099">
        <v>2399</v>
      </c>
    </row>
    <row r="3100" spans="1:6" x14ac:dyDescent="0.25">
      <c r="A3100">
        <v>7888</v>
      </c>
      <c r="B3100" s="15">
        <v>45149</v>
      </c>
      <c r="C3100" s="106">
        <v>0.35416666666666669</v>
      </c>
      <c r="D3100" s="106">
        <v>0.66666666666666663</v>
      </c>
      <c r="E3100" s="3"/>
      <c r="F3100">
        <v>2400</v>
      </c>
    </row>
    <row r="3101" spans="1:6" x14ac:dyDescent="0.25">
      <c r="A3101">
        <v>7888</v>
      </c>
      <c r="B3101" s="15">
        <v>45150</v>
      </c>
      <c r="C3101" s="133"/>
      <c r="D3101" s="133"/>
      <c r="E3101" s="3"/>
      <c r="F3101">
        <v>2401</v>
      </c>
    </row>
    <row r="3102" spans="1:6" x14ac:dyDescent="0.25">
      <c r="A3102">
        <v>7888</v>
      </c>
      <c r="B3102" s="15">
        <v>45151</v>
      </c>
      <c r="C3102" s="133"/>
      <c r="D3102" s="133"/>
      <c r="E3102" s="3"/>
      <c r="F3102">
        <v>2402</v>
      </c>
    </row>
    <row r="3103" spans="1:6" x14ac:dyDescent="0.25">
      <c r="A3103">
        <v>7888</v>
      </c>
      <c r="B3103" s="15">
        <v>45152</v>
      </c>
      <c r="C3103" s="107"/>
      <c r="D3103" s="107"/>
      <c r="F3103">
        <v>2403</v>
      </c>
    </row>
    <row r="3104" spans="1:6" x14ac:dyDescent="0.25">
      <c r="A3104">
        <v>7888</v>
      </c>
      <c r="B3104" s="15">
        <v>45153</v>
      </c>
      <c r="C3104" s="107"/>
      <c r="D3104" s="107"/>
      <c r="E3104" s="3"/>
      <c r="F3104">
        <v>2404</v>
      </c>
    </row>
    <row r="3105" spans="1:6" x14ac:dyDescent="0.25">
      <c r="A3105">
        <v>7888</v>
      </c>
      <c r="B3105" s="15">
        <v>45154</v>
      </c>
      <c r="C3105" s="106">
        <v>0.36458333333333331</v>
      </c>
      <c r="D3105" s="105">
        <v>0.80208333333333337</v>
      </c>
      <c r="E3105" s="3"/>
      <c r="F3105">
        <v>2405</v>
      </c>
    </row>
    <row r="3106" spans="1:6" x14ac:dyDescent="0.25">
      <c r="A3106">
        <v>7888</v>
      </c>
      <c r="B3106" s="15">
        <v>45155</v>
      </c>
      <c r="C3106" s="105">
        <v>0.35416666666666669</v>
      </c>
      <c r="D3106" s="106">
        <v>0.66666666666666663</v>
      </c>
      <c r="E3106" s="3"/>
      <c r="F3106">
        <v>2406</v>
      </c>
    </row>
    <row r="3107" spans="1:6" x14ac:dyDescent="0.25">
      <c r="A3107">
        <v>7888</v>
      </c>
      <c r="B3107" s="15">
        <v>45156</v>
      </c>
      <c r="C3107" s="106">
        <v>0.36458333333333331</v>
      </c>
      <c r="D3107" s="105">
        <v>0.80208333333333337</v>
      </c>
      <c r="E3107" s="3"/>
      <c r="F3107">
        <v>2407</v>
      </c>
    </row>
    <row r="3108" spans="1:6" x14ac:dyDescent="0.25">
      <c r="A3108">
        <v>7888</v>
      </c>
      <c r="B3108" s="15">
        <v>45157</v>
      </c>
      <c r="C3108" s="116" t="s">
        <v>167</v>
      </c>
      <c r="D3108" s="133"/>
      <c r="E3108" s="3"/>
      <c r="F3108">
        <v>2408</v>
      </c>
    </row>
    <row r="3109" spans="1:6" x14ac:dyDescent="0.25">
      <c r="A3109">
        <v>7888</v>
      </c>
      <c r="B3109" s="15">
        <v>45158</v>
      </c>
      <c r="C3109" s="133"/>
      <c r="D3109" s="133"/>
      <c r="E3109" s="3"/>
      <c r="F3109">
        <v>2409</v>
      </c>
    </row>
    <row r="3110" spans="1:6" x14ac:dyDescent="0.25">
      <c r="A3110">
        <v>7888</v>
      </c>
      <c r="B3110" s="15">
        <v>45159</v>
      </c>
      <c r="C3110" s="133"/>
      <c r="D3110" s="133"/>
      <c r="E3110" s="3"/>
      <c r="F3110">
        <v>2410</v>
      </c>
    </row>
    <row r="3111" spans="1:6" x14ac:dyDescent="0.25">
      <c r="A3111">
        <v>7888</v>
      </c>
      <c r="B3111" s="15">
        <v>45160</v>
      </c>
      <c r="C3111" s="106">
        <v>0.36458333333333331</v>
      </c>
      <c r="D3111" s="105">
        <v>0.80208333333333337</v>
      </c>
      <c r="F3111">
        <v>2411</v>
      </c>
    </row>
    <row r="3112" spans="1:6" x14ac:dyDescent="0.25">
      <c r="A3112">
        <v>7888</v>
      </c>
      <c r="B3112" s="15">
        <v>45161</v>
      </c>
      <c r="C3112" s="105">
        <v>0.35416666666666669</v>
      </c>
      <c r="D3112" s="106">
        <v>0.66666666666666663</v>
      </c>
      <c r="E3112" s="3"/>
      <c r="F3112">
        <v>2412</v>
      </c>
    </row>
    <row r="3113" spans="1:6" x14ac:dyDescent="0.25">
      <c r="A3113">
        <v>7888</v>
      </c>
      <c r="B3113" s="15">
        <v>45162</v>
      </c>
      <c r="C3113" s="106">
        <v>0.36458333333333331</v>
      </c>
      <c r="D3113" s="105">
        <v>0.80208333333333337</v>
      </c>
      <c r="F3113">
        <v>2413</v>
      </c>
    </row>
    <row r="3114" spans="1:6" x14ac:dyDescent="0.25">
      <c r="A3114">
        <v>7888</v>
      </c>
      <c r="B3114" s="15">
        <v>45163</v>
      </c>
      <c r="C3114" s="105">
        <v>0.35416666666666669</v>
      </c>
      <c r="D3114" s="106">
        <v>0.66666666666666663</v>
      </c>
      <c r="E3114" s="3"/>
      <c r="F3114">
        <v>2414</v>
      </c>
    </row>
    <row r="3115" spans="1:6" x14ac:dyDescent="0.25">
      <c r="A3115">
        <v>7888</v>
      </c>
      <c r="B3115" s="15">
        <v>45164</v>
      </c>
      <c r="C3115" s="133"/>
      <c r="D3115" s="133"/>
      <c r="E3115" s="3"/>
      <c r="F3115">
        <v>2415</v>
      </c>
    </row>
    <row r="3116" spans="1:6" x14ac:dyDescent="0.25">
      <c r="A3116">
        <v>7888</v>
      </c>
      <c r="B3116" s="15">
        <v>45165</v>
      </c>
      <c r="C3116" s="133"/>
      <c r="D3116" s="133"/>
      <c r="E3116" s="3"/>
      <c r="F3116">
        <v>2416</v>
      </c>
    </row>
    <row r="3117" spans="1:6" x14ac:dyDescent="0.25">
      <c r="A3117">
        <v>7888</v>
      </c>
      <c r="B3117" s="15">
        <v>45166</v>
      </c>
      <c r="C3117" s="133"/>
      <c r="D3117" s="133"/>
      <c r="E3117" s="3"/>
      <c r="F3117">
        <v>2417</v>
      </c>
    </row>
    <row r="3118" spans="1:6" x14ac:dyDescent="0.25">
      <c r="A3118">
        <v>7888</v>
      </c>
      <c r="B3118" s="15">
        <v>45167</v>
      </c>
      <c r="C3118" s="105">
        <v>0.35416666666666669</v>
      </c>
      <c r="D3118" s="106">
        <v>0.66666666666666663</v>
      </c>
      <c r="E3118" s="3"/>
      <c r="F3118">
        <v>2418</v>
      </c>
    </row>
    <row r="3119" spans="1:6" x14ac:dyDescent="0.25">
      <c r="A3119">
        <v>7888</v>
      </c>
      <c r="B3119" s="15">
        <v>45168</v>
      </c>
      <c r="C3119" s="106">
        <v>0.36458333333333331</v>
      </c>
      <c r="D3119" s="105">
        <v>0.80208333333333337</v>
      </c>
      <c r="E3119" s="3"/>
      <c r="F3119">
        <v>2419</v>
      </c>
    </row>
    <row r="3120" spans="1:6" x14ac:dyDescent="0.25">
      <c r="A3120">
        <v>7888</v>
      </c>
      <c r="B3120" s="15">
        <v>45169</v>
      </c>
      <c r="C3120" s="105">
        <v>0.35416666666666669</v>
      </c>
      <c r="D3120" s="106">
        <v>0.66666666666666663</v>
      </c>
      <c r="E3120" s="3"/>
      <c r="F3120">
        <v>2420</v>
      </c>
    </row>
    <row r="3121" spans="1:6" x14ac:dyDescent="0.25">
      <c r="A3121">
        <v>7888</v>
      </c>
      <c r="B3121" s="15">
        <v>45170</v>
      </c>
      <c r="C3121" s="106">
        <v>0.36458333333333331</v>
      </c>
      <c r="D3121" s="105">
        <v>0.80208333333333337</v>
      </c>
      <c r="E3121" s="3"/>
      <c r="F3121">
        <v>2421</v>
      </c>
    </row>
    <row r="3122" spans="1:6" x14ac:dyDescent="0.25">
      <c r="A3122">
        <v>7888</v>
      </c>
      <c r="B3122" s="15">
        <v>45171</v>
      </c>
      <c r="C3122" s="116" t="s">
        <v>167</v>
      </c>
      <c r="D3122" s="133"/>
      <c r="E3122" s="3"/>
      <c r="F3122">
        <v>2422</v>
      </c>
    </row>
    <row r="3123" spans="1:6" x14ac:dyDescent="0.25">
      <c r="A3123">
        <v>7888</v>
      </c>
      <c r="B3123" s="15">
        <v>45172</v>
      </c>
      <c r="C3123" s="133"/>
      <c r="D3123" s="133"/>
      <c r="E3123" s="3"/>
      <c r="F3123">
        <v>2423</v>
      </c>
    </row>
    <row r="3124" spans="1:6" x14ac:dyDescent="0.25">
      <c r="A3124">
        <v>7888</v>
      </c>
      <c r="B3124" s="15">
        <v>45173</v>
      </c>
      <c r="C3124" s="133"/>
      <c r="D3124" s="133"/>
      <c r="F3124">
        <v>2424</v>
      </c>
    </row>
    <row r="3125" spans="1:6" x14ac:dyDescent="0.25">
      <c r="A3125">
        <v>7888</v>
      </c>
      <c r="B3125" s="15">
        <v>45174</v>
      </c>
      <c r="C3125" s="106">
        <v>0.36458333333333331</v>
      </c>
      <c r="D3125" s="105">
        <v>0.80208333333333337</v>
      </c>
      <c r="E3125" s="3"/>
      <c r="F3125">
        <v>2425</v>
      </c>
    </row>
    <row r="3126" spans="1:6" x14ac:dyDescent="0.25">
      <c r="A3126">
        <v>7888</v>
      </c>
      <c r="B3126" s="15">
        <v>45175</v>
      </c>
      <c r="C3126" s="105">
        <v>0.35416666666666669</v>
      </c>
      <c r="D3126" s="106">
        <v>0.66666666666666663</v>
      </c>
      <c r="E3126" s="3"/>
      <c r="F3126">
        <v>2426</v>
      </c>
    </row>
    <row r="3127" spans="1:6" x14ac:dyDescent="0.25">
      <c r="A3127">
        <v>7888</v>
      </c>
      <c r="B3127" s="15">
        <v>45176</v>
      </c>
      <c r="C3127" s="106">
        <v>0.36458333333333331</v>
      </c>
      <c r="D3127" s="105">
        <v>0.80208333333333337</v>
      </c>
      <c r="F3127">
        <v>2427</v>
      </c>
    </row>
    <row r="3128" spans="1:6" x14ac:dyDescent="0.25">
      <c r="A3128">
        <v>7888</v>
      </c>
      <c r="B3128" s="15">
        <v>45177</v>
      </c>
      <c r="C3128" s="105">
        <v>0.35416666666666669</v>
      </c>
      <c r="D3128" s="106">
        <v>0.66666666666666663</v>
      </c>
      <c r="E3128" s="3"/>
      <c r="F3128">
        <v>2428</v>
      </c>
    </row>
    <row r="3129" spans="1:6" x14ac:dyDescent="0.25">
      <c r="A3129">
        <v>7888</v>
      </c>
      <c r="B3129" s="15">
        <v>45178</v>
      </c>
      <c r="C3129" s="133"/>
      <c r="D3129" s="133"/>
      <c r="F3129">
        <v>2429</v>
      </c>
    </row>
    <row r="3130" spans="1:6" x14ac:dyDescent="0.25">
      <c r="A3130">
        <v>7888</v>
      </c>
      <c r="B3130" s="15">
        <v>45179</v>
      </c>
      <c r="C3130" s="133"/>
      <c r="D3130" s="133"/>
      <c r="E3130" s="3"/>
      <c r="F3130">
        <v>2430</v>
      </c>
    </row>
    <row r="3131" spans="1:6" x14ac:dyDescent="0.25">
      <c r="A3131">
        <v>7888</v>
      </c>
      <c r="B3131" s="15">
        <v>45180</v>
      </c>
      <c r="C3131" s="133"/>
      <c r="D3131" s="133"/>
      <c r="E3131" s="3"/>
      <c r="F3131">
        <v>2431</v>
      </c>
    </row>
    <row r="3132" spans="1:6" x14ac:dyDescent="0.25">
      <c r="A3132">
        <v>7888</v>
      </c>
      <c r="B3132" s="15">
        <v>45181</v>
      </c>
      <c r="C3132" s="109" t="s">
        <v>2</v>
      </c>
      <c r="D3132" s="109" t="s">
        <v>2</v>
      </c>
      <c r="E3132" s="3"/>
      <c r="F3132">
        <v>2432</v>
      </c>
    </row>
    <row r="3133" spans="1:6" x14ac:dyDescent="0.25">
      <c r="A3133">
        <v>7888</v>
      </c>
      <c r="B3133" s="15">
        <v>45182</v>
      </c>
      <c r="C3133" s="109" t="s">
        <v>2</v>
      </c>
      <c r="D3133" s="109" t="s">
        <v>2</v>
      </c>
      <c r="E3133" s="3"/>
      <c r="F3133">
        <v>2433</v>
      </c>
    </row>
    <row r="3134" spans="1:6" x14ac:dyDescent="0.25">
      <c r="A3134">
        <v>7888</v>
      </c>
      <c r="B3134" s="15">
        <v>45183</v>
      </c>
      <c r="C3134" s="109" t="s">
        <v>2</v>
      </c>
      <c r="D3134" s="109" t="s">
        <v>2</v>
      </c>
      <c r="F3134">
        <v>2434</v>
      </c>
    </row>
    <row r="3135" spans="1:6" x14ac:dyDescent="0.25">
      <c r="A3135">
        <v>7888</v>
      </c>
      <c r="B3135" s="15">
        <v>45184</v>
      </c>
      <c r="C3135" s="109" t="s">
        <v>2</v>
      </c>
      <c r="D3135" s="109" t="s">
        <v>2</v>
      </c>
      <c r="E3135" s="3"/>
      <c r="F3135">
        <v>2435</v>
      </c>
    </row>
    <row r="3136" spans="1:6" x14ac:dyDescent="0.25">
      <c r="A3136">
        <v>7888</v>
      </c>
      <c r="B3136" s="15">
        <v>45185</v>
      </c>
      <c r="C3136" s="109" t="s">
        <v>2</v>
      </c>
      <c r="D3136" s="133"/>
      <c r="E3136" s="3"/>
      <c r="F3136">
        <v>2436</v>
      </c>
    </row>
    <row r="3137" spans="1:6" x14ac:dyDescent="0.25">
      <c r="A3137">
        <v>7888</v>
      </c>
      <c r="B3137" s="15">
        <v>45186</v>
      </c>
      <c r="C3137" s="133"/>
      <c r="D3137" s="133"/>
      <c r="E3137" s="3"/>
      <c r="F3137">
        <v>2437</v>
      </c>
    </row>
    <row r="3138" spans="1:6" x14ac:dyDescent="0.25">
      <c r="A3138">
        <v>7888</v>
      </c>
      <c r="B3138" s="15">
        <v>45187</v>
      </c>
      <c r="C3138" s="133"/>
      <c r="D3138" s="133"/>
      <c r="E3138" s="3"/>
      <c r="F3138">
        <v>2438</v>
      </c>
    </row>
    <row r="3139" spans="1:6" x14ac:dyDescent="0.25">
      <c r="A3139">
        <v>7888</v>
      </c>
      <c r="B3139" s="15">
        <v>45188</v>
      </c>
      <c r="C3139" s="106">
        <v>0.36458333333333331</v>
      </c>
      <c r="D3139" s="105">
        <v>0.80208333333333337</v>
      </c>
      <c r="E3139" s="3"/>
      <c r="F3139">
        <v>2439</v>
      </c>
    </row>
    <row r="3140" spans="1:6" x14ac:dyDescent="0.25">
      <c r="A3140">
        <v>7888</v>
      </c>
      <c r="B3140" s="15">
        <v>45189</v>
      </c>
      <c r="C3140" s="105">
        <v>0.35416666666666669</v>
      </c>
      <c r="D3140" s="106">
        <v>0.66666666666666663</v>
      </c>
      <c r="E3140" s="3"/>
      <c r="F3140">
        <v>2440</v>
      </c>
    </row>
    <row r="3141" spans="1:6" x14ac:dyDescent="0.25">
      <c r="A3141">
        <v>7888</v>
      </c>
      <c r="B3141" s="15">
        <v>45190</v>
      </c>
      <c r="C3141" s="106">
        <v>0.36458333333333331</v>
      </c>
      <c r="D3141" s="105">
        <v>0.80208333333333337</v>
      </c>
      <c r="E3141" s="3"/>
      <c r="F3141">
        <v>2441</v>
      </c>
    </row>
    <row r="3142" spans="1:6" x14ac:dyDescent="0.25">
      <c r="A3142">
        <v>7888</v>
      </c>
      <c r="B3142" s="15">
        <v>45191</v>
      </c>
      <c r="C3142" s="105">
        <v>0.35416666666666669</v>
      </c>
      <c r="D3142" s="106">
        <v>0.66666666666666663</v>
      </c>
      <c r="F3142">
        <v>2442</v>
      </c>
    </row>
    <row r="3143" spans="1:6" x14ac:dyDescent="0.25">
      <c r="A3143">
        <v>7888</v>
      </c>
      <c r="B3143" s="15">
        <v>45192</v>
      </c>
      <c r="C3143" s="133"/>
      <c r="D3143" s="133"/>
      <c r="E3143" s="3"/>
      <c r="F3143">
        <v>2443</v>
      </c>
    </row>
    <row r="3144" spans="1:6" x14ac:dyDescent="0.25">
      <c r="A3144">
        <v>7888</v>
      </c>
      <c r="B3144" s="15">
        <v>45193</v>
      </c>
      <c r="C3144" s="133"/>
      <c r="D3144" s="133"/>
      <c r="F3144">
        <v>2444</v>
      </c>
    </row>
    <row r="3145" spans="1:6" x14ac:dyDescent="0.25">
      <c r="A3145">
        <v>7888</v>
      </c>
      <c r="B3145" s="15">
        <v>45194</v>
      </c>
      <c r="C3145" s="133"/>
      <c r="D3145" s="133"/>
      <c r="E3145" s="3"/>
      <c r="F3145">
        <v>2445</v>
      </c>
    </row>
    <row r="3146" spans="1:6" x14ac:dyDescent="0.25">
      <c r="A3146">
        <v>7888</v>
      </c>
      <c r="B3146" s="15">
        <v>45195</v>
      </c>
      <c r="C3146" s="105">
        <v>0.35416666666666669</v>
      </c>
      <c r="D3146" s="106">
        <v>0.66666666666666663</v>
      </c>
      <c r="E3146" s="3"/>
      <c r="F3146">
        <v>2446</v>
      </c>
    </row>
    <row r="3147" spans="1:6" x14ac:dyDescent="0.25">
      <c r="A3147">
        <v>7888</v>
      </c>
      <c r="B3147" s="15">
        <v>45196</v>
      </c>
      <c r="C3147" s="106">
        <v>0.36458333333333331</v>
      </c>
      <c r="D3147" s="105">
        <v>0.80208333333333337</v>
      </c>
      <c r="E3147" s="3"/>
      <c r="F3147">
        <v>2447</v>
      </c>
    </row>
    <row r="3148" spans="1:6" x14ac:dyDescent="0.25">
      <c r="A3148">
        <v>7888</v>
      </c>
      <c r="B3148" s="15">
        <v>45197</v>
      </c>
      <c r="C3148" s="106">
        <v>0.35416666666666669</v>
      </c>
      <c r="D3148" s="106">
        <v>0.66666666666666663</v>
      </c>
      <c r="E3148" s="3"/>
      <c r="F3148">
        <v>2448</v>
      </c>
    </row>
    <row r="3149" spans="1:6" x14ac:dyDescent="0.25">
      <c r="A3149">
        <v>7888</v>
      </c>
      <c r="B3149" s="15">
        <v>45198</v>
      </c>
      <c r="C3149" s="106">
        <v>0.36458333333333331</v>
      </c>
      <c r="D3149" s="105">
        <v>0.80208333333333337</v>
      </c>
      <c r="E3149" s="3"/>
      <c r="F3149">
        <v>2449</v>
      </c>
    </row>
    <row r="3150" spans="1:6" x14ac:dyDescent="0.25">
      <c r="A3150">
        <v>7888</v>
      </c>
      <c r="B3150" s="15">
        <v>45199</v>
      </c>
      <c r="C3150" s="116" t="s">
        <v>167</v>
      </c>
      <c r="D3150" s="133"/>
      <c r="E3150" s="3"/>
      <c r="F3150">
        <v>2450</v>
      </c>
    </row>
    <row r="3151" spans="1:6" x14ac:dyDescent="0.25">
      <c r="A3151">
        <v>7888</v>
      </c>
      <c r="B3151" s="15">
        <v>45200</v>
      </c>
      <c r="C3151" s="133"/>
      <c r="D3151" s="133"/>
      <c r="E3151" s="3"/>
      <c r="F3151">
        <v>2451</v>
      </c>
    </row>
    <row r="3152" spans="1:6" x14ac:dyDescent="0.25">
      <c r="A3152">
        <v>7888</v>
      </c>
      <c r="B3152" s="15">
        <v>45201</v>
      </c>
      <c r="C3152" s="133"/>
      <c r="D3152" s="133"/>
      <c r="E3152" s="3"/>
      <c r="F3152">
        <v>2452</v>
      </c>
    </row>
    <row r="3153" spans="1:6" x14ac:dyDescent="0.25">
      <c r="A3153">
        <v>7888</v>
      </c>
      <c r="B3153" s="15">
        <v>45202</v>
      </c>
      <c r="C3153" s="106">
        <v>0.36458333333333331</v>
      </c>
      <c r="D3153" s="105">
        <v>0.80208333333333337</v>
      </c>
      <c r="E3153" s="3"/>
      <c r="F3153">
        <v>2453</v>
      </c>
    </row>
    <row r="3154" spans="1:6" x14ac:dyDescent="0.25">
      <c r="A3154">
        <v>7888</v>
      </c>
      <c r="B3154" s="15">
        <v>45203</v>
      </c>
      <c r="C3154" s="105">
        <v>0.35416666666666669</v>
      </c>
      <c r="D3154" s="106">
        <v>0.66666666666666663</v>
      </c>
      <c r="E3154" s="3"/>
      <c r="F3154">
        <v>2454</v>
      </c>
    </row>
    <row r="3155" spans="1:6" x14ac:dyDescent="0.25">
      <c r="A3155">
        <v>7888</v>
      </c>
      <c r="B3155" s="15">
        <v>45204</v>
      </c>
      <c r="C3155" s="106">
        <v>0.36458333333333331</v>
      </c>
      <c r="D3155" s="105">
        <v>0.80208333333333337</v>
      </c>
      <c r="F3155">
        <v>2455</v>
      </c>
    </row>
    <row r="3156" spans="1:6" x14ac:dyDescent="0.25">
      <c r="A3156">
        <v>7888</v>
      </c>
      <c r="B3156" s="15">
        <v>45205</v>
      </c>
      <c r="C3156" s="105">
        <v>0.35416666666666669</v>
      </c>
      <c r="D3156" s="106">
        <v>0.66666666666666663</v>
      </c>
      <c r="E3156" s="3"/>
      <c r="F3156">
        <v>2456</v>
      </c>
    </row>
    <row r="3157" spans="1:6" x14ac:dyDescent="0.25">
      <c r="A3157">
        <v>7888</v>
      </c>
      <c r="B3157" s="15">
        <v>45206</v>
      </c>
      <c r="C3157" s="133"/>
      <c r="D3157" s="133"/>
      <c r="E3157" s="3"/>
      <c r="F3157">
        <v>2457</v>
      </c>
    </row>
    <row r="3158" spans="1:6" x14ac:dyDescent="0.25">
      <c r="A3158">
        <v>7888</v>
      </c>
      <c r="B3158" s="15">
        <v>45207</v>
      </c>
      <c r="C3158" s="133"/>
      <c r="D3158" s="133"/>
      <c r="F3158">
        <v>2458</v>
      </c>
    </row>
    <row r="3159" spans="1:6" x14ac:dyDescent="0.25">
      <c r="A3159">
        <v>7888</v>
      </c>
      <c r="B3159" s="15">
        <v>45208</v>
      </c>
      <c r="C3159" s="106">
        <v>0.35416666666666669</v>
      </c>
      <c r="D3159" s="106">
        <v>0.66666666666666663</v>
      </c>
      <c r="E3159" s="3"/>
      <c r="F3159">
        <v>2459</v>
      </c>
    </row>
    <row r="3160" spans="1:6" x14ac:dyDescent="0.25">
      <c r="A3160">
        <v>7888</v>
      </c>
      <c r="B3160" s="15">
        <v>45209</v>
      </c>
      <c r="C3160" s="109" t="s">
        <v>2</v>
      </c>
      <c r="D3160" s="109" t="s">
        <v>2</v>
      </c>
      <c r="F3160">
        <v>2460</v>
      </c>
    </row>
    <row r="3161" spans="1:6" x14ac:dyDescent="0.25">
      <c r="A3161">
        <v>7888</v>
      </c>
      <c r="B3161" s="15">
        <v>45210</v>
      </c>
      <c r="C3161" s="106">
        <v>0.36458333333333331</v>
      </c>
      <c r="D3161" s="105">
        <v>0.80208333333333337</v>
      </c>
      <c r="E3161" s="3"/>
      <c r="F3161">
        <v>2461</v>
      </c>
    </row>
    <row r="3162" spans="1:6" x14ac:dyDescent="0.25">
      <c r="A3162">
        <v>7888</v>
      </c>
      <c r="B3162" s="15">
        <v>45211</v>
      </c>
      <c r="C3162" s="106">
        <v>0.35416666666666669</v>
      </c>
      <c r="D3162" s="106">
        <v>0.66666666666666663</v>
      </c>
      <c r="E3162" s="3"/>
      <c r="F3162">
        <v>2462</v>
      </c>
    </row>
    <row r="3163" spans="1:6" x14ac:dyDescent="0.25">
      <c r="A3163">
        <v>7888</v>
      </c>
      <c r="B3163" s="15">
        <v>45212</v>
      </c>
      <c r="C3163" s="106">
        <v>0.36458333333333331</v>
      </c>
      <c r="D3163" s="105">
        <v>0.80208333333333337</v>
      </c>
      <c r="E3163" s="3"/>
      <c r="F3163">
        <v>2463</v>
      </c>
    </row>
    <row r="3164" spans="1:6" x14ac:dyDescent="0.25">
      <c r="A3164">
        <v>7888</v>
      </c>
      <c r="B3164" s="15">
        <v>45213</v>
      </c>
      <c r="C3164" s="116" t="s">
        <v>167</v>
      </c>
      <c r="D3164" s="133"/>
      <c r="E3164" s="3"/>
      <c r="F3164">
        <v>2464</v>
      </c>
    </row>
    <row r="3165" spans="1:6" x14ac:dyDescent="0.25">
      <c r="A3165">
        <v>7888</v>
      </c>
      <c r="B3165" s="15">
        <v>45214</v>
      </c>
      <c r="C3165" s="133"/>
      <c r="D3165" s="133"/>
      <c r="F3165">
        <v>2465</v>
      </c>
    </row>
    <row r="3166" spans="1:6" x14ac:dyDescent="0.25">
      <c r="A3166">
        <v>7888</v>
      </c>
      <c r="B3166" s="15">
        <v>45215</v>
      </c>
      <c r="C3166" s="133"/>
      <c r="D3166" s="133"/>
      <c r="E3166" s="3"/>
      <c r="F3166">
        <v>2466</v>
      </c>
    </row>
    <row r="3167" spans="1:6" x14ac:dyDescent="0.25">
      <c r="A3167">
        <v>7888</v>
      </c>
      <c r="B3167" s="15">
        <v>45216</v>
      </c>
      <c r="C3167" s="106">
        <v>0.36458333333333331</v>
      </c>
      <c r="D3167" s="105">
        <v>0.80208333333333337</v>
      </c>
      <c r="E3167" s="3"/>
      <c r="F3167">
        <v>2467</v>
      </c>
    </row>
    <row r="3168" spans="1:6" x14ac:dyDescent="0.25">
      <c r="A3168">
        <v>7888</v>
      </c>
      <c r="B3168" s="15">
        <v>45217</v>
      </c>
      <c r="C3168" s="105">
        <v>0.35416666666666669</v>
      </c>
      <c r="D3168" s="106">
        <v>0.66666666666666663</v>
      </c>
      <c r="E3168" s="3"/>
      <c r="F3168">
        <v>2468</v>
      </c>
    </row>
    <row r="3169" spans="1:6" x14ac:dyDescent="0.25">
      <c r="A3169">
        <v>7888</v>
      </c>
      <c r="B3169" s="15">
        <v>45218</v>
      </c>
      <c r="C3169" s="106" t="s">
        <v>118</v>
      </c>
      <c r="D3169" s="105">
        <v>0.80208333333333337</v>
      </c>
      <c r="E3169" s="3"/>
      <c r="F3169">
        <v>2469</v>
      </c>
    </row>
    <row r="3170" spans="1:6" x14ac:dyDescent="0.25">
      <c r="A3170">
        <v>7888</v>
      </c>
      <c r="B3170" s="15">
        <v>45219</v>
      </c>
      <c r="C3170" s="106">
        <v>0.35416666666666669</v>
      </c>
      <c r="D3170" s="106">
        <v>0.66666666666666663</v>
      </c>
      <c r="E3170" s="3"/>
      <c r="F3170">
        <v>2470</v>
      </c>
    </row>
    <row r="3171" spans="1:6" x14ac:dyDescent="0.25">
      <c r="A3171">
        <v>7888</v>
      </c>
      <c r="B3171" s="15">
        <v>45220</v>
      </c>
      <c r="C3171" s="133"/>
      <c r="D3171" s="133"/>
      <c r="E3171" s="3"/>
      <c r="F3171">
        <v>2471</v>
      </c>
    </row>
    <row r="3172" spans="1:6" x14ac:dyDescent="0.25">
      <c r="A3172">
        <v>7888</v>
      </c>
      <c r="B3172" s="15">
        <v>45221</v>
      </c>
      <c r="C3172" s="133"/>
      <c r="D3172" s="133"/>
      <c r="E3172" s="3"/>
      <c r="F3172">
        <v>2472</v>
      </c>
    </row>
    <row r="3173" spans="1:6" x14ac:dyDescent="0.25">
      <c r="A3173">
        <v>7888</v>
      </c>
      <c r="B3173" s="15">
        <v>45222</v>
      </c>
      <c r="C3173" s="133"/>
      <c r="D3173" s="133"/>
      <c r="F3173">
        <v>2473</v>
      </c>
    </row>
    <row r="3174" spans="1:6" x14ac:dyDescent="0.25">
      <c r="A3174">
        <v>7888</v>
      </c>
      <c r="B3174" s="15">
        <v>45223</v>
      </c>
      <c r="C3174" s="106">
        <v>0.35416666666666669</v>
      </c>
      <c r="D3174" s="106">
        <v>0.66666666666666663</v>
      </c>
      <c r="E3174" s="3"/>
      <c r="F3174">
        <v>2474</v>
      </c>
    </row>
    <row r="3175" spans="1:6" x14ac:dyDescent="0.25">
      <c r="A3175">
        <v>7888</v>
      </c>
      <c r="B3175" s="15">
        <v>45224</v>
      </c>
      <c r="C3175" s="106">
        <v>0.36458333333333331</v>
      </c>
      <c r="D3175" s="105">
        <v>0.80208333333333337</v>
      </c>
      <c r="F3175">
        <v>2475</v>
      </c>
    </row>
    <row r="3176" spans="1:6" x14ac:dyDescent="0.25">
      <c r="A3176">
        <v>7888</v>
      </c>
      <c r="B3176" s="15">
        <v>45225</v>
      </c>
      <c r="C3176" s="105">
        <v>0.35416666666666669</v>
      </c>
      <c r="D3176" s="106">
        <v>0.66666666666666663</v>
      </c>
      <c r="E3176" s="3"/>
      <c r="F3176">
        <v>2476</v>
      </c>
    </row>
    <row r="3177" spans="1:6" x14ac:dyDescent="0.25">
      <c r="A3177">
        <v>7888</v>
      </c>
      <c r="B3177" s="15">
        <v>45226</v>
      </c>
      <c r="C3177" s="106">
        <v>0.36458333333333331</v>
      </c>
      <c r="D3177" s="105">
        <v>0.80208333333333337</v>
      </c>
      <c r="E3177" s="3"/>
      <c r="F3177">
        <v>2477</v>
      </c>
    </row>
    <row r="3178" spans="1:6" x14ac:dyDescent="0.25">
      <c r="A3178">
        <v>7888</v>
      </c>
      <c r="B3178" s="15">
        <v>45227</v>
      </c>
      <c r="C3178" s="116" t="s">
        <v>167</v>
      </c>
      <c r="D3178" s="133"/>
      <c r="E3178" s="3"/>
      <c r="F3178">
        <v>2478</v>
      </c>
    </row>
    <row r="3179" spans="1:6" x14ac:dyDescent="0.25">
      <c r="A3179">
        <v>7888</v>
      </c>
      <c r="B3179" s="15">
        <v>45228</v>
      </c>
      <c r="C3179" s="133"/>
      <c r="D3179" s="133"/>
      <c r="E3179" s="3"/>
      <c r="F3179">
        <v>2479</v>
      </c>
    </row>
    <row r="3180" spans="1:6" x14ac:dyDescent="0.25">
      <c r="A3180">
        <v>7888</v>
      </c>
      <c r="B3180" s="15">
        <v>45229</v>
      </c>
      <c r="C3180" s="133"/>
      <c r="D3180" s="133"/>
      <c r="E3180" s="3"/>
      <c r="F3180">
        <v>2480</v>
      </c>
    </row>
    <row r="3181" spans="1:6" x14ac:dyDescent="0.25">
      <c r="A3181">
        <v>7888</v>
      </c>
      <c r="B3181" s="15">
        <v>45230</v>
      </c>
      <c r="C3181" s="106">
        <v>0.36458333333333331</v>
      </c>
      <c r="D3181" s="105">
        <v>0.80208333333333337</v>
      </c>
      <c r="E3181" s="3"/>
      <c r="F3181">
        <v>2481</v>
      </c>
    </row>
    <row r="3182" spans="1:6" x14ac:dyDescent="0.25">
      <c r="A3182">
        <v>7888</v>
      </c>
      <c r="B3182" s="15">
        <v>45231</v>
      </c>
      <c r="C3182" s="107"/>
      <c r="D3182" s="107"/>
      <c r="E3182" s="3"/>
      <c r="F3182">
        <v>2482</v>
      </c>
    </row>
    <row r="3183" spans="1:6" x14ac:dyDescent="0.25">
      <c r="A3183">
        <v>7888</v>
      </c>
      <c r="B3183" s="15">
        <v>45232</v>
      </c>
      <c r="C3183" s="106">
        <v>0.36458333333333331</v>
      </c>
      <c r="D3183" s="105">
        <v>0.80208333333333337</v>
      </c>
      <c r="E3183" s="3"/>
      <c r="F3183">
        <v>2483</v>
      </c>
    </row>
    <row r="3184" spans="1:6" x14ac:dyDescent="0.25">
      <c r="A3184">
        <v>7888</v>
      </c>
      <c r="B3184" s="15">
        <v>45233</v>
      </c>
      <c r="C3184" s="105">
        <v>0.35416666666666669</v>
      </c>
      <c r="D3184" s="106">
        <v>0.66666666666666663</v>
      </c>
      <c r="E3184" s="3"/>
      <c r="F3184">
        <v>2484</v>
      </c>
    </row>
    <row r="3185" spans="1:6" x14ac:dyDescent="0.25">
      <c r="A3185">
        <v>7888</v>
      </c>
      <c r="B3185" s="15">
        <v>45234</v>
      </c>
      <c r="C3185" s="133"/>
      <c r="D3185" s="133"/>
      <c r="E3185" s="3"/>
      <c r="F3185">
        <v>2485</v>
      </c>
    </row>
    <row r="3186" spans="1:6" x14ac:dyDescent="0.25">
      <c r="A3186">
        <v>7888</v>
      </c>
      <c r="B3186" s="15">
        <v>45235</v>
      </c>
      <c r="C3186" s="133"/>
      <c r="D3186" s="133"/>
      <c r="F3186">
        <v>2486</v>
      </c>
    </row>
    <row r="3187" spans="1:6" x14ac:dyDescent="0.25">
      <c r="A3187">
        <v>7888</v>
      </c>
      <c r="B3187" s="15">
        <v>45236</v>
      </c>
      <c r="C3187" s="148" t="s">
        <v>169</v>
      </c>
      <c r="D3187" s="148" t="s">
        <v>169</v>
      </c>
      <c r="E3187" s="3"/>
      <c r="F3187">
        <v>2487</v>
      </c>
    </row>
    <row r="3188" spans="1:6" x14ac:dyDescent="0.25">
      <c r="A3188">
        <v>7888</v>
      </c>
      <c r="B3188" s="15">
        <v>45237</v>
      </c>
      <c r="C3188" s="149" t="s">
        <v>169</v>
      </c>
      <c r="D3188" s="149" t="s">
        <v>170</v>
      </c>
      <c r="E3188" s="3"/>
      <c r="F3188">
        <v>2488</v>
      </c>
    </row>
    <row r="3189" spans="1:6" x14ac:dyDescent="0.25">
      <c r="A3189">
        <v>7888</v>
      </c>
      <c r="B3189" s="15">
        <v>45238</v>
      </c>
      <c r="C3189" s="105">
        <v>0.35416666666666669</v>
      </c>
      <c r="D3189" s="105">
        <v>0.80208333333333337</v>
      </c>
      <c r="F3189">
        <v>2489</v>
      </c>
    </row>
    <row r="3190" spans="1:6" x14ac:dyDescent="0.25">
      <c r="A3190">
        <v>7888</v>
      </c>
      <c r="B3190" s="15">
        <v>45239</v>
      </c>
      <c r="C3190" s="132" t="s">
        <v>300</v>
      </c>
      <c r="D3190" s="132" t="s">
        <v>300</v>
      </c>
      <c r="E3190" s="3"/>
      <c r="F3190">
        <v>2490</v>
      </c>
    </row>
    <row r="3191" spans="1:6" x14ac:dyDescent="0.25">
      <c r="A3191">
        <v>7888</v>
      </c>
      <c r="B3191" s="15">
        <v>45240</v>
      </c>
      <c r="C3191" s="106">
        <v>0.36458333333333331</v>
      </c>
      <c r="D3191" s="109" t="s">
        <v>301</v>
      </c>
      <c r="F3191">
        <v>2491</v>
      </c>
    </row>
    <row r="3192" spans="1:6" x14ac:dyDescent="0.25">
      <c r="A3192">
        <v>7888</v>
      </c>
      <c r="B3192" s="15">
        <v>45241</v>
      </c>
      <c r="C3192" s="133"/>
      <c r="D3192" s="133"/>
      <c r="E3192" s="3"/>
      <c r="F3192">
        <v>2492</v>
      </c>
    </row>
    <row r="3193" spans="1:6" x14ac:dyDescent="0.25">
      <c r="A3193">
        <v>7888</v>
      </c>
      <c r="B3193" s="15">
        <v>45242</v>
      </c>
      <c r="C3193" s="133"/>
      <c r="D3193" s="133"/>
      <c r="E3193" s="3"/>
      <c r="F3193">
        <v>2493</v>
      </c>
    </row>
    <row r="3194" spans="1:6" x14ac:dyDescent="0.25">
      <c r="A3194">
        <v>7888</v>
      </c>
      <c r="B3194" s="15">
        <v>45243</v>
      </c>
      <c r="C3194" s="133"/>
      <c r="D3194" s="133"/>
      <c r="E3194" s="3"/>
      <c r="F3194">
        <v>2494</v>
      </c>
    </row>
    <row r="3195" spans="1:6" x14ac:dyDescent="0.25">
      <c r="A3195">
        <v>7888</v>
      </c>
      <c r="B3195" s="15">
        <v>45244</v>
      </c>
      <c r="C3195" s="106">
        <v>0.36458333333333331</v>
      </c>
      <c r="D3195" s="105">
        <v>0.80208333333333337</v>
      </c>
      <c r="E3195" s="3"/>
      <c r="F3195">
        <v>2495</v>
      </c>
    </row>
    <row r="3196" spans="1:6" x14ac:dyDescent="0.25">
      <c r="A3196">
        <v>7888</v>
      </c>
      <c r="B3196" s="15">
        <v>45245</v>
      </c>
      <c r="C3196" s="105">
        <v>0.35416666666666669</v>
      </c>
      <c r="D3196" s="106">
        <v>0.66666666666666663</v>
      </c>
      <c r="F3196">
        <v>2496</v>
      </c>
    </row>
    <row r="3197" spans="1:6" x14ac:dyDescent="0.25">
      <c r="A3197">
        <v>7888</v>
      </c>
      <c r="B3197" s="15">
        <v>45246</v>
      </c>
      <c r="C3197" s="105">
        <v>0.36458333333333331</v>
      </c>
      <c r="D3197" s="105">
        <v>0.80208333333333337</v>
      </c>
      <c r="E3197" s="3"/>
      <c r="F3197">
        <v>2497</v>
      </c>
    </row>
    <row r="3198" spans="1:6" x14ac:dyDescent="0.25">
      <c r="A3198">
        <v>7888</v>
      </c>
      <c r="B3198" s="15">
        <v>45247</v>
      </c>
      <c r="C3198" s="104" t="s">
        <v>2</v>
      </c>
      <c r="D3198" s="104" t="s">
        <v>2</v>
      </c>
      <c r="E3198" s="3"/>
      <c r="F3198">
        <v>2498</v>
      </c>
    </row>
    <row r="3199" spans="1:6" x14ac:dyDescent="0.25">
      <c r="A3199">
        <v>7888</v>
      </c>
      <c r="B3199" s="15">
        <v>45248</v>
      </c>
      <c r="C3199" s="133"/>
      <c r="D3199" s="133"/>
      <c r="E3199" s="3"/>
      <c r="F3199">
        <v>2499</v>
      </c>
    </row>
    <row r="3200" spans="1:6" x14ac:dyDescent="0.25">
      <c r="A3200">
        <v>7888</v>
      </c>
      <c r="B3200" s="15">
        <v>45249</v>
      </c>
      <c r="C3200" s="133"/>
      <c r="D3200" s="133"/>
      <c r="E3200" s="3"/>
      <c r="F3200">
        <v>2500</v>
      </c>
    </row>
    <row r="3201" spans="1:6" x14ac:dyDescent="0.25">
      <c r="A3201">
        <v>7888</v>
      </c>
      <c r="B3201" s="15">
        <v>45250</v>
      </c>
      <c r="C3201" s="133"/>
      <c r="D3201" s="133"/>
      <c r="E3201" s="3"/>
      <c r="F3201">
        <v>2501</v>
      </c>
    </row>
    <row r="3202" spans="1:6" x14ac:dyDescent="0.25">
      <c r="A3202">
        <v>7888</v>
      </c>
      <c r="B3202" s="15">
        <v>45251</v>
      </c>
      <c r="C3202" s="106">
        <v>0.35416666666666669</v>
      </c>
      <c r="D3202" s="106">
        <v>0.66666666666666663</v>
      </c>
      <c r="E3202" s="3"/>
      <c r="F3202">
        <v>2502</v>
      </c>
    </row>
    <row r="3203" spans="1:6" x14ac:dyDescent="0.25">
      <c r="A3203">
        <v>7888</v>
      </c>
      <c r="B3203" s="15">
        <v>45252</v>
      </c>
      <c r="C3203" s="106">
        <v>0.36458333333333331</v>
      </c>
      <c r="D3203" s="105">
        <v>0.80208333333333337</v>
      </c>
      <c r="E3203" s="3"/>
      <c r="F3203">
        <v>2503</v>
      </c>
    </row>
    <row r="3204" spans="1:6" x14ac:dyDescent="0.25">
      <c r="A3204">
        <v>7888</v>
      </c>
      <c r="B3204" s="15">
        <v>45253</v>
      </c>
      <c r="C3204" s="105">
        <v>0.35416666666666669</v>
      </c>
      <c r="D3204" s="106">
        <v>0.66666666666666663</v>
      </c>
      <c r="F3204">
        <v>2504</v>
      </c>
    </row>
    <row r="3205" spans="1:6" x14ac:dyDescent="0.25">
      <c r="A3205">
        <v>7888</v>
      </c>
      <c r="B3205" s="15">
        <v>45254</v>
      </c>
      <c r="C3205" s="106">
        <v>0.36458333333333331</v>
      </c>
      <c r="D3205" s="105">
        <v>0.80208333333333337</v>
      </c>
      <c r="E3205" s="3"/>
      <c r="F3205">
        <v>2505</v>
      </c>
    </row>
    <row r="3206" spans="1:6" x14ac:dyDescent="0.25">
      <c r="A3206">
        <v>7888</v>
      </c>
      <c r="B3206" s="15">
        <v>45255</v>
      </c>
      <c r="C3206" s="116" t="s">
        <v>167</v>
      </c>
      <c r="D3206" s="133"/>
      <c r="F3206">
        <v>2506</v>
      </c>
    </row>
    <row r="3207" spans="1:6" x14ac:dyDescent="0.25">
      <c r="A3207">
        <v>7888</v>
      </c>
      <c r="B3207" s="15">
        <v>45256</v>
      </c>
      <c r="C3207" s="133"/>
      <c r="D3207" s="133"/>
      <c r="E3207" s="3"/>
      <c r="F3207">
        <v>2507</v>
      </c>
    </row>
    <row r="3208" spans="1:6" x14ac:dyDescent="0.25">
      <c r="A3208">
        <v>7888</v>
      </c>
      <c r="B3208" s="15">
        <v>45257</v>
      </c>
      <c r="C3208" s="133"/>
      <c r="D3208" s="133"/>
      <c r="E3208" s="3"/>
      <c r="F3208">
        <v>2508</v>
      </c>
    </row>
    <row r="3209" spans="1:6" x14ac:dyDescent="0.25">
      <c r="A3209">
        <v>7888</v>
      </c>
      <c r="B3209" s="15">
        <v>45258</v>
      </c>
      <c r="C3209" s="106">
        <v>0.36458333333333331</v>
      </c>
      <c r="D3209" s="105">
        <v>0.80208333333333337</v>
      </c>
      <c r="E3209" s="3"/>
      <c r="F3209">
        <v>2509</v>
      </c>
    </row>
    <row r="3210" spans="1:6" x14ac:dyDescent="0.25">
      <c r="A3210">
        <v>7888</v>
      </c>
      <c r="B3210" s="15">
        <v>45259</v>
      </c>
      <c r="C3210" s="105">
        <v>0.35416666666666669</v>
      </c>
      <c r="D3210" s="106">
        <v>0.66666666666666663</v>
      </c>
      <c r="E3210" s="3"/>
      <c r="F3210">
        <v>2510</v>
      </c>
    </row>
    <row r="3211" spans="1:6" x14ac:dyDescent="0.25">
      <c r="A3211">
        <v>7888</v>
      </c>
      <c r="B3211" s="15">
        <v>45260</v>
      </c>
      <c r="C3211" s="106">
        <v>0.36458333333333331</v>
      </c>
      <c r="D3211" s="105">
        <v>0.80208333333333337</v>
      </c>
      <c r="E3211" s="3"/>
      <c r="F3211">
        <v>2511</v>
      </c>
    </row>
    <row r="3212" spans="1:6" x14ac:dyDescent="0.25">
      <c r="A3212">
        <v>7888</v>
      </c>
      <c r="B3212" s="15">
        <v>45261</v>
      </c>
      <c r="C3212" s="105">
        <v>0.35416666666666669</v>
      </c>
      <c r="D3212" s="106">
        <v>0.66666666666666663</v>
      </c>
      <c r="E3212" s="3"/>
      <c r="F3212">
        <v>2512</v>
      </c>
    </row>
    <row r="3213" spans="1:6" x14ac:dyDescent="0.25">
      <c r="A3213">
        <v>7888</v>
      </c>
      <c r="B3213" s="15">
        <v>45262</v>
      </c>
      <c r="C3213" s="133"/>
      <c r="D3213" s="133"/>
      <c r="E3213" s="3"/>
      <c r="F3213">
        <v>2513</v>
      </c>
    </row>
    <row r="3214" spans="1:6" x14ac:dyDescent="0.25">
      <c r="A3214">
        <v>7888</v>
      </c>
      <c r="B3214" s="15">
        <v>45263</v>
      </c>
      <c r="C3214" s="133"/>
      <c r="D3214" s="133"/>
      <c r="E3214" s="3"/>
      <c r="F3214">
        <v>2514</v>
      </c>
    </row>
    <row r="3215" spans="1:6" x14ac:dyDescent="0.25">
      <c r="A3215">
        <v>7888</v>
      </c>
      <c r="B3215" s="15">
        <v>45264</v>
      </c>
      <c r="C3215" s="133"/>
      <c r="D3215" s="133"/>
      <c r="E3215" s="3"/>
      <c r="F3215">
        <v>2515</v>
      </c>
    </row>
    <row r="3216" spans="1:6" x14ac:dyDescent="0.25">
      <c r="A3216">
        <v>7888</v>
      </c>
      <c r="B3216" s="15">
        <v>45265</v>
      </c>
      <c r="C3216" s="105">
        <v>0.35416666666666669</v>
      </c>
      <c r="D3216" s="106">
        <v>0.66666666666666663</v>
      </c>
      <c r="E3216" s="3"/>
      <c r="F3216">
        <v>2516</v>
      </c>
    </row>
    <row r="3217" spans="1:6" x14ac:dyDescent="0.25">
      <c r="A3217">
        <v>7888</v>
      </c>
      <c r="B3217" s="15">
        <v>45266</v>
      </c>
      <c r="C3217" s="105">
        <v>0.36458333333333331</v>
      </c>
      <c r="D3217" s="105">
        <v>0.80208333333333337</v>
      </c>
      <c r="F3217">
        <v>2517</v>
      </c>
    </row>
    <row r="3218" spans="1:6" x14ac:dyDescent="0.25">
      <c r="A3218">
        <v>7888</v>
      </c>
      <c r="B3218" s="15">
        <v>45267</v>
      </c>
      <c r="C3218" s="105">
        <v>0.35416666666666669</v>
      </c>
      <c r="D3218" s="106">
        <v>0.66666666666666663</v>
      </c>
      <c r="E3218" s="3"/>
      <c r="F3218">
        <v>2518</v>
      </c>
    </row>
    <row r="3219" spans="1:6" x14ac:dyDescent="0.25">
      <c r="A3219">
        <v>7888</v>
      </c>
      <c r="B3219" s="15">
        <v>45268</v>
      </c>
      <c r="C3219" s="106">
        <v>0.36458333333333331</v>
      </c>
      <c r="D3219" s="105">
        <v>0.80208333333333337</v>
      </c>
      <c r="E3219" s="3"/>
      <c r="F3219">
        <v>2519</v>
      </c>
    </row>
    <row r="3220" spans="1:6" x14ac:dyDescent="0.25">
      <c r="A3220">
        <v>7888</v>
      </c>
      <c r="B3220" s="15">
        <v>45269</v>
      </c>
      <c r="C3220" s="116" t="s">
        <v>167</v>
      </c>
      <c r="D3220" s="133"/>
      <c r="F3220">
        <v>2520</v>
      </c>
    </row>
    <row r="3221" spans="1:6" x14ac:dyDescent="0.25">
      <c r="A3221">
        <v>7888</v>
      </c>
      <c r="B3221" s="15">
        <v>45270</v>
      </c>
      <c r="C3221" s="133"/>
      <c r="D3221" s="133"/>
      <c r="E3221" s="3"/>
      <c r="F3221">
        <v>2521</v>
      </c>
    </row>
    <row r="3222" spans="1:6" x14ac:dyDescent="0.25">
      <c r="A3222">
        <v>7888</v>
      </c>
      <c r="B3222" s="15">
        <v>45271</v>
      </c>
      <c r="C3222" s="133"/>
      <c r="D3222" s="133"/>
      <c r="F3222">
        <v>2522</v>
      </c>
    </row>
    <row r="3223" spans="1:6" x14ac:dyDescent="0.25">
      <c r="A3223">
        <v>7888</v>
      </c>
      <c r="B3223" s="15">
        <v>45272</v>
      </c>
      <c r="C3223" s="106">
        <v>0.36458333333333331</v>
      </c>
      <c r="D3223" s="105">
        <v>0.80208333333333337</v>
      </c>
      <c r="E3223" s="3"/>
      <c r="F3223">
        <v>2523</v>
      </c>
    </row>
    <row r="3224" spans="1:6" x14ac:dyDescent="0.25">
      <c r="A3224">
        <v>7888</v>
      </c>
      <c r="B3224" s="15">
        <v>45273</v>
      </c>
      <c r="C3224" s="105">
        <v>0.35416666666666669</v>
      </c>
      <c r="D3224" s="104" t="s">
        <v>2</v>
      </c>
      <c r="E3224" s="3"/>
      <c r="F3224">
        <v>2524</v>
      </c>
    </row>
    <row r="3225" spans="1:6" x14ac:dyDescent="0.25">
      <c r="A3225">
        <v>7888</v>
      </c>
      <c r="B3225" s="15">
        <v>45274</v>
      </c>
      <c r="C3225" s="106">
        <v>0.36458333333333331</v>
      </c>
      <c r="D3225" s="105">
        <v>0.80208333333333337</v>
      </c>
      <c r="E3225" s="3"/>
      <c r="F3225">
        <v>2525</v>
      </c>
    </row>
    <row r="3226" spans="1:6" x14ac:dyDescent="0.25">
      <c r="A3226">
        <v>7888</v>
      </c>
      <c r="B3226" s="15">
        <v>45275</v>
      </c>
      <c r="C3226" s="106">
        <v>0.35416666666666669</v>
      </c>
      <c r="D3226" s="104" t="s">
        <v>2</v>
      </c>
      <c r="E3226" s="3"/>
      <c r="F3226">
        <v>2526</v>
      </c>
    </row>
    <row r="3227" spans="1:6" x14ac:dyDescent="0.25">
      <c r="A3227">
        <v>7888</v>
      </c>
      <c r="B3227" s="15">
        <v>45276</v>
      </c>
      <c r="C3227" s="133"/>
      <c r="D3227" s="133"/>
      <c r="F3227">
        <v>2527</v>
      </c>
    </row>
    <row r="3228" spans="1:6" x14ac:dyDescent="0.25">
      <c r="A3228">
        <v>7888</v>
      </c>
      <c r="B3228" s="15">
        <v>45277</v>
      </c>
      <c r="C3228" s="133"/>
      <c r="D3228" s="133"/>
      <c r="E3228" s="3"/>
      <c r="F3228">
        <v>2528</v>
      </c>
    </row>
    <row r="3229" spans="1:6" x14ac:dyDescent="0.25">
      <c r="A3229">
        <v>7888</v>
      </c>
      <c r="B3229" s="15">
        <v>45278</v>
      </c>
      <c r="C3229" s="133"/>
      <c r="D3229" s="133"/>
      <c r="E3229" s="3"/>
      <c r="F3229">
        <v>2529</v>
      </c>
    </row>
    <row r="3230" spans="1:6" x14ac:dyDescent="0.25">
      <c r="A3230">
        <v>7888</v>
      </c>
      <c r="B3230" s="15">
        <v>45279</v>
      </c>
      <c r="C3230" s="106">
        <v>0.35416666666666669</v>
      </c>
      <c r="D3230" s="106">
        <v>0.66666666666666663</v>
      </c>
      <c r="E3230" s="3"/>
      <c r="F3230">
        <v>2530</v>
      </c>
    </row>
    <row r="3231" spans="1:6" x14ac:dyDescent="0.25">
      <c r="A3231">
        <v>7888</v>
      </c>
      <c r="B3231" s="15">
        <v>45280</v>
      </c>
      <c r="C3231" s="106">
        <v>0.36458333333333331</v>
      </c>
      <c r="D3231" s="105">
        <v>0.80208333333333337</v>
      </c>
      <c r="E3231" s="3"/>
      <c r="F3231">
        <v>2531</v>
      </c>
    </row>
    <row r="3232" spans="1:6" x14ac:dyDescent="0.25">
      <c r="A3232">
        <v>7888</v>
      </c>
      <c r="B3232" s="15">
        <v>45281</v>
      </c>
      <c r="C3232" s="105">
        <v>0.35416666666666669</v>
      </c>
      <c r="D3232" s="106">
        <v>0.66666666666666663</v>
      </c>
      <c r="E3232" s="3"/>
      <c r="F3232">
        <v>2532</v>
      </c>
    </row>
    <row r="3233" spans="1:6" x14ac:dyDescent="0.25">
      <c r="A3233">
        <v>7888</v>
      </c>
      <c r="B3233" s="15">
        <v>45282</v>
      </c>
      <c r="C3233" s="106">
        <v>0.36458333333333331</v>
      </c>
      <c r="D3233" s="105">
        <v>0.80208333333333337</v>
      </c>
      <c r="E3233" s="3"/>
      <c r="F3233">
        <v>2533</v>
      </c>
    </row>
    <row r="3234" spans="1:6" x14ac:dyDescent="0.25">
      <c r="A3234">
        <v>7888</v>
      </c>
      <c r="B3234" s="15">
        <v>45283</v>
      </c>
      <c r="C3234" s="116" t="s">
        <v>167</v>
      </c>
      <c r="D3234" s="133"/>
      <c r="E3234" s="3"/>
      <c r="F3234">
        <v>2534</v>
      </c>
    </row>
    <row r="3235" spans="1:6" x14ac:dyDescent="0.25">
      <c r="A3235">
        <v>7888</v>
      </c>
      <c r="B3235" s="15">
        <v>45284</v>
      </c>
      <c r="C3235" s="133"/>
      <c r="D3235" s="133"/>
      <c r="F3235">
        <v>2535</v>
      </c>
    </row>
    <row r="3236" spans="1:6" x14ac:dyDescent="0.25">
      <c r="A3236">
        <v>7888</v>
      </c>
      <c r="B3236" s="15">
        <v>45285</v>
      </c>
      <c r="C3236" s="133"/>
      <c r="D3236" s="133"/>
      <c r="E3236" s="3"/>
      <c r="F3236">
        <v>2536</v>
      </c>
    </row>
    <row r="3237" spans="1:6" x14ac:dyDescent="0.25">
      <c r="A3237">
        <v>7888</v>
      </c>
      <c r="B3237" s="15">
        <v>45286</v>
      </c>
      <c r="C3237" s="106">
        <v>0.36458333333333331</v>
      </c>
      <c r="D3237" s="105">
        <v>0.80208333333333337</v>
      </c>
      <c r="F3237">
        <v>2537</v>
      </c>
    </row>
    <row r="3238" spans="1:6" x14ac:dyDescent="0.25">
      <c r="A3238">
        <v>7888</v>
      </c>
      <c r="B3238" s="15">
        <v>45287</v>
      </c>
      <c r="C3238" s="105">
        <v>0.35416666666666669</v>
      </c>
      <c r="D3238" s="106">
        <v>0.66666666666666663</v>
      </c>
      <c r="E3238" s="3"/>
      <c r="F3238">
        <v>2538</v>
      </c>
    </row>
    <row r="3239" spans="1:6" x14ac:dyDescent="0.25">
      <c r="A3239">
        <v>7888</v>
      </c>
      <c r="B3239" s="15">
        <v>45288</v>
      </c>
      <c r="C3239" s="106">
        <v>0.36458333333333331</v>
      </c>
      <c r="D3239" s="105">
        <v>0.80208333333333337</v>
      </c>
      <c r="E3239" s="3"/>
      <c r="F3239">
        <v>2539</v>
      </c>
    </row>
    <row r="3240" spans="1:6" x14ac:dyDescent="0.25">
      <c r="A3240">
        <v>7888</v>
      </c>
      <c r="B3240" s="15">
        <v>45289</v>
      </c>
      <c r="C3240" s="105">
        <v>0.35416666666666669</v>
      </c>
      <c r="D3240" s="106">
        <v>0.66666666666666663</v>
      </c>
      <c r="E3240" s="3"/>
      <c r="F3240">
        <v>2540</v>
      </c>
    </row>
    <row r="3241" spans="1:6" x14ac:dyDescent="0.25">
      <c r="A3241">
        <v>7888</v>
      </c>
      <c r="B3241" s="15">
        <v>45290</v>
      </c>
      <c r="C3241" s="133"/>
      <c r="D3241" s="133"/>
      <c r="E3241" s="3"/>
      <c r="F3241">
        <v>2541</v>
      </c>
    </row>
    <row r="3242" spans="1:6" x14ac:dyDescent="0.25">
      <c r="A3242">
        <v>7888</v>
      </c>
      <c r="B3242" s="15">
        <v>45291</v>
      </c>
      <c r="C3242" s="133"/>
      <c r="D3242" s="133"/>
      <c r="E3242" s="3"/>
      <c r="F3242">
        <v>2542</v>
      </c>
    </row>
    <row r="3243" spans="1:6" x14ac:dyDescent="0.25">
      <c r="A3243">
        <v>7888</v>
      </c>
      <c r="B3243" s="15">
        <v>45292</v>
      </c>
      <c r="C3243" s="133"/>
      <c r="D3243" s="133"/>
      <c r="E3243" s="3"/>
      <c r="F3243">
        <v>2543</v>
      </c>
    </row>
    <row r="3244" spans="1:6" x14ac:dyDescent="0.25">
      <c r="A3244">
        <v>7888</v>
      </c>
      <c r="B3244" s="15">
        <v>45293</v>
      </c>
      <c r="C3244" s="105">
        <v>0.35416666666666669</v>
      </c>
      <c r="D3244" s="106">
        <v>0.66666666666666663</v>
      </c>
      <c r="E3244" s="3"/>
      <c r="F3244">
        <v>2544</v>
      </c>
    </row>
    <row r="3245" spans="1:6" x14ac:dyDescent="0.25">
      <c r="A3245">
        <v>7888</v>
      </c>
      <c r="B3245" s="15">
        <v>45294</v>
      </c>
      <c r="C3245" s="105">
        <v>0.36458333333333331</v>
      </c>
      <c r="D3245" s="105">
        <v>0.80208333333333337</v>
      </c>
      <c r="E3245" s="3"/>
      <c r="F3245">
        <v>2545</v>
      </c>
    </row>
    <row r="3246" spans="1:6" x14ac:dyDescent="0.25">
      <c r="A3246">
        <v>7888</v>
      </c>
      <c r="B3246" s="15">
        <v>45295</v>
      </c>
      <c r="C3246" s="105">
        <v>0.35416666666666669</v>
      </c>
      <c r="D3246" s="106">
        <v>0.66666666666666663</v>
      </c>
      <c r="E3246" s="3"/>
      <c r="F3246">
        <v>2546</v>
      </c>
    </row>
    <row r="3247" spans="1:6" x14ac:dyDescent="0.25">
      <c r="A3247">
        <v>7888</v>
      </c>
      <c r="B3247" s="15">
        <v>45296</v>
      </c>
      <c r="C3247" s="105">
        <v>0.36458333333333331</v>
      </c>
      <c r="D3247" s="105">
        <v>0.80208333333333337</v>
      </c>
      <c r="E3247" s="3"/>
      <c r="F3247">
        <v>2547</v>
      </c>
    </row>
    <row r="3248" spans="1:6" x14ac:dyDescent="0.25">
      <c r="A3248">
        <v>7888</v>
      </c>
      <c r="B3248" s="15">
        <v>45297</v>
      </c>
      <c r="C3248" s="116" t="s">
        <v>167</v>
      </c>
      <c r="D3248" s="133"/>
      <c r="F3248">
        <v>2548</v>
      </c>
    </row>
    <row r="3249" spans="1:6" x14ac:dyDescent="0.25">
      <c r="A3249">
        <v>7888</v>
      </c>
      <c r="B3249" s="15">
        <v>45298</v>
      </c>
      <c r="C3249" s="133"/>
      <c r="D3249" s="133"/>
      <c r="E3249" s="3"/>
      <c r="F3249">
        <v>2549</v>
      </c>
    </row>
    <row r="3250" spans="1:6" x14ac:dyDescent="0.25">
      <c r="A3250">
        <v>7888</v>
      </c>
      <c r="B3250" s="15">
        <v>45299</v>
      </c>
      <c r="C3250" s="133"/>
      <c r="D3250" s="133"/>
      <c r="E3250" s="3"/>
      <c r="F3250">
        <v>2550</v>
      </c>
    </row>
    <row r="3251" spans="1:6" x14ac:dyDescent="0.25">
      <c r="A3251">
        <v>7888</v>
      </c>
      <c r="B3251" s="15">
        <v>45300</v>
      </c>
      <c r="C3251" s="104" t="s">
        <v>2</v>
      </c>
      <c r="D3251" s="104" t="s">
        <v>2</v>
      </c>
      <c r="F3251">
        <v>2551</v>
      </c>
    </row>
    <row r="3252" spans="1:6" x14ac:dyDescent="0.25">
      <c r="A3252">
        <v>7888</v>
      </c>
      <c r="B3252" s="15">
        <v>45301</v>
      </c>
      <c r="C3252" s="104" t="s">
        <v>2</v>
      </c>
      <c r="D3252" s="104" t="s">
        <v>2</v>
      </c>
      <c r="E3252" s="3"/>
      <c r="F3252">
        <v>2552</v>
      </c>
    </row>
    <row r="3253" spans="1:6" x14ac:dyDescent="0.25">
      <c r="A3253">
        <v>7888</v>
      </c>
      <c r="B3253" s="15">
        <v>45302</v>
      </c>
      <c r="C3253" s="104" t="s">
        <v>2</v>
      </c>
      <c r="D3253" s="104" t="s">
        <v>2</v>
      </c>
      <c r="F3253">
        <v>2553</v>
      </c>
    </row>
    <row r="3254" spans="1:6" x14ac:dyDescent="0.25">
      <c r="A3254">
        <v>7888</v>
      </c>
      <c r="B3254" s="15">
        <v>45303</v>
      </c>
      <c r="C3254" s="104" t="s">
        <v>2</v>
      </c>
      <c r="D3254" s="104" t="s">
        <v>2</v>
      </c>
      <c r="E3254" s="3"/>
      <c r="F3254">
        <v>2554</v>
      </c>
    </row>
    <row r="3255" spans="1:6" x14ac:dyDescent="0.25">
      <c r="A3255">
        <v>7888</v>
      </c>
      <c r="B3255" s="15">
        <v>45304</v>
      </c>
      <c r="C3255" s="133"/>
      <c r="D3255" s="133"/>
      <c r="E3255" s="3"/>
      <c r="F3255">
        <v>2555</v>
      </c>
    </row>
    <row r="3256" spans="1:6" x14ac:dyDescent="0.25">
      <c r="A3256">
        <v>7888</v>
      </c>
      <c r="B3256" s="15">
        <v>45305</v>
      </c>
      <c r="C3256" s="133"/>
      <c r="D3256" s="133"/>
      <c r="E3256" s="3"/>
      <c r="F3256">
        <v>2556</v>
      </c>
    </row>
    <row r="3257" spans="1:6" x14ac:dyDescent="0.25">
      <c r="A3257">
        <v>7888</v>
      </c>
      <c r="B3257" s="15">
        <v>45306</v>
      </c>
      <c r="C3257" s="133"/>
      <c r="D3257" s="133"/>
      <c r="E3257" s="3"/>
      <c r="F3257">
        <v>2557</v>
      </c>
    </row>
    <row r="3258" spans="1:6" x14ac:dyDescent="0.25">
      <c r="A3258">
        <v>7888</v>
      </c>
      <c r="B3258" s="15">
        <v>45307</v>
      </c>
      <c r="C3258" s="106">
        <v>0.35416666666666669</v>
      </c>
      <c r="D3258" s="106">
        <v>0.66666666666666663</v>
      </c>
      <c r="F3258">
        <v>2558</v>
      </c>
    </row>
    <row r="3259" spans="1:6" x14ac:dyDescent="0.25">
      <c r="A3259">
        <v>7888</v>
      </c>
      <c r="B3259" s="15">
        <v>45308</v>
      </c>
      <c r="C3259" s="106">
        <v>0.36458333333333331</v>
      </c>
      <c r="D3259" s="105">
        <v>0.80208333333333337</v>
      </c>
      <c r="E3259" s="3"/>
      <c r="F3259">
        <v>2559</v>
      </c>
    </row>
    <row r="3260" spans="1:6" x14ac:dyDescent="0.25">
      <c r="A3260">
        <v>7888</v>
      </c>
      <c r="B3260" s="15">
        <v>45309</v>
      </c>
      <c r="C3260" s="105">
        <v>0.35416666666666669</v>
      </c>
      <c r="D3260" s="106">
        <v>0.66666666666666663</v>
      </c>
      <c r="E3260" s="3"/>
      <c r="F3260">
        <v>2560</v>
      </c>
    </row>
    <row r="3261" spans="1:6" x14ac:dyDescent="0.25">
      <c r="A3261">
        <v>7888</v>
      </c>
      <c r="B3261" s="15">
        <v>45310</v>
      </c>
      <c r="C3261" s="106">
        <v>0.36458333333333331</v>
      </c>
      <c r="D3261" s="105">
        <v>0.80208333333333337</v>
      </c>
      <c r="E3261" s="3"/>
      <c r="F3261">
        <v>2561</v>
      </c>
    </row>
    <row r="3262" spans="1:6" x14ac:dyDescent="0.25">
      <c r="A3262">
        <v>7888</v>
      </c>
      <c r="B3262" s="15">
        <v>45311</v>
      </c>
      <c r="C3262" s="116" t="s">
        <v>167</v>
      </c>
      <c r="D3262" s="133"/>
      <c r="E3262" s="3"/>
      <c r="F3262">
        <v>2562</v>
      </c>
    </row>
    <row r="3263" spans="1:6" x14ac:dyDescent="0.25">
      <c r="A3263">
        <v>7888</v>
      </c>
      <c r="B3263" s="15">
        <v>45312</v>
      </c>
      <c r="C3263" s="133"/>
      <c r="D3263" s="133"/>
      <c r="E3263" s="3"/>
      <c r="F3263">
        <v>2563</v>
      </c>
    </row>
    <row r="3264" spans="1:6" x14ac:dyDescent="0.25">
      <c r="A3264">
        <v>7888</v>
      </c>
      <c r="B3264" s="15">
        <v>45313</v>
      </c>
      <c r="C3264" s="133"/>
      <c r="D3264" s="133"/>
      <c r="E3264" s="3"/>
      <c r="F3264">
        <v>2564</v>
      </c>
    </row>
    <row r="3265" spans="1:6" x14ac:dyDescent="0.25">
      <c r="A3265">
        <v>7888</v>
      </c>
      <c r="B3265" s="15">
        <v>45314</v>
      </c>
      <c r="C3265" s="106">
        <v>0.36458333333333331</v>
      </c>
      <c r="D3265" s="105">
        <v>0.80208333333333337</v>
      </c>
      <c r="E3265" s="3"/>
      <c r="F3265">
        <v>2565</v>
      </c>
    </row>
    <row r="3266" spans="1:6" x14ac:dyDescent="0.25">
      <c r="A3266">
        <v>7888</v>
      </c>
      <c r="B3266" s="15">
        <v>45315</v>
      </c>
      <c r="C3266" s="105">
        <v>0.35416666666666669</v>
      </c>
      <c r="D3266" s="106">
        <v>0.66666666666666663</v>
      </c>
      <c r="F3266">
        <v>2566</v>
      </c>
    </row>
    <row r="3267" spans="1:6" x14ac:dyDescent="0.25">
      <c r="A3267">
        <v>7888</v>
      </c>
      <c r="B3267" s="15">
        <v>45316</v>
      </c>
      <c r="C3267" s="106">
        <v>0.36458333333333331</v>
      </c>
      <c r="D3267" s="105">
        <v>0.80208333333333337</v>
      </c>
      <c r="E3267" s="3"/>
      <c r="F3267">
        <v>2567</v>
      </c>
    </row>
    <row r="3268" spans="1:6" x14ac:dyDescent="0.25">
      <c r="A3268">
        <v>7888</v>
      </c>
      <c r="B3268" s="15">
        <v>45317</v>
      </c>
      <c r="C3268" s="105">
        <v>0.35416666666666669</v>
      </c>
      <c r="D3268" s="106">
        <v>0.66666666666666663</v>
      </c>
      <c r="F3268">
        <v>2568</v>
      </c>
    </row>
    <row r="3269" spans="1:6" x14ac:dyDescent="0.25">
      <c r="A3269">
        <v>7888</v>
      </c>
      <c r="B3269" s="15">
        <v>45318</v>
      </c>
      <c r="C3269" s="133"/>
      <c r="D3269" s="133"/>
      <c r="E3269" s="3"/>
      <c r="F3269">
        <v>2569</v>
      </c>
    </row>
    <row r="3270" spans="1:6" x14ac:dyDescent="0.25">
      <c r="A3270">
        <v>7888</v>
      </c>
      <c r="B3270" s="15">
        <v>45319</v>
      </c>
      <c r="C3270" s="133"/>
      <c r="D3270" s="133"/>
      <c r="E3270" s="3"/>
      <c r="F3270">
        <v>2570</v>
      </c>
    </row>
    <row r="3271" spans="1:6" x14ac:dyDescent="0.25">
      <c r="A3271">
        <v>7888</v>
      </c>
      <c r="B3271" s="15">
        <v>45320</v>
      </c>
      <c r="C3271" s="133"/>
      <c r="D3271" s="133"/>
      <c r="E3271" s="3"/>
      <c r="F3271">
        <v>2571</v>
      </c>
    </row>
    <row r="3272" spans="1:6" x14ac:dyDescent="0.25">
      <c r="A3272">
        <v>7888</v>
      </c>
      <c r="B3272" s="15">
        <v>45321</v>
      </c>
      <c r="C3272" s="105">
        <v>0.35416666666666669</v>
      </c>
      <c r="D3272" s="106">
        <v>0.66666666666666663</v>
      </c>
      <c r="E3272" s="3"/>
      <c r="F3272">
        <v>2572</v>
      </c>
    </row>
    <row r="3273" spans="1:6" x14ac:dyDescent="0.25">
      <c r="A3273">
        <v>7888</v>
      </c>
      <c r="B3273" s="15">
        <v>45322</v>
      </c>
      <c r="C3273" s="106">
        <v>0.36458333333333331</v>
      </c>
      <c r="D3273" s="105">
        <v>0.80208333333333337</v>
      </c>
      <c r="E3273" s="3"/>
      <c r="F3273">
        <v>2573</v>
      </c>
    </row>
    <row r="3274" spans="1:6" x14ac:dyDescent="0.25">
      <c r="A3274">
        <v>7888</v>
      </c>
      <c r="B3274" s="15">
        <v>45323</v>
      </c>
      <c r="C3274" s="105">
        <v>0.35416666666666669</v>
      </c>
      <c r="D3274" s="106">
        <v>0.66666666666666663</v>
      </c>
      <c r="E3274" s="3"/>
      <c r="F3274">
        <v>2574</v>
      </c>
    </row>
    <row r="3275" spans="1:6" x14ac:dyDescent="0.25">
      <c r="A3275">
        <v>7888</v>
      </c>
      <c r="B3275" s="15">
        <v>45324</v>
      </c>
      <c r="C3275" s="106">
        <v>0.36458333333333331</v>
      </c>
      <c r="D3275" s="105">
        <v>0.80208333333333337</v>
      </c>
      <c r="E3275" s="3"/>
      <c r="F3275">
        <v>2575</v>
      </c>
    </row>
    <row r="3276" spans="1:6" x14ac:dyDescent="0.25">
      <c r="A3276">
        <v>7888</v>
      </c>
      <c r="B3276" s="15">
        <v>45325</v>
      </c>
      <c r="C3276" s="116" t="s">
        <v>167</v>
      </c>
      <c r="D3276" s="133"/>
      <c r="E3276" s="3"/>
      <c r="F3276">
        <v>2576</v>
      </c>
    </row>
    <row r="3277" spans="1:6" x14ac:dyDescent="0.25">
      <c r="A3277">
        <v>7888</v>
      </c>
      <c r="B3277" s="15">
        <v>45326</v>
      </c>
      <c r="C3277" s="133"/>
      <c r="D3277" s="133"/>
      <c r="E3277" s="3"/>
      <c r="F3277">
        <v>2577</v>
      </c>
    </row>
    <row r="3278" spans="1:6" x14ac:dyDescent="0.25">
      <c r="A3278">
        <v>7888</v>
      </c>
      <c r="B3278" s="15">
        <v>45327</v>
      </c>
      <c r="C3278" s="133"/>
      <c r="D3278" s="133"/>
      <c r="E3278" s="3"/>
      <c r="F3278">
        <v>2578</v>
      </c>
    </row>
    <row r="3279" spans="1:6" x14ac:dyDescent="0.25">
      <c r="A3279">
        <v>7888</v>
      </c>
      <c r="B3279" s="15">
        <v>45328</v>
      </c>
      <c r="C3279" s="106">
        <v>0.36458333333333331</v>
      </c>
      <c r="D3279" s="105">
        <v>0.80208333333333337</v>
      </c>
      <c r="F3279">
        <v>2579</v>
      </c>
    </row>
    <row r="3280" spans="1:6" x14ac:dyDescent="0.25">
      <c r="A3280">
        <v>7888</v>
      </c>
      <c r="B3280" s="15">
        <v>45329</v>
      </c>
      <c r="C3280" s="105">
        <v>0.35416666666666669</v>
      </c>
      <c r="D3280" s="106">
        <v>0.66666666666666663</v>
      </c>
      <c r="E3280" s="3"/>
      <c r="F3280">
        <v>2580</v>
      </c>
    </row>
    <row r="3281" spans="1:6" x14ac:dyDescent="0.25">
      <c r="A3281">
        <v>7888</v>
      </c>
      <c r="B3281" s="15">
        <v>45330</v>
      </c>
      <c r="C3281" s="106">
        <v>0.36458333333333331</v>
      </c>
      <c r="D3281" s="105">
        <v>0.80208333333333337</v>
      </c>
      <c r="E3281" s="3"/>
      <c r="F3281">
        <v>2581</v>
      </c>
    </row>
    <row r="3282" spans="1:6" x14ac:dyDescent="0.25">
      <c r="A3282">
        <v>7888</v>
      </c>
      <c r="B3282" s="15">
        <v>45331</v>
      </c>
      <c r="C3282" s="105">
        <v>0.35416666666666669</v>
      </c>
      <c r="D3282" s="106">
        <v>0.66666666666666663</v>
      </c>
      <c r="F3282">
        <v>2582</v>
      </c>
    </row>
    <row r="3283" spans="1:6" x14ac:dyDescent="0.25">
      <c r="A3283">
        <v>7888</v>
      </c>
      <c r="B3283" s="15">
        <v>45332</v>
      </c>
      <c r="C3283" s="133"/>
      <c r="D3283" s="133"/>
      <c r="E3283" s="3"/>
      <c r="F3283">
        <v>2583</v>
      </c>
    </row>
    <row r="3284" spans="1:6" x14ac:dyDescent="0.25">
      <c r="A3284">
        <v>7888</v>
      </c>
      <c r="B3284" s="15">
        <v>45333</v>
      </c>
      <c r="C3284" s="133"/>
      <c r="D3284" s="133"/>
      <c r="F3284">
        <v>2584</v>
      </c>
    </row>
    <row r="3285" spans="1:6" x14ac:dyDescent="0.25">
      <c r="A3285">
        <v>7888</v>
      </c>
      <c r="B3285" s="15">
        <v>45334</v>
      </c>
      <c r="C3285" s="133"/>
      <c r="D3285" s="133"/>
      <c r="E3285" s="3"/>
      <c r="F3285">
        <v>2585</v>
      </c>
    </row>
    <row r="3286" spans="1:6" x14ac:dyDescent="0.25">
      <c r="A3286">
        <v>7888</v>
      </c>
      <c r="B3286" s="15">
        <v>45335</v>
      </c>
      <c r="C3286" s="106">
        <v>0.35416666666666669</v>
      </c>
      <c r="D3286" s="106">
        <v>0.66666666666666663</v>
      </c>
      <c r="E3286" s="3"/>
      <c r="F3286">
        <v>2586</v>
      </c>
    </row>
    <row r="3287" spans="1:6" x14ac:dyDescent="0.25">
      <c r="A3287">
        <v>7888</v>
      </c>
      <c r="B3287" s="15">
        <v>45336</v>
      </c>
      <c r="C3287" s="106">
        <v>0.36458333333333331</v>
      </c>
      <c r="D3287" s="105">
        <v>0.80208333333333337</v>
      </c>
      <c r="E3287" s="3"/>
      <c r="F3287">
        <v>2587</v>
      </c>
    </row>
    <row r="3288" spans="1:6" x14ac:dyDescent="0.25">
      <c r="A3288">
        <v>7888</v>
      </c>
      <c r="B3288" s="15">
        <v>45337</v>
      </c>
      <c r="C3288" s="105">
        <v>0.35416666666666669</v>
      </c>
      <c r="D3288" s="106">
        <v>0.66666666666666663</v>
      </c>
      <c r="E3288" s="3"/>
      <c r="F3288">
        <v>2588</v>
      </c>
    </row>
    <row r="3289" spans="1:6" x14ac:dyDescent="0.25">
      <c r="A3289">
        <v>7888</v>
      </c>
      <c r="B3289" s="15">
        <v>45338</v>
      </c>
      <c r="C3289" s="106">
        <v>0.36458333333333331</v>
      </c>
      <c r="D3289" s="105">
        <v>0.80208333333333337</v>
      </c>
      <c r="F3289">
        <v>2589</v>
      </c>
    </row>
    <row r="3290" spans="1:6" x14ac:dyDescent="0.25">
      <c r="A3290">
        <v>7888</v>
      </c>
      <c r="B3290" s="15">
        <v>45339</v>
      </c>
      <c r="C3290" s="116" t="s">
        <v>167</v>
      </c>
      <c r="D3290" s="133"/>
      <c r="E3290" s="3"/>
      <c r="F3290">
        <v>2590</v>
      </c>
    </row>
    <row r="3291" spans="1:6" x14ac:dyDescent="0.25">
      <c r="A3291">
        <v>7888</v>
      </c>
      <c r="B3291" s="15">
        <v>45340</v>
      </c>
      <c r="C3291" s="133"/>
      <c r="D3291" s="133"/>
      <c r="E3291" s="3"/>
      <c r="F3291">
        <v>2591</v>
      </c>
    </row>
    <row r="3292" spans="1:6" x14ac:dyDescent="0.25">
      <c r="A3292">
        <v>7888</v>
      </c>
      <c r="B3292" s="15">
        <v>45341</v>
      </c>
      <c r="C3292" s="133"/>
      <c r="D3292" s="133"/>
      <c r="E3292" s="3"/>
      <c r="F3292">
        <v>2592</v>
      </c>
    </row>
    <row r="3293" spans="1:6" x14ac:dyDescent="0.25">
      <c r="A3293">
        <v>7888</v>
      </c>
      <c r="B3293" s="15">
        <v>45342</v>
      </c>
      <c r="C3293" s="105">
        <v>0.36458333333333331</v>
      </c>
      <c r="D3293" s="105">
        <v>0.80208333333333337</v>
      </c>
      <c r="E3293" s="3"/>
      <c r="F3293">
        <v>2593</v>
      </c>
    </row>
    <row r="3294" spans="1:6" x14ac:dyDescent="0.25">
      <c r="A3294">
        <v>7888</v>
      </c>
      <c r="B3294" s="15">
        <v>45343</v>
      </c>
      <c r="C3294" s="105">
        <v>0.35416666666666669</v>
      </c>
      <c r="D3294" s="106">
        <v>0.66666666666666663</v>
      </c>
      <c r="E3294" s="3"/>
      <c r="F3294">
        <v>2594</v>
      </c>
    </row>
    <row r="3295" spans="1:6" x14ac:dyDescent="0.25">
      <c r="A3295">
        <v>7888</v>
      </c>
      <c r="B3295" s="15">
        <v>45344</v>
      </c>
      <c r="C3295" s="105">
        <v>0.36458333333333331</v>
      </c>
      <c r="D3295" s="105">
        <v>0.80208333333333337</v>
      </c>
      <c r="E3295" s="3"/>
      <c r="F3295">
        <v>2595</v>
      </c>
    </row>
    <row r="3296" spans="1:6" x14ac:dyDescent="0.25">
      <c r="A3296">
        <v>7888</v>
      </c>
      <c r="B3296" s="15">
        <v>45345</v>
      </c>
      <c r="C3296" s="105">
        <v>0.35416666666666669</v>
      </c>
      <c r="D3296" s="106">
        <v>0.66666666666666663</v>
      </c>
      <c r="E3296" s="3"/>
      <c r="F3296">
        <v>2596</v>
      </c>
    </row>
    <row r="3297" spans="1:6" x14ac:dyDescent="0.25">
      <c r="A3297">
        <v>7888</v>
      </c>
      <c r="B3297" s="15">
        <v>45346</v>
      </c>
      <c r="C3297" s="150" t="s">
        <v>312</v>
      </c>
      <c r="D3297" s="133"/>
      <c r="F3297">
        <v>2597</v>
      </c>
    </row>
    <row r="3298" spans="1:6" x14ac:dyDescent="0.25">
      <c r="A3298">
        <v>7888</v>
      </c>
      <c r="B3298" s="15">
        <v>45347</v>
      </c>
      <c r="C3298" s="133"/>
      <c r="D3298" s="133"/>
      <c r="E3298" s="3"/>
      <c r="F3298">
        <v>2598</v>
      </c>
    </row>
    <row r="3299" spans="1:6" x14ac:dyDescent="0.25">
      <c r="A3299">
        <v>7888</v>
      </c>
      <c r="B3299" s="15">
        <v>45348</v>
      </c>
      <c r="C3299" s="133"/>
      <c r="D3299" s="133"/>
      <c r="F3299">
        <v>2599</v>
      </c>
    </row>
    <row r="3300" spans="1:6" x14ac:dyDescent="0.25">
      <c r="A3300">
        <v>7888</v>
      </c>
      <c r="B3300" s="15">
        <v>45349</v>
      </c>
      <c r="C3300" s="105">
        <v>0.35416666666666669</v>
      </c>
      <c r="D3300" s="106">
        <v>0.66666666666666663</v>
      </c>
      <c r="E3300" s="3"/>
      <c r="F3300">
        <v>2600</v>
      </c>
    </row>
    <row r="3301" spans="1:6" x14ac:dyDescent="0.25">
      <c r="A3301">
        <v>7888</v>
      </c>
      <c r="B3301" s="15">
        <v>45350</v>
      </c>
      <c r="C3301" s="106">
        <v>0.36458333333333331</v>
      </c>
      <c r="D3301" s="105">
        <v>0.80208333333333337</v>
      </c>
      <c r="E3301" s="3"/>
      <c r="F3301">
        <v>2601</v>
      </c>
    </row>
    <row r="3302" spans="1:6" x14ac:dyDescent="0.25">
      <c r="A3302">
        <v>7888</v>
      </c>
      <c r="B3302" s="15">
        <v>45351</v>
      </c>
      <c r="C3302" s="105">
        <v>0.35416666666666669</v>
      </c>
      <c r="D3302" s="106">
        <v>0.66666666666666663</v>
      </c>
      <c r="E3302" s="3"/>
      <c r="F3302">
        <v>2602</v>
      </c>
    </row>
    <row r="3303" spans="1:6" x14ac:dyDescent="0.25">
      <c r="A3303">
        <v>7888</v>
      </c>
      <c r="B3303" s="15">
        <v>45352</v>
      </c>
      <c r="C3303" s="106">
        <v>0.36458333333333331</v>
      </c>
      <c r="D3303" s="105">
        <v>0.80208333333333337</v>
      </c>
      <c r="E3303" s="3"/>
      <c r="F3303">
        <v>2603</v>
      </c>
    </row>
    <row r="3304" spans="1:6" x14ac:dyDescent="0.25">
      <c r="A3304">
        <v>7888</v>
      </c>
      <c r="B3304" s="15">
        <v>45353</v>
      </c>
      <c r="C3304" s="116" t="s">
        <v>167</v>
      </c>
      <c r="D3304" s="133"/>
      <c r="E3304" s="3"/>
      <c r="F3304">
        <v>2604</v>
      </c>
    </row>
    <row r="3305" spans="1:6" x14ac:dyDescent="0.25">
      <c r="A3305">
        <v>7888</v>
      </c>
      <c r="B3305" s="15">
        <v>45354</v>
      </c>
      <c r="C3305" s="133"/>
      <c r="D3305" s="133"/>
      <c r="E3305" s="3"/>
      <c r="F3305">
        <v>2605</v>
      </c>
    </row>
    <row r="3306" spans="1:6" x14ac:dyDescent="0.25">
      <c r="A3306">
        <v>7888</v>
      </c>
      <c r="B3306" s="15">
        <v>45355</v>
      </c>
      <c r="C3306" s="133"/>
      <c r="D3306" s="133"/>
      <c r="E3306" s="3"/>
      <c r="F3306">
        <v>2606</v>
      </c>
    </row>
    <row r="3307" spans="1:6" x14ac:dyDescent="0.25">
      <c r="A3307">
        <v>7888</v>
      </c>
      <c r="B3307" s="15">
        <v>45356</v>
      </c>
      <c r="C3307" s="106">
        <v>0.36458333333333331</v>
      </c>
      <c r="D3307" s="105">
        <v>0.80208333333333337</v>
      </c>
      <c r="E3307" s="3"/>
      <c r="F3307">
        <v>2607</v>
      </c>
    </row>
    <row r="3308" spans="1:6" x14ac:dyDescent="0.25">
      <c r="A3308">
        <v>7888</v>
      </c>
      <c r="B3308" s="15">
        <v>45357</v>
      </c>
      <c r="C3308" s="105">
        <v>0.35416666666666669</v>
      </c>
      <c r="D3308" s="106">
        <v>0.66666666666666663</v>
      </c>
      <c r="E3308" s="3"/>
      <c r="F3308">
        <v>2608</v>
      </c>
    </row>
    <row r="3309" spans="1:6" x14ac:dyDescent="0.25">
      <c r="A3309">
        <v>7888</v>
      </c>
      <c r="B3309" s="15">
        <v>45358</v>
      </c>
      <c r="C3309" s="106">
        <v>0.36458333333333331</v>
      </c>
      <c r="D3309" s="105">
        <v>0.80208333333333337</v>
      </c>
      <c r="E3309" s="3"/>
      <c r="F3309">
        <v>2609</v>
      </c>
    </row>
    <row r="3310" spans="1:6" x14ac:dyDescent="0.25">
      <c r="A3310">
        <v>7888</v>
      </c>
      <c r="B3310" s="15">
        <v>45359</v>
      </c>
      <c r="C3310" s="105">
        <v>0.35416666666666669</v>
      </c>
      <c r="D3310" s="106">
        <v>0.66666666666666663</v>
      </c>
      <c r="F3310">
        <v>2610</v>
      </c>
    </row>
    <row r="3311" spans="1:6" x14ac:dyDescent="0.25">
      <c r="A3311">
        <v>7888</v>
      </c>
      <c r="B3311" s="15">
        <v>45360</v>
      </c>
      <c r="C3311" s="133"/>
      <c r="D3311" s="133"/>
      <c r="E3311" s="3"/>
      <c r="F3311">
        <v>2611</v>
      </c>
    </row>
    <row r="3312" spans="1:6" x14ac:dyDescent="0.25">
      <c r="A3312">
        <v>7888</v>
      </c>
      <c r="B3312" s="15">
        <v>45361</v>
      </c>
      <c r="C3312" s="133"/>
      <c r="D3312" s="133"/>
      <c r="E3312" s="3"/>
      <c r="F3312">
        <v>2612</v>
      </c>
    </row>
    <row r="3313" spans="1:6" x14ac:dyDescent="0.25">
      <c r="A3313">
        <v>7888</v>
      </c>
      <c r="B3313" s="15">
        <v>45362</v>
      </c>
      <c r="C3313" s="133"/>
      <c r="D3313" s="133"/>
      <c r="F3313">
        <v>2613</v>
      </c>
    </row>
    <row r="3314" spans="1:6" x14ac:dyDescent="0.25">
      <c r="A3314">
        <v>7888</v>
      </c>
      <c r="B3314" s="15">
        <v>45363</v>
      </c>
      <c r="C3314" s="106">
        <v>0.35416666666666669</v>
      </c>
      <c r="D3314" s="106">
        <v>0.66666666666666663</v>
      </c>
      <c r="E3314" s="3"/>
      <c r="F3314">
        <v>2614</v>
      </c>
    </row>
    <row r="3315" spans="1:6" x14ac:dyDescent="0.25">
      <c r="A3315">
        <v>7888</v>
      </c>
      <c r="B3315" s="15">
        <v>45364</v>
      </c>
      <c r="C3315" s="106">
        <v>0.36458333333333331</v>
      </c>
      <c r="D3315" s="105">
        <v>0.80208333333333337</v>
      </c>
      <c r="F3315">
        <v>2615</v>
      </c>
    </row>
    <row r="3316" spans="1:6" x14ac:dyDescent="0.25">
      <c r="A3316">
        <v>7888</v>
      </c>
      <c r="B3316" s="15">
        <v>45365</v>
      </c>
      <c r="C3316" s="105">
        <v>0.35416666666666669</v>
      </c>
      <c r="D3316" s="106">
        <v>0.66666666666666663</v>
      </c>
      <c r="E3316" s="3"/>
      <c r="F3316">
        <v>2616</v>
      </c>
    </row>
    <row r="3317" spans="1:6" x14ac:dyDescent="0.25">
      <c r="A3317">
        <v>7888</v>
      </c>
      <c r="B3317" s="15">
        <v>45366</v>
      </c>
      <c r="C3317" s="106">
        <v>0.36458333333333331</v>
      </c>
      <c r="D3317" s="105">
        <v>0.80208333333333337</v>
      </c>
      <c r="E3317" s="3"/>
      <c r="F3317">
        <v>2617</v>
      </c>
    </row>
    <row r="3318" spans="1:6" x14ac:dyDescent="0.25">
      <c r="A3318">
        <v>7888</v>
      </c>
      <c r="B3318" s="15">
        <v>45367</v>
      </c>
      <c r="C3318" s="116" t="s">
        <v>167</v>
      </c>
      <c r="D3318" s="133"/>
      <c r="E3318" s="3"/>
      <c r="F3318">
        <v>2618</v>
      </c>
    </row>
    <row r="3319" spans="1:6" x14ac:dyDescent="0.25">
      <c r="A3319">
        <v>7888</v>
      </c>
      <c r="B3319" s="15">
        <v>45368</v>
      </c>
      <c r="C3319" s="133"/>
      <c r="D3319" s="133"/>
      <c r="E3319" s="3"/>
      <c r="F3319">
        <v>2619</v>
      </c>
    </row>
    <row r="3320" spans="1:6" x14ac:dyDescent="0.25">
      <c r="A3320">
        <v>7888</v>
      </c>
      <c r="B3320" s="15">
        <v>45369</v>
      </c>
      <c r="C3320" s="133"/>
      <c r="D3320" s="133"/>
      <c r="F3320">
        <v>2620</v>
      </c>
    </row>
    <row r="3321" spans="1:6" x14ac:dyDescent="0.25">
      <c r="A3321">
        <v>7888</v>
      </c>
      <c r="B3321" s="15">
        <v>45370</v>
      </c>
      <c r="C3321" s="106">
        <v>0.36458333333333331</v>
      </c>
      <c r="D3321" s="105">
        <v>0.80208333333333337</v>
      </c>
      <c r="E3321" s="3"/>
      <c r="F3321">
        <v>2621</v>
      </c>
    </row>
    <row r="3322" spans="1:6" x14ac:dyDescent="0.25">
      <c r="A3322">
        <v>7888</v>
      </c>
      <c r="B3322" s="15">
        <v>45371</v>
      </c>
      <c r="C3322" s="105">
        <v>0.35416666666666669</v>
      </c>
      <c r="D3322" s="106">
        <v>0.66666666666666663</v>
      </c>
      <c r="E3322" s="3"/>
      <c r="F3322">
        <v>2622</v>
      </c>
    </row>
    <row r="3323" spans="1:6" x14ac:dyDescent="0.25">
      <c r="A3323">
        <v>7888</v>
      </c>
      <c r="B3323" s="15">
        <v>45372</v>
      </c>
      <c r="C3323" s="106">
        <v>0.36458333333333331</v>
      </c>
      <c r="D3323" s="105">
        <v>0.80208333333333337</v>
      </c>
      <c r="E3323" s="3"/>
      <c r="F3323">
        <v>2623</v>
      </c>
    </row>
    <row r="3324" spans="1:6" x14ac:dyDescent="0.25">
      <c r="A3324">
        <v>7888</v>
      </c>
      <c r="B3324" s="15">
        <v>45373</v>
      </c>
      <c r="C3324" s="105">
        <v>0.35416666666666669</v>
      </c>
      <c r="D3324" s="106">
        <v>0.66666666666666663</v>
      </c>
      <c r="E3324" s="3"/>
      <c r="F3324">
        <v>2624</v>
      </c>
    </row>
    <row r="3325" spans="1:6" x14ac:dyDescent="0.25">
      <c r="A3325">
        <v>7888</v>
      </c>
      <c r="B3325" s="15">
        <v>45374</v>
      </c>
      <c r="C3325" s="133"/>
      <c r="D3325" s="133"/>
      <c r="E3325" s="3"/>
      <c r="F3325">
        <v>2625</v>
      </c>
    </row>
    <row r="3326" spans="1:6" x14ac:dyDescent="0.25">
      <c r="A3326">
        <v>7888</v>
      </c>
      <c r="B3326" s="15">
        <v>45375</v>
      </c>
      <c r="C3326" s="133"/>
      <c r="D3326" s="133"/>
      <c r="E3326" s="3"/>
      <c r="F3326">
        <v>2626</v>
      </c>
    </row>
    <row r="3327" spans="1:6" x14ac:dyDescent="0.25">
      <c r="A3327">
        <v>7888</v>
      </c>
      <c r="B3327" s="15">
        <v>45376</v>
      </c>
      <c r="C3327" s="133"/>
      <c r="D3327" s="133"/>
      <c r="E3327" s="3"/>
      <c r="F3327">
        <v>2627</v>
      </c>
    </row>
    <row r="3328" spans="1:6" x14ac:dyDescent="0.25">
      <c r="A3328">
        <v>7888</v>
      </c>
      <c r="B3328" s="15">
        <v>45377</v>
      </c>
      <c r="C3328" s="105">
        <v>0.35416666666666669</v>
      </c>
      <c r="D3328" s="106">
        <v>0.66666666666666663</v>
      </c>
      <c r="F3328">
        <v>2628</v>
      </c>
    </row>
    <row r="3329" spans="1:6" x14ac:dyDescent="0.25">
      <c r="A3329">
        <v>7888</v>
      </c>
      <c r="B3329" s="15">
        <v>45378</v>
      </c>
      <c r="C3329" s="106">
        <v>0.36458333333333331</v>
      </c>
      <c r="D3329" s="105">
        <v>0.80208333333333337</v>
      </c>
      <c r="E3329" s="3"/>
      <c r="F3329">
        <v>2629</v>
      </c>
    </row>
    <row r="3330" spans="1:6" x14ac:dyDescent="0.25">
      <c r="A3330">
        <v>7888</v>
      </c>
      <c r="B3330" s="15">
        <v>45379</v>
      </c>
      <c r="C3330" s="105">
        <v>0.35416666666666669</v>
      </c>
      <c r="D3330" s="106">
        <v>0.66666666666666663</v>
      </c>
      <c r="F3330">
        <v>2630</v>
      </c>
    </row>
    <row r="3331" spans="1:6" x14ac:dyDescent="0.25">
      <c r="A3331">
        <v>7888</v>
      </c>
      <c r="B3331" s="15">
        <v>45380</v>
      </c>
      <c r="C3331" s="106">
        <v>0.36458333333333331</v>
      </c>
      <c r="D3331" s="105">
        <v>0.80208333333333337</v>
      </c>
      <c r="E3331" s="3"/>
      <c r="F3331">
        <v>2631</v>
      </c>
    </row>
    <row r="3332" spans="1:6" x14ac:dyDescent="0.25">
      <c r="A3332">
        <v>7888</v>
      </c>
      <c r="B3332" s="15">
        <v>45381</v>
      </c>
      <c r="C3332" s="116" t="s">
        <v>167</v>
      </c>
      <c r="D3332" s="133"/>
      <c r="E3332" s="3"/>
      <c r="F3332">
        <v>2632</v>
      </c>
    </row>
    <row r="3333" spans="1:6" x14ac:dyDescent="0.25">
      <c r="A3333">
        <v>7888</v>
      </c>
      <c r="B3333" s="15">
        <v>45382</v>
      </c>
      <c r="C3333" s="133"/>
      <c r="D3333" s="133"/>
      <c r="E3333" s="3"/>
      <c r="F3333">
        <v>2633</v>
      </c>
    </row>
    <row r="3334" spans="1:6" x14ac:dyDescent="0.25">
      <c r="A3334">
        <v>7888</v>
      </c>
      <c r="B3334" s="15">
        <v>45383</v>
      </c>
      <c r="C3334" s="133"/>
      <c r="D3334" s="133"/>
      <c r="E3334" s="3"/>
      <c r="F3334">
        <v>2634</v>
      </c>
    </row>
    <row r="3335" spans="1:6" x14ac:dyDescent="0.25">
      <c r="A3335">
        <v>7888</v>
      </c>
      <c r="B3335" s="15">
        <v>45384</v>
      </c>
      <c r="C3335" s="105">
        <v>0.36458333333333331</v>
      </c>
      <c r="D3335" s="105">
        <v>0.80208333333333337</v>
      </c>
      <c r="E3335" s="3"/>
      <c r="F3335">
        <v>2635</v>
      </c>
    </row>
    <row r="3336" spans="1:6" x14ac:dyDescent="0.25">
      <c r="A3336">
        <v>7888</v>
      </c>
      <c r="B3336" s="15">
        <v>45385</v>
      </c>
      <c r="C3336" s="105">
        <v>0.35416666666666669</v>
      </c>
      <c r="D3336" s="106">
        <v>0.66666666666666663</v>
      </c>
      <c r="E3336" s="3"/>
      <c r="F3336">
        <v>2636</v>
      </c>
    </row>
    <row r="3337" spans="1:6" x14ac:dyDescent="0.25">
      <c r="A3337">
        <v>7888</v>
      </c>
      <c r="B3337" s="15">
        <v>45386</v>
      </c>
      <c r="C3337" s="105">
        <v>0.36458333333333331</v>
      </c>
      <c r="D3337" s="105">
        <v>0.80208333333333337</v>
      </c>
      <c r="E3337" s="3"/>
      <c r="F3337">
        <v>2637</v>
      </c>
    </row>
    <row r="3338" spans="1:6" x14ac:dyDescent="0.25">
      <c r="A3338">
        <v>7888</v>
      </c>
      <c r="B3338" s="15">
        <v>45387</v>
      </c>
      <c r="C3338" s="105">
        <v>0.35416666666666669</v>
      </c>
      <c r="D3338" s="106">
        <v>0.66666666666666663</v>
      </c>
      <c r="E3338" s="3"/>
      <c r="F3338">
        <v>2638</v>
      </c>
    </row>
    <row r="3339" spans="1:6" x14ac:dyDescent="0.25">
      <c r="A3339">
        <v>7888</v>
      </c>
      <c r="B3339" s="15">
        <v>45388</v>
      </c>
      <c r="C3339" s="133" t="s">
        <v>313</v>
      </c>
      <c r="D3339" s="133"/>
      <c r="E3339" s="3"/>
      <c r="F3339">
        <v>2639</v>
      </c>
    </row>
    <row r="3340" spans="1:6" x14ac:dyDescent="0.25">
      <c r="A3340">
        <v>7888</v>
      </c>
      <c r="B3340" s="15">
        <v>45389</v>
      </c>
      <c r="C3340" s="133"/>
      <c r="D3340" s="133"/>
      <c r="E3340" s="3"/>
      <c r="F3340">
        <v>2640</v>
      </c>
    </row>
    <row r="3341" spans="1:6" x14ac:dyDescent="0.25">
      <c r="A3341">
        <v>7888</v>
      </c>
      <c r="B3341" s="15">
        <v>45390</v>
      </c>
      <c r="C3341" s="133"/>
      <c r="D3341" s="133"/>
      <c r="F3341">
        <v>2641</v>
      </c>
    </row>
    <row r="3342" spans="1:6" x14ac:dyDescent="0.25">
      <c r="A3342">
        <v>7888</v>
      </c>
      <c r="B3342" s="15">
        <v>45391</v>
      </c>
      <c r="C3342" s="104" t="s">
        <v>2</v>
      </c>
      <c r="D3342" s="104" t="s">
        <v>2</v>
      </c>
      <c r="E3342" s="3"/>
      <c r="F3342">
        <v>2642</v>
      </c>
    </row>
    <row r="3343" spans="1:6" x14ac:dyDescent="0.25">
      <c r="A3343">
        <v>7888</v>
      </c>
      <c r="B3343" s="15">
        <v>45392</v>
      </c>
      <c r="C3343" s="104" t="s">
        <v>2</v>
      </c>
      <c r="D3343" s="104" t="s">
        <v>2</v>
      </c>
      <c r="E3343" s="3"/>
      <c r="F3343">
        <v>2643</v>
      </c>
    </row>
    <row r="3344" spans="1:6" x14ac:dyDescent="0.25">
      <c r="A3344">
        <v>7888</v>
      </c>
      <c r="B3344" s="15">
        <v>45393</v>
      </c>
      <c r="C3344" s="104" t="s">
        <v>2</v>
      </c>
      <c r="D3344" s="104" t="s">
        <v>2</v>
      </c>
      <c r="F3344">
        <v>2644</v>
      </c>
    </row>
    <row r="3345" spans="1:6" x14ac:dyDescent="0.25">
      <c r="A3345">
        <v>7888</v>
      </c>
      <c r="B3345" s="15">
        <v>45394</v>
      </c>
      <c r="C3345" s="104" t="s">
        <v>2</v>
      </c>
      <c r="D3345" s="104" t="s">
        <v>2</v>
      </c>
      <c r="E3345" s="3"/>
      <c r="F3345">
        <v>2645</v>
      </c>
    </row>
    <row r="3346" spans="1:6" x14ac:dyDescent="0.25">
      <c r="A3346">
        <v>7888</v>
      </c>
      <c r="B3346" s="15">
        <v>45395</v>
      </c>
      <c r="C3346" s="104" t="s">
        <v>2</v>
      </c>
      <c r="D3346" s="133"/>
      <c r="F3346">
        <v>2646</v>
      </c>
    </row>
    <row r="3347" spans="1:6" x14ac:dyDescent="0.25">
      <c r="A3347">
        <v>7888</v>
      </c>
      <c r="B3347" s="15">
        <v>45396</v>
      </c>
      <c r="C3347" s="133"/>
      <c r="D3347" s="133"/>
      <c r="E3347" s="3"/>
      <c r="F3347">
        <v>2647</v>
      </c>
    </row>
    <row r="3348" spans="1:6" x14ac:dyDescent="0.25">
      <c r="A3348">
        <v>7888</v>
      </c>
      <c r="B3348" s="15">
        <v>45397</v>
      </c>
      <c r="C3348" s="133"/>
      <c r="D3348" s="133"/>
      <c r="E3348" s="3"/>
      <c r="F3348">
        <v>2648</v>
      </c>
    </row>
    <row r="3349" spans="1:6" x14ac:dyDescent="0.25">
      <c r="A3349">
        <v>7888</v>
      </c>
      <c r="B3349" s="15">
        <v>45398</v>
      </c>
      <c r="C3349" s="104" t="s">
        <v>2</v>
      </c>
      <c r="D3349" s="104" t="s">
        <v>2</v>
      </c>
      <c r="E3349" s="3"/>
      <c r="F3349">
        <v>2649</v>
      </c>
    </row>
    <row r="3350" spans="1:6" x14ac:dyDescent="0.25">
      <c r="A3350">
        <v>7888</v>
      </c>
      <c r="B3350" s="15">
        <v>45399</v>
      </c>
      <c r="C3350" s="104" t="s">
        <v>2</v>
      </c>
      <c r="D3350" s="104" t="s">
        <v>2</v>
      </c>
      <c r="E3350" s="3"/>
      <c r="F3350">
        <v>2650</v>
      </c>
    </row>
    <row r="3351" spans="1:6" x14ac:dyDescent="0.25">
      <c r="A3351">
        <v>7888</v>
      </c>
      <c r="B3351" s="15">
        <v>45400</v>
      </c>
      <c r="C3351" s="104" t="s">
        <v>2</v>
      </c>
      <c r="D3351" s="104" t="s">
        <v>2</v>
      </c>
      <c r="F3351">
        <v>2651</v>
      </c>
    </row>
    <row r="3352" spans="1:6" x14ac:dyDescent="0.25">
      <c r="A3352">
        <v>7888</v>
      </c>
      <c r="B3352" s="15">
        <v>45401</v>
      </c>
      <c r="C3352" s="104" t="s">
        <v>2</v>
      </c>
      <c r="D3352" s="104" t="s">
        <v>2</v>
      </c>
      <c r="E3352" s="3"/>
      <c r="F3352">
        <v>2652</v>
      </c>
    </row>
    <row r="3353" spans="1:6" x14ac:dyDescent="0.25">
      <c r="A3353">
        <v>7888</v>
      </c>
      <c r="B3353" s="15">
        <v>45402</v>
      </c>
      <c r="C3353" s="133"/>
      <c r="D3353" s="133"/>
      <c r="E3353" s="3"/>
      <c r="F3353">
        <v>2653</v>
      </c>
    </row>
    <row r="3354" spans="1:6" x14ac:dyDescent="0.25">
      <c r="A3354">
        <v>7888</v>
      </c>
      <c r="B3354" s="15">
        <v>45403</v>
      </c>
      <c r="C3354" s="133"/>
      <c r="D3354" s="133"/>
      <c r="E3354" s="3"/>
      <c r="F3354">
        <v>2654</v>
      </c>
    </row>
    <row r="3355" spans="1:6" x14ac:dyDescent="0.25">
      <c r="A3355">
        <v>7888</v>
      </c>
      <c r="B3355" s="15">
        <v>45404</v>
      </c>
      <c r="C3355" s="133"/>
      <c r="D3355" s="133"/>
      <c r="E3355" s="3"/>
      <c r="F3355">
        <v>2655</v>
      </c>
    </row>
    <row r="3356" spans="1:6" x14ac:dyDescent="0.25">
      <c r="A3356">
        <v>7888</v>
      </c>
      <c r="B3356" s="15">
        <v>45405</v>
      </c>
      <c r="C3356" s="105">
        <v>0.35416666666666669</v>
      </c>
      <c r="D3356" s="106">
        <v>0.66666666666666663</v>
      </c>
      <c r="E3356" s="3"/>
      <c r="F3356">
        <v>2656</v>
      </c>
    </row>
    <row r="3357" spans="1:6" x14ac:dyDescent="0.25">
      <c r="A3357">
        <v>7888</v>
      </c>
      <c r="B3357" s="15">
        <v>45406</v>
      </c>
      <c r="C3357" s="106">
        <v>0.36458333333333331</v>
      </c>
      <c r="D3357" s="105">
        <v>0.80208333333333337</v>
      </c>
      <c r="E3357" s="3"/>
      <c r="F3357">
        <v>2657</v>
      </c>
    </row>
    <row r="3358" spans="1:6" x14ac:dyDescent="0.25">
      <c r="A3358">
        <v>7888</v>
      </c>
      <c r="B3358" s="15">
        <v>45407</v>
      </c>
      <c r="C3358" s="105">
        <v>0.35416666666666669</v>
      </c>
      <c r="D3358" s="106">
        <v>0.66666666666666663</v>
      </c>
      <c r="E3358" s="3"/>
      <c r="F3358">
        <v>2658</v>
      </c>
    </row>
    <row r="3359" spans="1:6" x14ac:dyDescent="0.25">
      <c r="A3359">
        <v>7888</v>
      </c>
      <c r="B3359" s="15">
        <v>45408</v>
      </c>
      <c r="C3359" s="106">
        <v>0.36458333333333331</v>
      </c>
      <c r="D3359" s="105">
        <v>0.80208333333333337</v>
      </c>
      <c r="F3359">
        <v>2659</v>
      </c>
    </row>
    <row r="3360" spans="1:6" x14ac:dyDescent="0.25">
      <c r="A3360">
        <v>7888</v>
      </c>
      <c r="B3360" s="15">
        <v>45409</v>
      </c>
      <c r="C3360" s="116" t="s">
        <v>167</v>
      </c>
      <c r="D3360" s="133"/>
      <c r="E3360" s="3"/>
      <c r="F3360">
        <v>2660</v>
      </c>
    </row>
    <row r="3361" spans="1:6" x14ac:dyDescent="0.25">
      <c r="A3361">
        <v>7888</v>
      </c>
      <c r="B3361" s="15">
        <v>45410</v>
      </c>
      <c r="C3361" s="133"/>
      <c r="D3361" s="133"/>
      <c r="F3361">
        <v>2661</v>
      </c>
    </row>
    <row r="3362" spans="1:6" x14ac:dyDescent="0.25">
      <c r="A3362">
        <v>7888</v>
      </c>
      <c r="B3362" s="15">
        <v>45411</v>
      </c>
      <c r="C3362" s="133"/>
      <c r="D3362" s="133"/>
      <c r="E3362" s="3"/>
      <c r="F3362">
        <v>2662</v>
      </c>
    </row>
    <row r="3363" spans="1:6" x14ac:dyDescent="0.25">
      <c r="A3363">
        <v>7888</v>
      </c>
      <c r="B3363" s="15">
        <v>45412</v>
      </c>
      <c r="C3363" s="104" t="s">
        <v>2</v>
      </c>
      <c r="D3363" s="104" t="s">
        <v>2</v>
      </c>
      <c r="E3363" s="3"/>
      <c r="F3363">
        <v>2663</v>
      </c>
    </row>
    <row r="3364" spans="1:6" x14ac:dyDescent="0.25">
      <c r="A3364">
        <v>7888</v>
      </c>
      <c r="B3364" s="15">
        <v>45413</v>
      </c>
      <c r="C3364" s="119"/>
      <c r="D3364" s="119"/>
      <c r="E3364" s="3"/>
      <c r="F3364">
        <v>2664</v>
      </c>
    </row>
    <row r="3365" spans="1:6" x14ac:dyDescent="0.25">
      <c r="A3365">
        <v>7888</v>
      </c>
      <c r="B3365" s="15">
        <v>45414</v>
      </c>
      <c r="C3365" s="106">
        <v>0.36458333333333331</v>
      </c>
      <c r="D3365" s="105">
        <v>0.80208333333333337</v>
      </c>
      <c r="E3365" s="3"/>
      <c r="F3365">
        <v>2665</v>
      </c>
    </row>
    <row r="3366" spans="1:6" x14ac:dyDescent="0.25">
      <c r="A3366">
        <v>7888</v>
      </c>
      <c r="B3366" s="15">
        <v>45415</v>
      </c>
      <c r="C3366" s="105">
        <v>0.35416666666666669</v>
      </c>
      <c r="D3366" s="106">
        <v>0.66666666666666663</v>
      </c>
      <c r="E3366" s="3"/>
      <c r="F3366">
        <v>2666</v>
      </c>
    </row>
    <row r="3367" spans="1:6" x14ac:dyDescent="0.25">
      <c r="A3367">
        <v>7888</v>
      </c>
      <c r="B3367" s="15">
        <v>45416</v>
      </c>
      <c r="C3367" s="133"/>
      <c r="D3367" s="133"/>
      <c r="E3367" s="3"/>
      <c r="F3367">
        <v>2667</v>
      </c>
    </row>
    <row r="3368" spans="1:6" x14ac:dyDescent="0.25">
      <c r="A3368">
        <v>7888</v>
      </c>
      <c r="B3368" s="15">
        <v>45417</v>
      </c>
      <c r="C3368" s="133"/>
      <c r="D3368" s="133"/>
      <c r="E3368" s="3"/>
      <c r="F3368">
        <v>2668</v>
      </c>
    </row>
    <row r="3369" spans="1:6" x14ac:dyDescent="0.25">
      <c r="A3369">
        <v>7888</v>
      </c>
      <c r="B3369" s="15">
        <v>45418</v>
      </c>
      <c r="C3369" s="133"/>
      <c r="D3369" s="133"/>
      <c r="E3369" s="3"/>
      <c r="F3369">
        <v>2669</v>
      </c>
    </row>
    <row r="3370" spans="1:6" x14ac:dyDescent="0.25">
      <c r="A3370">
        <v>7888</v>
      </c>
      <c r="B3370" s="15">
        <v>45419</v>
      </c>
      <c r="C3370" s="106">
        <v>0.35416666666666669</v>
      </c>
      <c r="D3370" s="106">
        <v>0.66666666666666663</v>
      </c>
      <c r="E3370" s="3"/>
      <c r="F3370">
        <v>2670</v>
      </c>
    </row>
    <row r="3371" spans="1:6" x14ac:dyDescent="0.25">
      <c r="A3371">
        <v>7888</v>
      </c>
      <c r="B3371" s="15">
        <v>45420</v>
      </c>
      <c r="C3371" s="119"/>
      <c r="D3371" s="119"/>
      <c r="E3371" s="3"/>
      <c r="F3371">
        <v>2671</v>
      </c>
    </row>
    <row r="3372" spans="1:6" x14ac:dyDescent="0.25">
      <c r="A3372">
        <v>7888</v>
      </c>
      <c r="B3372" s="15">
        <v>45421</v>
      </c>
      <c r="C3372" s="105">
        <v>0.35416666666666669</v>
      </c>
      <c r="D3372" s="106">
        <v>0.66666666666666663</v>
      </c>
      <c r="F3372">
        <v>2672</v>
      </c>
    </row>
    <row r="3373" spans="1:6" x14ac:dyDescent="0.25">
      <c r="A3373">
        <v>7888</v>
      </c>
      <c r="B3373" s="15">
        <v>45422</v>
      </c>
      <c r="C3373" s="106">
        <v>0.36458333333333331</v>
      </c>
      <c r="D3373" s="105">
        <v>0.80208333333333337</v>
      </c>
      <c r="E3373" s="3"/>
      <c r="F3373">
        <v>2673</v>
      </c>
    </row>
    <row r="3374" spans="1:6" x14ac:dyDescent="0.25">
      <c r="A3374">
        <v>7888</v>
      </c>
      <c r="B3374" s="15">
        <v>45423</v>
      </c>
      <c r="C3374" s="116" t="s">
        <v>167</v>
      </c>
      <c r="D3374" s="133"/>
      <c r="E3374" s="3"/>
      <c r="F3374">
        <v>2674</v>
      </c>
    </row>
    <row r="3375" spans="1:6" x14ac:dyDescent="0.25">
      <c r="A3375">
        <v>7888</v>
      </c>
      <c r="B3375" s="15">
        <v>45424</v>
      </c>
      <c r="C3375" s="133"/>
      <c r="D3375" s="133"/>
      <c r="F3375">
        <v>2675</v>
      </c>
    </row>
    <row r="3376" spans="1:6" x14ac:dyDescent="0.25">
      <c r="A3376">
        <v>7888</v>
      </c>
      <c r="B3376" s="15">
        <v>45425</v>
      </c>
      <c r="C3376" s="133"/>
      <c r="D3376" s="133"/>
      <c r="E3376" s="3"/>
      <c r="F3376">
        <v>2676</v>
      </c>
    </row>
    <row r="3377" spans="1:6" x14ac:dyDescent="0.25">
      <c r="A3377">
        <v>7888</v>
      </c>
      <c r="B3377" s="15">
        <v>45426</v>
      </c>
      <c r="C3377" s="106">
        <v>0.36458333333333331</v>
      </c>
      <c r="D3377" s="105">
        <v>0.80208333333333337</v>
      </c>
      <c r="F3377">
        <v>2677</v>
      </c>
    </row>
    <row r="3378" spans="1:6" x14ac:dyDescent="0.25">
      <c r="A3378">
        <v>7888</v>
      </c>
      <c r="B3378" s="15">
        <v>45427</v>
      </c>
      <c r="C3378" s="106">
        <v>0.35416666666666669</v>
      </c>
      <c r="D3378" s="106">
        <v>0.66666666666666663</v>
      </c>
      <c r="E3378" s="3"/>
      <c r="F3378">
        <v>2678</v>
      </c>
    </row>
    <row r="3379" spans="1:6" x14ac:dyDescent="0.25">
      <c r="A3379">
        <v>7888</v>
      </c>
      <c r="B3379" s="15">
        <v>45428</v>
      </c>
      <c r="C3379" s="106">
        <v>0.36458333333333331</v>
      </c>
      <c r="D3379" s="105">
        <v>0.80208333333333337</v>
      </c>
      <c r="E3379" s="3"/>
      <c r="F3379">
        <v>2679</v>
      </c>
    </row>
    <row r="3380" spans="1:6" x14ac:dyDescent="0.25">
      <c r="A3380">
        <v>7888</v>
      </c>
      <c r="B3380" s="15">
        <v>45429</v>
      </c>
      <c r="C3380" s="105">
        <v>0.35416666666666669</v>
      </c>
      <c r="D3380" s="106">
        <v>0.66666666666666663</v>
      </c>
      <c r="E3380" s="3"/>
      <c r="F3380">
        <v>2680</v>
      </c>
    </row>
    <row r="3381" spans="1:6" x14ac:dyDescent="0.25">
      <c r="A3381">
        <v>7888</v>
      </c>
      <c r="B3381" s="15">
        <v>45430</v>
      </c>
      <c r="C3381" s="133"/>
      <c r="D3381" s="133"/>
      <c r="E3381" s="3"/>
      <c r="F3381">
        <v>2681</v>
      </c>
    </row>
    <row r="3382" spans="1:6" x14ac:dyDescent="0.25">
      <c r="A3382">
        <v>7888</v>
      </c>
      <c r="B3382" s="15">
        <v>45431</v>
      </c>
      <c r="C3382" s="133"/>
      <c r="D3382" s="133"/>
      <c r="F3382">
        <v>2682</v>
      </c>
    </row>
    <row r="3383" spans="1:6" x14ac:dyDescent="0.25">
      <c r="A3383">
        <v>7888</v>
      </c>
      <c r="B3383" s="15">
        <v>45432</v>
      </c>
      <c r="C3383" s="133"/>
      <c r="D3383" s="133"/>
      <c r="E3383" s="3"/>
      <c r="F3383">
        <v>2683</v>
      </c>
    </row>
    <row r="3384" spans="1:6" x14ac:dyDescent="0.25">
      <c r="A3384">
        <v>7888</v>
      </c>
      <c r="B3384" s="15">
        <v>45433</v>
      </c>
      <c r="C3384" s="105">
        <v>0.35416666666666669</v>
      </c>
      <c r="D3384" s="106">
        <v>0.66666666666666663</v>
      </c>
      <c r="E3384" s="3"/>
      <c r="F3384">
        <v>2684</v>
      </c>
    </row>
    <row r="3385" spans="1:6" x14ac:dyDescent="0.25">
      <c r="A3385">
        <v>7888</v>
      </c>
      <c r="B3385" s="15">
        <v>45434</v>
      </c>
      <c r="C3385" s="106">
        <v>0.36458333333333331</v>
      </c>
      <c r="D3385" s="105">
        <v>0.80208333333333337</v>
      </c>
      <c r="E3385" s="3"/>
      <c r="F3385">
        <v>2685</v>
      </c>
    </row>
    <row r="3386" spans="1:6" x14ac:dyDescent="0.25">
      <c r="A3386">
        <v>7888</v>
      </c>
      <c r="B3386" s="15">
        <v>45435</v>
      </c>
      <c r="C3386" s="106">
        <v>0.35416666666666669</v>
      </c>
      <c r="D3386" s="106">
        <v>0.66666666666666663</v>
      </c>
      <c r="E3386" s="3"/>
      <c r="F3386">
        <v>2686</v>
      </c>
    </row>
    <row r="3387" spans="1:6" x14ac:dyDescent="0.25">
      <c r="A3387">
        <v>7888</v>
      </c>
      <c r="B3387" s="15">
        <v>45436</v>
      </c>
      <c r="C3387" s="106">
        <v>0.36458333333333331</v>
      </c>
      <c r="D3387" s="105">
        <v>0.80208333333333337</v>
      </c>
      <c r="E3387" s="3"/>
      <c r="F3387">
        <v>2687</v>
      </c>
    </row>
    <row r="3388" spans="1:6" x14ac:dyDescent="0.25">
      <c r="A3388">
        <v>7888</v>
      </c>
      <c r="B3388" s="15">
        <v>45437</v>
      </c>
      <c r="C3388" s="116" t="s">
        <v>167</v>
      </c>
      <c r="D3388" s="133"/>
      <c r="E3388" s="3"/>
      <c r="F3388">
        <v>2688</v>
      </c>
    </row>
    <row r="3389" spans="1:6" x14ac:dyDescent="0.25">
      <c r="A3389">
        <v>7888</v>
      </c>
      <c r="B3389" s="15">
        <v>45438</v>
      </c>
      <c r="C3389" s="133"/>
      <c r="D3389" s="133"/>
      <c r="E3389" s="3"/>
      <c r="F3389">
        <v>2689</v>
      </c>
    </row>
    <row r="3390" spans="1:6" x14ac:dyDescent="0.25">
      <c r="A3390">
        <v>7888</v>
      </c>
      <c r="B3390" s="15">
        <v>45439</v>
      </c>
      <c r="C3390" s="133"/>
      <c r="D3390" s="133"/>
      <c r="F3390">
        <v>2690</v>
      </c>
    </row>
    <row r="3391" spans="1:6" x14ac:dyDescent="0.25">
      <c r="A3391">
        <v>7888</v>
      </c>
      <c r="B3391" s="15">
        <v>45440</v>
      </c>
      <c r="C3391" s="106">
        <v>0.36458333333333331</v>
      </c>
      <c r="D3391" s="105">
        <v>0.80208333333333337</v>
      </c>
      <c r="E3391" s="3"/>
      <c r="F3391">
        <v>2691</v>
      </c>
    </row>
    <row r="3392" spans="1:6" x14ac:dyDescent="0.25">
      <c r="A3392">
        <v>7888</v>
      </c>
      <c r="B3392" s="15">
        <v>45441</v>
      </c>
      <c r="C3392" s="106">
        <v>0.35416666666666669</v>
      </c>
      <c r="D3392" s="106">
        <v>0.66666666666666663</v>
      </c>
      <c r="F3392">
        <v>2692</v>
      </c>
    </row>
    <row r="3393" spans="1:6" x14ac:dyDescent="0.25">
      <c r="A3393">
        <v>7888</v>
      </c>
      <c r="B3393" s="15">
        <v>45442</v>
      </c>
      <c r="C3393" s="106">
        <v>0.36458333333333331</v>
      </c>
      <c r="D3393" s="105">
        <v>0.80208333333333337</v>
      </c>
      <c r="E3393" s="3"/>
      <c r="F3393">
        <v>2693</v>
      </c>
    </row>
    <row r="3394" spans="1:6" x14ac:dyDescent="0.25">
      <c r="A3394">
        <v>7888</v>
      </c>
      <c r="B3394" s="15">
        <v>45443</v>
      </c>
      <c r="C3394" s="106">
        <v>0.35416666666666669</v>
      </c>
      <c r="D3394" s="106">
        <v>0.66666666666666663</v>
      </c>
      <c r="E3394" s="3"/>
      <c r="F3394">
        <v>2694</v>
      </c>
    </row>
    <row r="3395" spans="1:6" x14ac:dyDescent="0.25">
      <c r="A3395">
        <v>7888</v>
      </c>
      <c r="B3395" s="15">
        <v>45444</v>
      </c>
      <c r="C3395" s="133"/>
      <c r="D3395" s="133"/>
      <c r="E3395" s="3"/>
      <c r="F3395">
        <v>2695</v>
      </c>
    </row>
    <row r="3396" spans="1:6" x14ac:dyDescent="0.25">
      <c r="A3396">
        <v>7888</v>
      </c>
      <c r="B3396" s="15">
        <v>45445</v>
      </c>
      <c r="C3396" s="133"/>
      <c r="D3396" s="133"/>
      <c r="E3396" s="3"/>
      <c r="F3396">
        <v>2696</v>
      </c>
    </row>
    <row r="3397" spans="1:6" x14ac:dyDescent="0.25">
      <c r="A3397">
        <v>7888</v>
      </c>
      <c r="B3397" s="15">
        <v>45446</v>
      </c>
      <c r="C3397" s="133"/>
      <c r="D3397" s="133"/>
      <c r="E3397" s="3"/>
      <c r="F3397">
        <v>2697</v>
      </c>
    </row>
    <row r="3398" spans="1:6" x14ac:dyDescent="0.25">
      <c r="A3398">
        <v>7888</v>
      </c>
      <c r="B3398" s="15">
        <v>45447</v>
      </c>
      <c r="C3398" s="106">
        <v>0.35416666666666669</v>
      </c>
      <c r="D3398" s="106">
        <v>0.66666666666666663</v>
      </c>
      <c r="E3398" s="3"/>
      <c r="F3398">
        <v>2698</v>
      </c>
    </row>
    <row r="3399" spans="1:6" x14ac:dyDescent="0.25">
      <c r="A3399">
        <v>7888</v>
      </c>
      <c r="B3399" s="15">
        <v>45448</v>
      </c>
      <c r="C3399" s="106">
        <v>0.36458333333333331</v>
      </c>
      <c r="D3399" s="105">
        <v>0.80208333333333337</v>
      </c>
      <c r="E3399" s="3"/>
      <c r="F3399">
        <v>2699</v>
      </c>
    </row>
    <row r="3400" spans="1:6" x14ac:dyDescent="0.25">
      <c r="A3400">
        <v>7888</v>
      </c>
      <c r="B3400" s="15">
        <v>45449</v>
      </c>
      <c r="C3400" s="105">
        <v>0.35416666666666669</v>
      </c>
      <c r="D3400" s="106">
        <v>0.66666666666666663</v>
      </c>
      <c r="E3400" s="3"/>
      <c r="F3400">
        <v>2700</v>
      </c>
    </row>
    <row r="3401" spans="1:6" x14ac:dyDescent="0.25">
      <c r="A3401">
        <v>7888</v>
      </c>
      <c r="B3401" s="15">
        <v>45450</v>
      </c>
      <c r="C3401" s="106">
        <v>0.36458333333333331</v>
      </c>
      <c r="D3401" s="105">
        <v>0.80208333333333337</v>
      </c>
      <c r="E3401" s="3"/>
      <c r="F3401">
        <v>2701</v>
      </c>
    </row>
    <row r="3402" spans="1:6" x14ac:dyDescent="0.25">
      <c r="A3402">
        <v>7888</v>
      </c>
      <c r="B3402" s="15">
        <v>45451</v>
      </c>
      <c r="C3402" s="116" t="s">
        <v>167</v>
      </c>
      <c r="D3402" s="133"/>
      <c r="E3402" s="3"/>
      <c r="F3402">
        <v>2702</v>
      </c>
    </row>
    <row r="3403" spans="1:6" x14ac:dyDescent="0.25">
      <c r="A3403">
        <v>7888</v>
      </c>
      <c r="B3403" s="15">
        <v>45452</v>
      </c>
      <c r="C3403" s="133"/>
      <c r="D3403" s="133"/>
      <c r="F3403">
        <v>2703</v>
      </c>
    </row>
    <row r="3404" spans="1:6" x14ac:dyDescent="0.25">
      <c r="A3404">
        <v>7888</v>
      </c>
      <c r="B3404" s="15">
        <v>45453</v>
      </c>
      <c r="C3404" s="133"/>
      <c r="D3404" s="133"/>
      <c r="E3404" s="3"/>
      <c r="F3404">
        <v>2704</v>
      </c>
    </row>
    <row r="3405" spans="1:6" x14ac:dyDescent="0.25">
      <c r="A3405">
        <v>7888</v>
      </c>
      <c r="B3405" s="15">
        <v>45454</v>
      </c>
      <c r="C3405" s="106">
        <v>0.36458333333333331</v>
      </c>
      <c r="D3405" s="105">
        <v>0.80208333333333337</v>
      </c>
      <c r="E3405" s="3"/>
      <c r="F3405">
        <v>2705</v>
      </c>
    </row>
    <row r="3406" spans="1:6" x14ac:dyDescent="0.25">
      <c r="A3406">
        <v>7888</v>
      </c>
      <c r="B3406" s="15">
        <v>45455</v>
      </c>
      <c r="C3406" s="106">
        <v>0.35416666666666669</v>
      </c>
      <c r="D3406" s="106">
        <v>0.66666666666666663</v>
      </c>
      <c r="F3406">
        <v>2706</v>
      </c>
    </row>
    <row r="3407" spans="1:6" x14ac:dyDescent="0.25">
      <c r="A3407">
        <v>7888</v>
      </c>
      <c r="B3407" s="15">
        <v>45456</v>
      </c>
      <c r="C3407" s="106">
        <v>0.36458333333333331</v>
      </c>
      <c r="D3407" s="105">
        <v>0.80208333333333337</v>
      </c>
      <c r="E3407" s="3"/>
      <c r="F3407">
        <v>2707</v>
      </c>
    </row>
    <row r="3408" spans="1:6" x14ac:dyDescent="0.25">
      <c r="A3408">
        <v>7888</v>
      </c>
      <c r="B3408" s="15">
        <v>45457</v>
      </c>
      <c r="C3408" s="105">
        <v>0.35416666666666669</v>
      </c>
      <c r="D3408" s="106">
        <v>0.66666666666666663</v>
      </c>
      <c r="F3408">
        <v>2708</v>
      </c>
    </row>
    <row r="3409" spans="1:6" x14ac:dyDescent="0.25">
      <c r="A3409">
        <v>7888</v>
      </c>
      <c r="B3409" s="15">
        <v>45458</v>
      </c>
      <c r="C3409" s="133"/>
      <c r="D3409" s="133"/>
      <c r="E3409" s="3"/>
      <c r="F3409">
        <v>2709</v>
      </c>
    </row>
    <row r="3410" spans="1:6" x14ac:dyDescent="0.25">
      <c r="A3410">
        <v>7888</v>
      </c>
      <c r="B3410" s="15">
        <v>45459</v>
      </c>
      <c r="C3410" s="133"/>
      <c r="D3410" s="133"/>
      <c r="E3410" s="3"/>
      <c r="F3410">
        <v>2710</v>
      </c>
    </row>
    <row r="3411" spans="1:6" x14ac:dyDescent="0.25">
      <c r="A3411">
        <v>7888</v>
      </c>
      <c r="B3411" s="15">
        <v>45460</v>
      </c>
      <c r="C3411" s="133"/>
      <c r="D3411" s="133"/>
      <c r="E3411" s="3"/>
      <c r="F3411">
        <v>2711</v>
      </c>
    </row>
    <row r="3412" spans="1:6" x14ac:dyDescent="0.25">
      <c r="A3412">
        <v>7888</v>
      </c>
      <c r="B3412" s="15">
        <v>45461</v>
      </c>
      <c r="C3412" s="105">
        <v>0.35416666666666669</v>
      </c>
      <c r="D3412" s="106">
        <v>0.66666666666666663</v>
      </c>
      <c r="E3412" s="3"/>
      <c r="F3412">
        <v>2712</v>
      </c>
    </row>
    <row r="3413" spans="1:6" x14ac:dyDescent="0.25">
      <c r="A3413">
        <v>7888</v>
      </c>
      <c r="B3413" s="15">
        <v>45462</v>
      </c>
      <c r="C3413" s="106">
        <v>0.36458333333333331</v>
      </c>
      <c r="D3413" s="105">
        <v>0.80208333333333337</v>
      </c>
      <c r="F3413">
        <v>2713</v>
      </c>
    </row>
    <row r="3414" spans="1:6" x14ac:dyDescent="0.25">
      <c r="A3414">
        <v>7888</v>
      </c>
      <c r="B3414" s="15">
        <v>45463</v>
      </c>
      <c r="C3414" s="106">
        <v>0.35416666666666669</v>
      </c>
      <c r="D3414" s="106">
        <v>0.66666666666666663</v>
      </c>
      <c r="E3414" s="3"/>
      <c r="F3414">
        <v>2714</v>
      </c>
    </row>
    <row r="3415" spans="1:6" x14ac:dyDescent="0.25">
      <c r="A3415">
        <v>7888</v>
      </c>
      <c r="B3415" s="15">
        <v>45464</v>
      </c>
      <c r="C3415" s="106">
        <v>0.36458333333333331</v>
      </c>
      <c r="D3415" s="105">
        <v>0.80208333333333337</v>
      </c>
      <c r="E3415" s="3"/>
      <c r="F3415">
        <v>2715</v>
      </c>
    </row>
    <row r="3416" spans="1:6" x14ac:dyDescent="0.25">
      <c r="A3416">
        <v>7888</v>
      </c>
      <c r="B3416" s="15">
        <v>45465</v>
      </c>
      <c r="C3416" s="116" t="s">
        <v>167</v>
      </c>
      <c r="D3416" s="133"/>
      <c r="E3416" s="3"/>
      <c r="F3416">
        <v>2716</v>
      </c>
    </row>
    <row r="3417" spans="1:6" x14ac:dyDescent="0.25">
      <c r="A3417">
        <v>7888</v>
      </c>
      <c r="B3417" s="15">
        <v>45466</v>
      </c>
      <c r="C3417" s="133"/>
      <c r="D3417" s="133"/>
      <c r="E3417" s="3"/>
      <c r="F3417">
        <v>2717</v>
      </c>
    </row>
    <row r="3418" spans="1:6" x14ac:dyDescent="0.25">
      <c r="A3418">
        <v>7888</v>
      </c>
      <c r="B3418" s="15">
        <v>45467</v>
      </c>
      <c r="C3418" s="133"/>
      <c r="D3418" s="133"/>
      <c r="E3418" s="3"/>
      <c r="F3418">
        <v>2718</v>
      </c>
    </row>
    <row r="3419" spans="1:6" x14ac:dyDescent="0.25">
      <c r="A3419">
        <v>7888</v>
      </c>
      <c r="B3419" s="15">
        <v>45468</v>
      </c>
      <c r="C3419" s="106">
        <v>0.36458333333333331</v>
      </c>
      <c r="D3419" s="105">
        <v>0.80208333333333337</v>
      </c>
      <c r="E3419" s="3"/>
      <c r="F3419">
        <v>2719</v>
      </c>
    </row>
    <row r="3420" spans="1:6" x14ac:dyDescent="0.25">
      <c r="A3420">
        <v>7888</v>
      </c>
      <c r="B3420" s="15">
        <v>45469</v>
      </c>
      <c r="C3420" s="106">
        <v>0.35416666666666669</v>
      </c>
      <c r="D3420" s="106">
        <v>0.66666666666666663</v>
      </c>
      <c r="E3420" s="3"/>
      <c r="F3420">
        <v>2720</v>
      </c>
    </row>
    <row r="3421" spans="1:6" x14ac:dyDescent="0.25">
      <c r="A3421">
        <v>7888</v>
      </c>
      <c r="B3421" s="15">
        <v>45470</v>
      </c>
      <c r="C3421" s="106">
        <v>0.36458333333333331</v>
      </c>
      <c r="D3421" s="105">
        <v>0.80208333333333337</v>
      </c>
      <c r="F3421">
        <v>2721</v>
      </c>
    </row>
    <row r="3422" spans="1:6" x14ac:dyDescent="0.25">
      <c r="A3422">
        <v>7888</v>
      </c>
      <c r="B3422" s="15">
        <v>45471</v>
      </c>
      <c r="C3422" s="106">
        <v>0.35416666666666669</v>
      </c>
      <c r="D3422" s="106">
        <v>0.66666666666666663</v>
      </c>
      <c r="E3422" s="3"/>
      <c r="F3422">
        <v>2722</v>
      </c>
    </row>
    <row r="3423" spans="1:6" x14ac:dyDescent="0.25">
      <c r="A3423">
        <v>7888</v>
      </c>
      <c r="B3423" s="15">
        <v>45472</v>
      </c>
      <c r="C3423" s="133"/>
      <c r="D3423" s="133"/>
      <c r="F3423">
        <v>2723</v>
      </c>
    </row>
    <row r="3424" spans="1:6" x14ac:dyDescent="0.25">
      <c r="A3424">
        <v>7888</v>
      </c>
      <c r="B3424" s="15">
        <v>45473</v>
      </c>
      <c r="C3424" s="133"/>
      <c r="D3424" s="133"/>
      <c r="E3424" s="3"/>
      <c r="F3424">
        <v>2724</v>
      </c>
    </row>
    <row r="3425" spans="1:6" x14ac:dyDescent="0.25">
      <c r="A3425">
        <v>7888</v>
      </c>
      <c r="B3425" s="15">
        <v>45474</v>
      </c>
      <c r="C3425" s="133"/>
      <c r="D3425" s="133"/>
      <c r="E3425" s="3"/>
      <c r="F3425">
        <v>2725</v>
      </c>
    </row>
    <row r="3426" spans="1:6" x14ac:dyDescent="0.25">
      <c r="A3426">
        <v>7888</v>
      </c>
      <c r="B3426" s="15">
        <v>45475</v>
      </c>
      <c r="C3426" s="106">
        <v>0.35416666666666669</v>
      </c>
      <c r="D3426" s="106">
        <v>0.66666666666666663</v>
      </c>
      <c r="E3426" s="3"/>
      <c r="F3426">
        <v>2726</v>
      </c>
    </row>
    <row r="3427" spans="1:6" x14ac:dyDescent="0.25">
      <c r="A3427">
        <v>7888</v>
      </c>
      <c r="B3427" s="15">
        <v>45476</v>
      </c>
      <c r="C3427" s="106">
        <v>0.36458333333333331</v>
      </c>
      <c r="D3427" s="105">
        <v>0.80208333333333337</v>
      </c>
      <c r="E3427" s="3"/>
      <c r="F3427">
        <v>2727</v>
      </c>
    </row>
    <row r="3428" spans="1:6" x14ac:dyDescent="0.25">
      <c r="A3428">
        <v>7888</v>
      </c>
      <c r="B3428" s="15">
        <v>45477</v>
      </c>
      <c r="C3428" s="105">
        <v>0.35416666666666669</v>
      </c>
      <c r="D3428" s="106">
        <v>0.66666666666666663</v>
      </c>
      <c r="E3428" s="3"/>
      <c r="F3428">
        <v>2728</v>
      </c>
    </row>
    <row r="3429" spans="1:6" x14ac:dyDescent="0.25">
      <c r="A3429">
        <v>7888</v>
      </c>
      <c r="B3429" s="15">
        <v>45478</v>
      </c>
      <c r="C3429" s="106">
        <v>0.36458333333333331</v>
      </c>
      <c r="D3429" s="105">
        <v>0.80208333333333337</v>
      </c>
      <c r="E3429" s="3"/>
      <c r="F3429">
        <v>2729</v>
      </c>
    </row>
    <row r="3430" spans="1:6" x14ac:dyDescent="0.25">
      <c r="A3430">
        <v>7888</v>
      </c>
      <c r="B3430" s="15">
        <v>45479</v>
      </c>
      <c r="C3430" s="116" t="s">
        <v>167</v>
      </c>
      <c r="D3430" s="133"/>
      <c r="E3430" s="3"/>
      <c r="F3430">
        <v>2730</v>
      </c>
    </row>
    <row r="3431" spans="1:6" x14ac:dyDescent="0.25">
      <c r="A3431">
        <v>7888</v>
      </c>
      <c r="B3431" s="15">
        <v>45480</v>
      </c>
      <c r="C3431" s="133"/>
      <c r="D3431" s="133"/>
      <c r="E3431" s="3"/>
      <c r="F3431">
        <v>2731</v>
      </c>
    </row>
    <row r="3432" spans="1:6" x14ac:dyDescent="0.25">
      <c r="A3432">
        <v>7888</v>
      </c>
      <c r="B3432" s="15">
        <v>45481</v>
      </c>
      <c r="C3432" s="133"/>
      <c r="D3432" s="133"/>
      <c r="E3432" s="3"/>
      <c r="F3432">
        <v>2732</v>
      </c>
    </row>
    <row r="3433" spans="1:6" x14ac:dyDescent="0.25">
      <c r="A3433">
        <v>7888</v>
      </c>
      <c r="B3433" s="15">
        <v>45482</v>
      </c>
      <c r="C3433" s="106">
        <v>0.36458333333333331</v>
      </c>
      <c r="D3433" s="105">
        <v>0.80208333333333337</v>
      </c>
      <c r="E3433" s="3"/>
      <c r="F3433">
        <v>2733</v>
      </c>
    </row>
    <row r="3434" spans="1:6" x14ac:dyDescent="0.25">
      <c r="A3434">
        <v>7888</v>
      </c>
      <c r="B3434" s="15">
        <v>45483</v>
      </c>
      <c r="C3434" s="106">
        <v>0.35416666666666669</v>
      </c>
      <c r="D3434" s="106">
        <v>0.66666666666666663</v>
      </c>
      <c r="F3434">
        <v>2734</v>
      </c>
    </row>
    <row r="3435" spans="1:6" x14ac:dyDescent="0.25">
      <c r="A3435">
        <v>7888</v>
      </c>
      <c r="B3435" s="15">
        <v>45484</v>
      </c>
      <c r="C3435" s="106">
        <v>0.36458333333333331</v>
      </c>
      <c r="D3435" s="105">
        <v>0.80208333333333337</v>
      </c>
      <c r="E3435" s="3"/>
      <c r="F3435">
        <v>2735</v>
      </c>
    </row>
    <row r="3436" spans="1:6" x14ac:dyDescent="0.25">
      <c r="A3436">
        <v>7888</v>
      </c>
      <c r="B3436" s="15">
        <v>45485</v>
      </c>
      <c r="C3436" s="105">
        <v>0.35416666666666669</v>
      </c>
      <c r="D3436" s="106">
        <v>0.66666666666666663</v>
      </c>
      <c r="E3436" s="3"/>
      <c r="F3436">
        <v>2736</v>
      </c>
    </row>
    <row r="3437" spans="1:6" x14ac:dyDescent="0.25">
      <c r="A3437">
        <v>7888</v>
      </c>
      <c r="B3437" s="15">
        <v>45486</v>
      </c>
      <c r="C3437" s="133"/>
      <c r="D3437" s="133"/>
      <c r="F3437">
        <v>2737</v>
      </c>
    </row>
    <row r="3438" spans="1:6" x14ac:dyDescent="0.25">
      <c r="A3438">
        <v>7888</v>
      </c>
      <c r="B3438" s="15">
        <v>45487</v>
      </c>
      <c r="C3438" s="133"/>
      <c r="D3438" s="133"/>
      <c r="E3438" s="3"/>
      <c r="F3438">
        <v>2738</v>
      </c>
    </row>
    <row r="3439" spans="1:6" x14ac:dyDescent="0.25">
      <c r="A3439">
        <v>7888</v>
      </c>
      <c r="B3439" s="15">
        <v>45488</v>
      </c>
      <c r="C3439" s="133"/>
      <c r="D3439" s="133"/>
      <c r="F3439">
        <v>2739</v>
      </c>
    </row>
    <row r="3440" spans="1:6" x14ac:dyDescent="0.25">
      <c r="A3440">
        <v>7888</v>
      </c>
      <c r="B3440" s="15">
        <v>45489</v>
      </c>
      <c r="C3440" s="105">
        <v>0.35416666666666669</v>
      </c>
      <c r="D3440" s="106">
        <v>0.66666666666666663</v>
      </c>
      <c r="E3440" s="3"/>
      <c r="F3440">
        <v>2740</v>
      </c>
    </row>
    <row r="3441" spans="1:6" x14ac:dyDescent="0.25">
      <c r="A3441">
        <v>7888</v>
      </c>
      <c r="B3441" s="15">
        <v>45490</v>
      </c>
      <c r="C3441" s="106">
        <v>0.36458333333333331</v>
      </c>
      <c r="D3441" s="105">
        <v>0.80208333333333337</v>
      </c>
      <c r="E3441" s="3"/>
      <c r="F3441">
        <v>2741</v>
      </c>
    </row>
    <row r="3442" spans="1:6" x14ac:dyDescent="0.25">
      <c r="A3442">
        <v>7888</v>
      </c>
      <c r="B3442" s="15">
        <v>45491</v>
      </c>
      <c r="C3442" s="106">
        <v>0.35416666666666669</v>
      </c>
      <c r="D3442" s="106">
        <v>0.66666666666666663</v>
      </c>
      <c r="E3442" s="3"/>
      <c r="F3442">
        <v>2742</v>
      </c>
    </row>
    <row r="3443" spans="1:6" x14ac:dyDescent="0.25">
      <c r="A3443">
        <v>7888</v>
      </c>
      <c r="B3443" s="15">
        <v>45492</v>
      </c>
      <c r="C3443" s="106">
        <v>0.36458333333333331</v>
      </c>
      <c r="D3443" s="105">
        <v>0.80208333333333337</v>
      </c>
      <c r="E3443" s="3"/>
      <c r="F3443">
        <v>2743</v>
      </c>
    </row>
    <row r="3444" spans="1:6" x14ac:dyDescent="0.25">
      <c r="A3444">
        <v>7888</v>
      </c>
      <c r="B3444" s="15">
        <v>45493</v>
      </c>
      <c r="C3444" s="116" t="s">
        <v>167</v>
      </c>
      <c r="D3444" s="133"/>
      <c r="F3444">
        <v>2744</v>
      </c>
    </row>
    <row r="3445" spans="1:6" x14ac:dyDescent="0.25">
      <c r="A3445">
        <v>7888</v>
      </c>
      <c r="B3445" s="15">
        <v>45494</v>
      </c>
      <c r="C3445" s="133"/>
      <c r="D3445" s="133"/>
      <c r="E3445" s="3"/>
      <c r="F3445">
        <v>2745</v>
      </c>
    </row>
    <row r="3446" spans="1:6" x14ac:dyDescent="0.25">
      <c r="A3446">
        <v>7888</v>
      </c>
      <c r="B3446" s="15">
        <v>45495</v>
      </c>
      <c r="C3446" s="133"/>
      <c r="D3446" s="133"/>
      <c r="E3446" s="3"/>
      <c r="F3446">
        <v>2746</v>
      </c>
    </row>
    <row r="3447" spans="1:6" x14ac:dyDescent="0.25">
      <c r="A3447">
        <v>7888</v>
      </c>
      <c r="B3447" s="15">
        <v>45496</v>
      </c>
      <c r="C3447" s="106">
        <v>0.36458333333333331</v>
      </c>
      <c r="D3447" s="105">
        <v>0.80208333333333337</v>
      </c>
      <c r="E3447" s="3"/>
      <c r="F3447">
        <v>2747</v>
      </c>
    </row>
    <row r="3448" spans="1:6" x14ac:dyDescent="0.25">
      <c r="A3448">
        <v>7888</v>
      </c>
      <c r="B3448" s="15">
        <v>45497</v>
      </c>
      <c r="C3448" s="106">
        <v>0.35416666666666669</v>
      </c>
      <c r="D3448" s="106">
        <v>0.66666666666666663</v>
      </c>
      <c r="E3448" s="3"/>
      <c r="F3448">
        <v>2748</v>
      </c>
    </row>
    <row r="3449" spans="1:6" x14ac:dyDescent="0.25">
      <c r="A3449">
        <v>7888</v>
      </c>
      <c r="B3449" s="15">
        <v>45498</v>
      </c>
      <c r="C3449" s="106">
        <v>0.36458333333333331</v>
      </c>
      <c r="D3449" s="105">
        <v>0.80208333333333337</v>
      </c>
      <c r="E3449" s="3"/>
      <c r="F3449">
        <v>2749</v>
      </c>
    </row>
    <row r="3450" spans="1:6" x14ac:dyDescent="0.25">
      <c r="A3450">
        <v>7888</v>
      </c>
      <c r="B3450" s="15">
        <v>45499</v>
      </c>
      <c r="C3450" s="106">
        <v>0.35416666666666669</v>
      </c>
      <c r="D3450" s="106">
        <v>0.66666666666666663</v>
      </c>
      <c r="E3450" s="3"/>
      <c r="F3450">
        <v>2750</v>
      </c>
    </row>
    <row r="3451" spans="1:6" x14ac:dyDescent="0.25">
      <c r="A3451">
        <v>7888</v>
      </c>
      <c r="B3451" s="15">
        <v>45500</v>
      </c>
      <c r="C3451" s="133"/>
      <c r="D3451" s="133"/>
      <c r="E3451" s="3"/>
      <c r="F3451">
        <v>2751</v>
      </c>
    </row>
    <row r="3452" spans="1:6" x14ac:dyDescent="0.25">
      <c r="A3452">
        <v>7888</v>
      </c>
      <c r="B3452" s="15">
        <v>45501</v>
      </c>
      <c r="C3452" s="133"/>
      <c r="D3452" s="133"/>
      <c r="E3452" s="3"/>
      <c r="F3452">
        <v>2752</v>
      </c>
    </row>
    <row r="3453" spans="1:6" x14ac:dyDescent="0.25">
      <c r="A3453">
        <v>7888</v>
      </c>
      <c r="B3453" s="15">
        <v>45502</v>
      </c>
      <c r="C3453" s="133"/>
      <c r="D3453" s="133"/>
      <c r="E3453" s="3"/>
      <c r="F3453">
        <v>2753</v>
      </c>
    </row>
    <row r="3454" spans="1:6" x14ac:dyDescent="0.25">
      <c r="A3454">
        <v>7888</v>
      </c>
      <c r="B3454" s="15">
        <v>45503</v>
      </c>
      <c r="C3454" s="106">
        <v>0.35416666666666669</v>
      </c>
      <c r="D3454" s="106">
        <v>0.66666666666666663</v>
      </c>
      <c r="E3454" s="3"/>
      <c r="F3454">
        <v>2754</v>
      </c>
    </row>
    <row r="3455" spans="1:6" x14ac:dyDescent="0.25">
      <c r="A3455">
        <v>7888</v>
      </c>
      <c r="B3455" s="15">
        <v>45504</v>
      </c>
      <c r="C3455" s="106">
        <v>0.36458333333333331</v>
      </c>
      <c r="D3455" s="105">
        <v>0.80208333333333337</v>
      </c>
      <c r="E3455" s="3"/>
      <c r="F3455">
        <v>2755</v>
      </c>
    </row>
    <row r="3456" spans="1:6" x14ac:dyDescent="0.25">
      <c r="A3456">
        <v>7888</v>
      </c>
      <c r="B3456" s="15">
        <v>45505</v>
      </c>
      <c r="C3456" s="105">
        <v>0.35416666666666669</v>
      </c>
      <c r="D3456" s="106">
        <v>0.66666666666666663</v>
      </c>
      <c r="E3456" s="3"/>
      <c r="F3456">
        <v>2756</v>
      </c>
    </row>
    <row r="3457" spans="1:6" x14ac:dyDescent="0.25">
      <c r="A3457">
        <v>7888</v>
      </c>
      <c r="B3457" s="15">
        <v>45506</v>
      </c>
      <c r="C3457" s="106">
        <v>0.36458333333333331</v>
      </c>
      <c r="D3457" s="105">
        <v>0.80208333333333337</v>
      </c>
      <c r="E3457" s="3"/>
      <c r="F3457">
        <v>2757</v>
      </c>
    </row>
    <row r="3458" spans="1:6" x14ac:dyDescent="0.25">
      <c r="A3458">
        <v>7888</v>
      </c>
      <c r="B3458" s="15">
        <v>45507</v>
      </c>
      <c r="C3458" s="116" t="s">
        <v>167</v>
      </c>
      <c r="D3458" s="133"/>
      <c r="E3458" s="3"/>
      <c r="F3458">
        <v>2758</v>
      </c>
    </row>
    <row r="3459" spans="1:6" x14ac:dyDescent="0.25">
      <c r="A3459">
        <v>7888</v>
      </c>
      <c r="B3459" s="15">
        <v>45508</v>
      </c>
      <c r="C3459" s="133"/>
      <c r="D3459" s="133"/>
      <c r="E3459" s="3"/>
      <c r="F3459">
        <v>2759</v>
      </c>
    </row>
    <row r="3460" spans="1:6" x14ac:dyDescent="0.25">
      <c r="A3460">
        <v>7888</v>
      </c>
      <c r="B3460" s="15">
        <v>45509</v>
      </c>
      <c r="C3460" s="133"/>
      <c r="D3460" s="133"/>
      <c r="E3460" s="3"/>
      <c r="F3460">
        <v>2760</v>
      </c>
    </row>
    <row r="3461" spans="1:6" x14ac:dyDescent="0.25">
      <c r="A3461">
        <v>7888</v>
      </c>
      <c r="B3461" s="15">
        <v>45510</v>
      </c>
      <c r="C3461" s="106">
        <v>0.36458333333333331</v>
      </c>
      <c r="D3461" s="105">
        <v>0.80208333333333337</v>
      </c>
      <c r="E3461" s="3"/>
      <c r="F3461">
        <v>2761</v>
      </c>
    </row>
    <row r="3462" spans="1:6" x14ac:dyDescent="0.25">
      <c r="A3462">
        <v>7888</v>
      </c>
      <c r="B3462" s="15">
        <v>45511</v>
      </c>
      <c r="C3462" s="106">
        <v>0.35416666666666669</v>
      </c>
      <c r="D3462" s="106">
        <v>0.66666666666666663</v>
      </c>
      <c r="E3462" s="3"/>
      <c r="F3462">
        <v>2762</v>
      </c>
    </row>
    <row r="3463" spans="1:6" x14ac:dyDescent="0.25">
      <c r="A3463">
        <v>7888</v>
      </c>
      <c r="B3463" s="15">
        <v>45512</v>
      </c>
      <c r="C3463" s="106">
        <v>0.36458333333333331</v>
      </c>
      <c r="D3463" s="105">
        <v>0.80208333333333337</v>
      </c>
      <c r="E3463" s="3"/>
      <c r="F3463">
        <v>2763</v>
      </c>
    </row>
    <row r="3464" spans="1:6" x14ac:dyDescent="0.25">
      <c r="A3464">
        <v>7888</v>
      </c>
      <c r="B3464" s="15">
        <v>45513</v>
      </c>
      <c r="C3464" s="105">
        <v>0.35416666666666669</v>
      </c>
      <c r="D3464" s="106">
        <v>0.66666666666666663</v>
      </c>
      <c r="E3464" s="3"/>
      <c r="F3464">
        <v>2764</v>
      </c>
    </row>
    <row r="3465" spans="1:6" x14ac:dyDescent="0.25">
      <c r="A3465">
        <v>7888</v>
      </c>
      <c r="B3465" s="15">
        <v>45514</v>
      </c>
      <c r="C3465" s="133"/>
      <c r="D3465" s="133"/>
      <c r="E3465" s="3"/>
      <c r="F3465">
        <v>2765</v>
      </c>
    </row>
    <row r="3466" spans="1:6" x14ac:dyDescent="0.25">
      <c r="A3466">
        <v>7888</v>
      </c>
      <c r="B3466" s="15">
        <v>45515</v>
      </c>
      <c r="C3466" s="133"/>
      <c r="D3466" s="133"/>
      <c r="E3466" s="3"/>
      <c r="F3466">
        <v>2766</v>
      </c>
    </row>
    <row r="3467" spans="1:6" x14ac:dyDescent="0.25">
      <c r="A3467">
        <v>7888</v>
      </c>
      <c r="B3467" s="15">
        <v>45516</v>
      </c>
      <c r="C3467" s="133"/>
      <c r="D3467" s="133"/>
      <c r="E3467" s="3"/>
      <c r="F3467">
        <v>2767</v>
      </c>
    </row>
    <row r="3468" spans="1:6" x14ac:dyDescent="0.25">
      <c r="A3468">
        <v>7888</v>
      </c>
      <c r="B3468" s="15">
        <v>45517</v>
      </c>
      <c r="C3468" s="105">
        <v>0.35416666666666669</v>
      </c>
      <c r="D3468" s="106">
        <v>0.66666666666666663</v>
      </c>
      <c r="E3468" s="3"/>
      <c r="F3468">
        <v>2768</v>
      </c>
    </row>
    <row r="3469" spans="1:6" x14ac:dyDescent="0.25">
      <c r="A3469">
        <v>7888</v>
      </c>
      <c r="B3469" s="15">
        <v>45518</v>
      </c>
      <c r="C3469" s="106">
        <v>0.36458333333333331</v>
      </c>
      <c r="D3469" s="105">
        <v>0.80208333333333337</v>
      </c>
      <c r="E3469" s="3"/>
      <c r="F3469">
        <v>2769</v>
      </c>
    </row>
    <row r="3470" spans="1:6" x14ac:dyDescent="0.25">
      <c r="A3470">
        <v>7888</v>
      </c>
      <c r="B3470" s="15">
        <v>45519</v>
      </c>
      <c r="C3470" s="106">
        <v>0.35416666666666669</v>
      </c>
      <c r="D3470" s="106">
        <v>0.66666666666666663</v>
      </c>
      <c r="E3470" s="3"/>
      <c r="F3470">
        <v>2770</v>
      </c>
    </row>
    <row r="3471" spans="1:6" x14ac:dyDescent="0.25">
      <c r="A3471">
        <v>7888</v>
      </c>
      <c r="B3471" s="15">
        <v>45520</v>
      </c>
      <c r="C3471" s="106">
        <v>0.36458333333333331</v>
      </c>
      <c r="D3471" s="105">
        <v>0.80208333333333337</v>
      </c>
      <c r="E3471" s="3"/>
      <c r="F3471">
        <v>2771</v>
      </c>
    </row>
    <row r="3472" spans="1:6" x14ac:dyDescent="0.25">
      <c r="A3472">
        <v>7888</v>
      </c>
      <c r="B3472" s="15">
        <v>45521</v>
      </c>
      <c r="C3472" s="116" t="s">
        <v>167</v>
      </c>
      <c r="D3472" s="133"/>
      <c r="E3472" s="3"/>
      <c r="F3472">
        <v>2772</v>
      </c>
    </row>
    <row r="3473" spans="1:6" x14ac:dyDescent="0.25">
      <c r="A3473">
        <v>7888</v>
      </c>
      <c r="B3473" s="15">
        <v>45522</v>
      </c>
      <c r="C3473" s="133"/>
      <c r="D3473" s="133"/>
      <c r="E3473" s="3"/>
      <c r="F3473">
        <v>2773</v>
      </c>
    </row>
    <row r="3474" spans="1:6" x14ac:dyDescent="0.25">
      <c r="A3474">
        <v>7888</v>
      </c>
      <c r="B3474" s="15">
        <v>45523</v>
      </c>
      <c r="C3474" s="133"/>
      <c r="D3474" s="133"/>
      <c r="E3474" s="3"/>
      <c r="F3474">
        <v>2774</v>
      </c>
    </row>
    <row r="3475" spans="1:6" x14ac:dyDescent="0.25">
      <c r="A3475">
        <v>7888</v>
      </c>
      <c r="B3475" s="15">
        <v>45524</v>
      </c>
      <c r="C3475" s="106">
        <v>0.36458333333333331</v>
      </c>
      <c r="D3475" s="105">
        <v>0.80208333333333337</v>
      </c>
      <c r="E3475" s="3"/>
      <c r="F3475">
        <v>2775</v>
      </c>
    </row>
    <row r="3476" spans="1:6" x14ac:dyDescent="0.25">
      <c r="A3476">
        <v>7888</v>
      </c>
      <c r="B3476" s="15">
        <v>45525</v>
      </c>
      <c r="C3476" s="106">
        <v>0.35416666666666669</v>
      </c>
      <c r="D3476" s="106">
        <v>0.66666666666666663</v>
      </c>
      <c r="E3476" s="3"/>
      <c r="F3476">
        <v>2776</v>
      </c>
    </row>
    <row r="3477" spans="1:6" x14ac:dyDescent="0.25">
      <c r="A3477">
        <v>7888</v>
      </c>
      <c r="B3477" s="15">
        <v>45526</v>
      </c>
      <c r="C3477" s="106">
        <v>0.36458333333333331</v>
      </c>
      <c r="D3477" s="105">
        <v>0.80208333333333337</v>
      </c>
      <c r="E3477" s="3"/>
      <c r="F3477">
        <v>2777</v>
      </c>
    </row>
    <row r="3478" spans="1:6" x14ac:dyDescent="0.25">
      <c r="A3478">
        <v>7888</v>
      </c>
      <c r="B3478" s="15">
        <v>45527</v>
      </c>
      <c r="C3478" s="106">
        <v>0.35416666666666669</v>
      </c>
      <c r="D3478" s="106">
        <v>0.66666666666666663</v>
      </c>
      <c r="E3478" s="3"/>
      <c r="F3478">
        <v>2778</v>
      </c>
    </row>
    <row r="3479" spans="1:6" x14ac:dyDescent="0.25">
      <c r="A3479">
        <v>7888</v>
      </c>
      <c r="B3479" s="15">
        <v>45528</v>
      </c>
      <c r="C3479" s="133"/>
      <c r="D3479" s="133"/>
      <c r="E3479" s="3"/>
      <c r="F3479">
        <v>2779</v>
      </c>
    </row>
    <row r="3480" spans="1:6" x14ac:dyDescent="0.25">
      <c r="A3480">
        <v>7888</v>
      </c>
      <c r="B3480" s="15">
        <v>45529</v>
      </c>
      <c r="C3480" s="133"/>
      <c r="D3480" s="133"/>
      <c r="E3480" s="3"/>
      <c r="F3480">
        <v>2780</v>
      </c>
    </row>
    <row r="3481" spans="1:6" x14ac:dyDescent="0.25">
      <c r="A3481">
        <v>7888</v>
      </c>
      <c r="B3481" s="15">
        <v>45530</v>
      </c>
      <c r="C3481" s="133"/>
      <c r="D3481" s="133"/>
      <c r="E3481" s="3"/>
      <c r="F3481">
        <v>2781</v>
      </c>
    </row>
    <row r="3482" spans="1:6" x14ac:dyDescent="0.25">
      <c r="A3482">
        <v>7888</v>
      </c>
      <c r="B3482" s="15">
        <v>45531</v>
      </c>
      <c r="C3482" s="106">
        <v>0.35416666666666669</v>
      </c>
      <c r="D3482" s="106">
        <v>0.66666666666666663</v>
      </c>
      <c r="E3482" s="3"/>
      <c r="F3482">
        <v>2782</v>
      </c>
    </row>
    <row r="3483" spans="1:6" x14ac:dyDescent="0.25">
      <c r="A3483">
        <v>7888</v>
      </c>
      <c r="B3483" s="15">
        <v>45532</v>
      </c>
      <c r="C3483" s="106">
        <v>0.36458333333333331</v>
      </c>
      <c r="D3483" s="105">
        <v>0.80208333333333337</v>
      </c>
      <c r="E3483" s="3"/>
      <c r="F3483">
        <v>2783</v>
      </c>
    </row>
    <row r="3484" spans="1:6" x14ac:dyDescent="0.25">
      <c r="A3484">
        <v>7888</v>
      </c>
      <c r="B3484" s="15">
        <v>45533</v>
      </c>
      <c r="C3484" s="105">
        <v>0.35416666666666669</v>
      </c>
      <c r="D3484" s="106">
        <v>0.66666666666666663</v>
      </c>
      <c r="E3484" s="3"/>
      <c r="F3484">
        <v>2784</v>
      </c>
    </row>
    <row r="3485" spans="1:6" x14ac:dyDescent="0.25">
      <c r="A3485">
        <v>7888</v>
      </c>
      <c r="B3485" s="15">
        <v>45534</v>
      </c>
      <c r="C3485" s="106">
        <v>0.36458333333333331</v>
      </c>
      <c r="D3485" s="105">
        <v>0.80208333333333337</v>
      </c>
      <c r="E3485" s="3"/>
      <c r="F3485">
        <v>2785</v>
      </c>
    </row>
    <row r="3486" spans="1:6" x14ac:dyDescent="0.25">
      <c r="A3486">
        <v>7888</v>
      </c>
      <c r="B3486" s="15">
        <v>45535</v>
      </c>
      <c r="C3486" s="116" t="s">
        <v>167</v>
      </c>
      <c r="D3486" s="133"/>
      <c r="E3486" s="3"/>
      <c r="F3486">
        <v>2786</v>
      </c>
    </row>
    <row r="3487" spans="1:6" x14ac:dyDescent="0.25">
      <c r="A3487">
        <v>7888</v>
      </c>
      <c r="B3487" s="15">
        <v>45536</v>
      </c>
      <c r="C3487" s="133"/>
      <c r="D3487" s="133"/>
      <c r="E3487" s="3"/>
      <c r="F3487">
        <v>2787</v>
      </c>
    </row>
    <row r="3488" spans="1:6" x14ac:dyDescent="0.25">
      <c r="A3488">
        <v>7888</v>
      </c>
      <c r="B3488" s="15">
        <v>45537</v>
      </c>
      <c r="C3488" s="133"/>
      <c r="D3488" s="133"/>
      <c r="E3488" s="3"/>
      <c r="F3488">
        <v>2788</v>
      </c>
    </row>
    <row r="3489" spans="1:6" x14ac:dyDescent="0.25">
      <c r="A3489">
        <v>7888</v>
      </c>
      <c r="B3489" s="15">
        <v>45538</v>
      </c>
      <c r="C3489" s="106">
        <v>0.36458333333333331</v>
      </c>
      <c r="D3489" s="105">
        <v>0.80208333333333337</v>
      </c>
      <c r="E3489" s="3"/>
      <c r="F3489">
        <v>2789</v>
      </c>
    </row>
    <row r="3490" spans="1:6" x14ac:dyDescent="0.25">
      <c r="A3490">
        <v>7888</v>
      </c>
      <c r="B3490" s="15">
        <v>45539</v>
      </c>
      <c r="C3490" s="106">
        <v>0.35416666666666669</v>
      </c>
      <c r="D3490" s="106">
        <v>0.66666666666666663</v>
      </c>
      <c r="E3490" s="3"/>
      <c r="F3490">
        <v>2790</v>
      </c>
    </row>
    <row r="3491" spans="1:6" x14ac:dyDescent="0.25">
      <c r="A3491">
        <v>7888</v>
      </c>
      <c r="B3491" s="15">
        <v>45540</v>
      </c>
      <c r="C3491" s="106">
        <v>0.36458333333333331</v>
      </c>
      <c r="D3491" s="105">
        <v>0.80208333333333337</v>
      </c>
      <c r="E3491" s="3"/>
      <c r="F3491">
        <v>2791</v>
      </c>
    </row>
    <row r="3492" spans="1:6" x14ac:dyDescent="0.25">
      <c r="A3492">
        <v>7888</v>
      </c>
      <c r="B3492" s="15">
        <v>45541</v>
      </c>
      <c r="C3492" s="105">
        <v>0.35416666666666669</v>
      </c>
      <c r="D3492" s="106">
        <v>0.66666666666666663</v>
      </c>
      <c r="E3492" s="3"/>
      <c r="F3492">
        <v>2792</v>
      </c>
    </row>
    <row r="3493" spans="1:6" x14ac:dyDescent="0.25">
      <c r="A3493">
        <v>7888</v>
      </c>
      <c r="B3493" s="15">
        <v>45542</v>
      </c>
      <c r="C3493" s="133"/>
      <c r="D3493" s="133"/>
      <c r="E3493" s="3"/>
      <c r="F3493">
        <v>2793</v>
      </c>
    </row>
    <row r="3494" spans="1:6" x14ac:dyDescent="0.25">
      <c r="A3494">
        <v>7888</v>
      </c>
      <c r="B3494" s="15">
        <v>45543</v>
      </c>
      <c r="C3494" s="133"/>
      <c r="D3494" s="133"/>
      <c r="E3494" s="3"/>
      <c r="F3494">
        <v>2794</v>
      </c>
    </row>
    <row r="3495" spans="1:6" x14ac:dyDescent="0.25">
      <c r="A3495">
        <v>7888</v>
      </c>
      <c r="B3495" s="15">
        <v>45544</v>
      </c>
      <c r="C3495" s="133"/>
      <c r="D3495" s="133"/>
      <c r="E3495" s="3"/>
      <c r="F3495">
        <v>2795</v>
      </c>
    </row>
    <row r="3496" spans="1:6" x14ac:dyDescent="0.25">
      <c r="A3496">
        <v>7888</v>
      </c>
      <c r="B3496" s="15">
        <v>45545</v>
      </c>
      <c r="C3496" s="105">
        <v>0.35416666666666669</v>
      </c>
      <c r="D3496" s="106">
        <v>0.66666666666666663</v>
      </c>
      <c r="E3496" s="3"/>
      <c r="F3496">
        <v>2796</v>
      </c>
    </row>
    <row r="3497" spans="1:6" x14ac:dyDescent="0.25">
      <c r="A3497">
        <v>7888</v>
      </c>
      <c r="B3497" s="15">
        <v>45546</v>
      </c>
      <c r="C3497" s="106">
        <v>0.36458333333333331</v>
      </c>
      <c r="D3497" s="105">
        <v>0.80208333333333337</v>
      </c>
      <c r="E3497" s="3"/>
      <c r="F3497">
        <v>2797</v>
      </c>
    </row>
    <row r="3498" spans="1:6" x14ac:dyDescent="0.25">
      <c r="A3498">
        <v>7888</v>
      </c>
      <c r="B3498" s="15">
        <v>45547</v>
      </c>
      <c r="C3498" s="106">
        <v>0.35416666666666669</v>
      </c>
      <c r="D3498" s="106">
        <v>0.66666666666666663</v>
      </c>
      <c r="E3498" s="3"/>
      <c r="F3498">
        <v>2798</v>
      </c>
    </row>
    <row r="3499" spans="1:6" x14ac:dyDescent="0.25">
      <c r="A3499">
        <v>7888</v>
      </c>
      <c r="B3499" s="15">
        <v>45548</v>
      </c>
      <c r="C3499" s="106">
        <v>0.36458333333333331</v>
      </c>
      <c r="D3499" s="105">
        <v>0.80208333333333337</v>
      </c>
      <c r="E3499" s="3"/>
      <c r="F3499">
        <v>2799</v>
      </c>
    </row>
    <row r="3500" spans="1:6" x14ac:dyDescent="0.25">
      <c r="A3500">
        <v>7888</v>
      </c>
      <c r="B3500" s="15">
        <v>45549</v>
      </c>
      <c r="C3500" s="116" t="s">
        <v>167</v>
      </c>
      <c r="D3500" s="133"/>
      <c r="E3500" s="3"/>
      <c r="F3500">
        <v>2800</v>
      </c>
    </row>
    <row r="3501" spans="1:6" x14ac:dyDescent="0.25">
      <c r="A3501">
        <v>7888</v>
      </c>
      <c r="B3501" s="15">
        <v>45550</v>
      </c>
      <c r="C3501" s="133"/>
      <c r="D3501" s="133"/>
      <c r="E3501" s="3"/>
      <c r="F3501">
        <v>2801</v>
      </c>
    </row>
    <row r="3502" spans="1:6" x14ac:dyDescent="0.25">
      <c r="A3502">
        <v>7888</v>
      </c>
      <c r="B3502" s="15">
        <v>45551</v>
      </c>
      <c r="C3502" s="133"/>
      <c r="D3502" s="133"/>
      <c r="E3502" s="3"/>
      <c r="F3502">
        <v>2802</v>
      </c>
    </row>
    <row r="3503" spans="1:6" x14ac:dyDescent="0.25">
      <c r="A3503">
        <v>7888</v>
      </c>
      <c r="B3503" s="15">
        <v>45552</v>
      </c>
      <c r="C3503" s="106">
        <v>0.36458333333333331</v>
      </c>
      <c r="D3503" s="105">
        <v>0.80208333333333337</v>
      </c>
      <c r="E3503" s="3"/>
      <c r="F3503">
        <v>2803</v>
      </c>
    </row>
    <row r="3504" spans="1:6" x14ac:dyDescent="0.25">
      <c r="A3504">
        <v>7888</v>
      </c>
      <c r="B3504" s="15">
        <v>45553</v>
      </c>
      <c r="C3504" s="106">
        <v>0.35416666666666669</v>
      </c>
      <c r="D3504" s="106">
        <v>0.66666666666666663</v>
      </c>
      <c r="E3504" s="3"/>
      <c r="F3504">
        <v>2804</v>
      </c>
    </row>
    <row r="3505" spans="1:6" x14ac:dyDescent="0.25">
      <c r="A3505">
        <v>7888</v>
      </c>
      <c r="B3505" s="15">
        <v>45554</v>
      </c>
      <c r="C3505" s="106">
        <v>0.36458333333333331</v>
      </c>
      <c r="D3505" s="105">
        <v>0.80208333333333337</v>
      </c>
      <c r="E3505" s="3"/>
      <c r="F3505">
        <v>2805</v>
      </c>
    </row>
    <row r="3506" spans="1:6" x14ac:dyDescent="0.25">
      <c r="A3506">
        <v>7888</v>
      </c>
      <c r="B3506" s="15">
        <v>45555</v>
      </c>
      <c r="C3506" s="106">
        <v>0.35416666666666669</v>
      </c>
      <c r="D3506" s="106">
        <v>0.66666666666666663</v>
      </c>
      <c r="E3506" s="3"/>
      <c r="F3506">
        <v>2806</v>
      </c>
    </row>
    <row r="3507" spans="1:6" x14ac:dyDescent="0.25">
      <c r="A3507">
        <v>7888</v>
      </c>
      <c r="B3507" s="15">
        <v>45556</v>
      </c>
      <c r="C3507" s="133"/>
      <c r="D3507" s="133"/>
      <c r="E3507" s="3"/>
      <c r="F3507">
        <v>2807</v>
      </c>
    </row>
    <row r="3508" spans="1:6" x14ac:dyDescent="0.25">
      <c r="A3508">
        <v>7888</v>
      </c>
      <c r="B3508" s="15">
        <v>45557</v>
      </c>
      <c r="C3508" s="133"/>
      <c r="D3508" s="133"/>
      <c r="E3508" s="3"/>
      <c r="F3508">
        <v>2808</v>
      </c>
    </row>
    <row r="3509" spans="1:6" x14ac:dyDescent="0.25">
      <c r="A3509">
        <v>7888</v>
      </c>
      <c r="B3509" s="15">
        <v>45558</v>
      </c>
      <c r="C3509" s="133"/>
      <c r="D3509" s="133"/>
      <c r="E3509" s="3"/>
      <c r="F3509">
        <v>2809</v>
      </c>
    </row>
    <row r="3510" spans="1:6" x14ac:dyDescent="0.25">
      <c r="A3510">
        <v>7888</v>
      </c>
      <c r="B3510" s="15">
        <v>45559</v>
      </c>
      <c r="C3510" s="106">
        <v>0.35416666666666669</v>
      </c>
      <c r="D3510" s="106">
        <v>0.66666666666666663</v>
      </c>
      <c r="E3510" s="3"/>
      <c r="F3510">
        <v>2810</v>
      </c>
    </row>
    <row r="3511" spans="1:6" x14ac:dyDescent="0.25">
      <c r="A3511">
        <v>7888</v>
      </c>
      <c r="B3511" s="15">
        <v>45560</v>
      </c>
      <c r="C3511" s="106">
        <v>0.36458333333333331</v>
      </c>
      <c r="D3511" s="105">
        <v>0.80208333333333337</v>
      </c>
      <c r="E3511" s="3"/>
      <c r="F3511">
        <v>2811</v>
      </c>
    </row>
    <row r="3512" spans="1:6" x14ac:dyDescent="0.25">
      <c r="A3512">
        <v>7888</v>
      </c>
      <c r="B3512" s="15">
        <v>45561</v>
      </c>
      <c r="C3512" s="105">
        <v>0.35416666666666669</v>
      </c>
      <c r="D3512" s="106">
        <v>0.66666666666666663</v>
      </c>
      <c r="E3512" s="3"/>
      <c r="F3512">
        <v>2812</v>
      </c>
    </row>
    <row r="3513" spans="1:6" x14ac:dyDescent="0.25">
      <c r="A3513">
        <v>7888</v>
      </c>
      <c r="B3513" s="15">
        <v>45562</v>
      </c>
      <c r="C3513" s="106">
        <v>0.36458333333333331</v>
      </c>
      <c r="D3513" s="105">
        <v>0.80208333333333337</v>
      </c>
      <c r="E3513" s="3"/>
      <c r="F3513">
        <v>2813</v>
      </c>
    </row>
    <row r="3514" spans="1:6" x14ac:dyDescent="0.25">
      <c r="A3514">
        <v>7888</v>
      </c>
      <c r="B3514" s="15">
        <v>45563</v>
      </c>
      <c r="C3514" s="116" t="s">
        <v>167</v>
      </c>
      <c r="D3514" s="133"/>
      <c r="E3514" s="3"/>
      <c r="F3514">
        <v>2814</v>
      </c>
    </row>
    <row r="3515" spans="1:6" x14ac:dyDescent="0.25">
      <c r="A3515">
        <v>7888</v>
      </c>
      <c r="B3515" s="15">
        <v>45564</v>
      </c>
      <c r="C3515" s="133"/>
      <c r="D3515" s="133"/>
      <c r="E3515" s="3"/>
      <c r="F3515">
        <v>2815</v>
      </c>
    </row>
    <row r="3516" spans="1:6" x14ac:dyDescent="0.25">
      <c r="A3516">
        <v>7888</v>
      </c>
      <c r="B3516" s="15">
        <v>45565</v>
      </c>
      <c r="C3516" s="133"/>
      <c r="D3516" s="133"/>
      <c r="E3516" s="3"/>
      <c r="F3516">
        <v>2816</v>
      </c>
    </row>
    <row r="3517" spans="1:6" x14ac:dyDescent="0.25">
      <c r="A3517">
        <v>7888</v>
      </c>
      <c r="B3517" s="15">
        <v>45566</v>
      </c>
      <c r="C3517" s="106">
        <v>0.36458333333333331</v>
      </c>
      <c r="D3517" s="105">
        <v>0.80208333333333337</v>
      </c>
      <c r="E3517" s="3"/>
      <c r="F3517">
        <v>2817</v>
      </c>
    </row>
    <row r="3518" spans="1:6" x14ac:dyDescent="0.25">
      <c r="A3518">
        <v>7888</v>
      </c>
      <c r="B3518" s="15">
        <v>45567</v>
      </c>
      <c r="C3518" s="106">
        <v>0.35416666666666669</v>
      </c>
      <c r="D3518" s="106">
        <v>0.66666666666666663</v>
      </c>
      <c r="E3518" s="3"/>
      <c r="F3518">
        <v>2818</v>
      </c>
    </row>
    <row r="3519" spans="1:6" x14ac:dyDescent="0.25">
      <c r="A3519">
        <v>7888</v>
      </c>
      <c r="B3519" s="15">
        <v>45568</v>
      </c>
      <c r="C3519" s="106">
        <v>0.36458333333333331</v>
      </c>
      <c r="D3519" s="105">
        <v>0.80208333333333337</v>
      </c>
      <c r="E3519" s="3"/>
      <c r="F3519">
        <v>2819</v>
      </c>
    </row>
    <row r="3520" spans="1:6" x14ac:dyDescent="0.25">
      <c r="A3520">
        <v>7888</v>
      </c>
      <c r="B3520" s="15">
        <v>45569</v>
      </c>
      <c r="C3520" s="105">
        <v>0.35416666666666669</v>
      </c>
      <c r="D3520" s="106">
        <v>0.66666666666666663</v>
      </c>
      <c r="E3520" s="3"/>
      <c r="F3520">
        <v>2820</v>
      </c>
    </row>
    <row r="3521" spans="1:6" x14ac:dyDescent="0.25">
      <c r="A3521">
        <v>7888</v>
      </c>
      <c r="B3521" s="15">
        <v>45570</v>
      </c>
      <c r="C3521" s="133"/>
      <c r="D3521" s="133"/>
      <c r="E3521" s="3"/>
      <c r="F3521">
        <v>2821</v>
      </c>
    </row>
    <row r="3522" spans="1:6" x14ac:dyDescent="0.25">
      <c r="A3522">
        <v>7888</v>
      </c>
      <c r="B3522" s="15">
        <v>45571</v>
      </c>
      <c r="C3522" s="133"/>
      <c r="D3522" s="133"/>
      <c r="E3522" s="3"/>
      <c r="F3522">
        <v>2822</v>
      </c>
    </row>
    <row r="3523" spans="1:6" x14ac:dyDescent="0.25">
      <c r="A3523">
        <v>7888</v>
      </c>
      <c r="B3523" s="15">
        <v>45572</v>
      </c>
      <c r="C3523" s="133"/>
      <c r="D3523" s="133"/>
      <c r="E3523" s="3"/>
      <c r="F3523">
        <v>2823</v>
      </c>
    </row>
    <row r="3524" spans="1:6" x14ac:dyDescent="0.25">
      <c r="A3524">
        <v>7888</v>
      </c>
      <c r="B3524" s="15">
        <v>45573</v>
      </c>
      <c r="C3524" s="105">
        <v>0.35416666666666669</v>
      </c>
      <c r="D3524" s="106">
        <v>0.66666666666666663</v>
      </c>
      <c r="E3524" s="3"/>
      <c r="F3524">
        <v>2824</v>
      </c>
    </row>
    <row r="3525" spans="1:6" x14ac:dyDescent="0.25">
      <c r="A3525">
        <v>7888</v>
      </c>
      <c r="B3525" s="15">
        <v>45574</v>
      </c>
      <c r="C3525" s="106">
        <v>0.36458333333333331</v>
      </c>
      <c r="D3525" s="105">
        <v>0.80208333333333337</v>
      </c>
      <c r="E3525" s="3"/>
      <c r="F3525">
        <v>2825</v>
      </c>
    </row>
    <row r="3526" spans="1:6" x14ac:dyDescent="0.25">
      <c r="A3526">
        <v>7888</v>
      </c>
      <c r="B3526" s="15">
        <v>45575</v>
      </c>
      <c r="C3526" s="106">
        <v>0.35416666666666669</v>
      </c>
      <c r="D3526" s="106">
        <v>0.66666666666666663</v>
      </c>
      <c r="E3526" s="3"/>
      <c r="F3526">
        <v>2826</v>
      </c>
    </row>
    <row r="3527" spans="1:6" x14ac:dyDescent="0.25">
      <c r="A3527">
        <v>7888</v>
      </c>
      <c r="B3527" s="15">
        <v>45576</v>
      </c>
      <c r="C3527" s="106">
        <v>0.36458333333333331</v>
      </c>
      <c r="D3527" s="105">
        <v>0.80208333333333337</v>
      </c>
      <c r="E3527" s="3"/>
      <c r="F3527">
        <v>2827</v>
      </c>
    </row>
    <row r="3528" spans="1:6" x14ac:dyDescent="0.25">
      <c r="A3528">
        <v>7888</v>
      </c>
      <c r="B3528" s="15">
        <v>45577</v>
      </c>
      <c r="C3528" s="116" t="s">
        <v>167</v>
      </c>
      <c r="D3528" s="133"/>
      <c r="E3528" s="3"/>
      <c r="F3528">
        <v>2828</v>
      </c>
    </row>
    <row r="3529" spans="1:6" x14ac:dyDescent="0.25">
      <c r="A3529">
        <v>7888</v>
      </c>
      <c r="B3529" s="15">
        <v>45578</v>
      </c>
      <c r="C3529" s="133"/>
      <c r="D3529" s="133"/>
      <c r="E3529" s="3"/>
      <c r="F3529">
        <v>2829</v>
      </c>
    </row>
    <row r="3530" spans="1:6" x14ac:dyDescent="0.25">
      <c r="A3530">
        <v>7888</v>
      </c>
      <c r="B3530" s="15">
        <v>45579</v>
      </c>
      <c r="C3530" s="133"/>
      <c r="D3530" s="133"/>
      <c r="E3530" s="3"/>
      <c r="F3530">
        <v>2830</v>
      </c>
    </row>
    <row r="3531" spans="1:6" x14ac:dyDescent="0.25">
      <c r="A3531">
        <v>7888</v>
      </c>
      <c r="B3531" s="15">
        <v>45580</v>
      </c>
      <c r="C3531" s="106">
        <v>0.36458333333333331</v>
      </c>
      <c r="D3531" s="105">
        <v>0.80208333333333337</v>
      </c>
      <c r="E3531" s="3"/>
      <c r="F3531">
        <v>2831</v>
      </c>
    </row>
    <row r="3532" spans="1:6" x14ac:dyDescent="0.25">
      <c r="A3532">
        <v>7888</v>
      </c>
      <c r="B3532" s="15">
        <v>45581</v>
      </c>
      <c r="C3532" s="106">
        <v>0.35416666666666669</v>
      </c>
      <c r="D3532" s="106">
        <v>0.66666666666666663</v>
      </c>
      <c r="E3532" s="3"/>
      <c r="F3532">
        <v>2832</v>
      </c>
    </row>
    <row r="3533" spans="1:6" x14ac:dyDescent="0.25">
      <c r="A3533">
        <v>7888</v>
      </c>
      <c r="B3533" s="15">
        <v>45582</v>
      </c>
      <c r="C3533" s="106">
        <v>0.36458333333333331</v>
      </c>
      <c r="D3533" s="105">
        <v>0.80208333333333337</v>
      </c>
      <c r="E3533" s="3"/>
      <c r="F3533">
        <v>2833</v>
      </c>
    </row>
    <row r="3534" spans="1:6" x14ac:dyDescent="0.25">
      <c r="A3534">
        <v>7888</v>
      </c>
      <c r="B3534" s="15">
        <v>45583</v>
      </c>
      <c r="C3534" s="106">
        <v>0.35416666666666669</v>
      </c>
      <c r="D3534" s="106">
        <v>0.66666666666666663</v>
      </c>
      <c r="E3534" s="3"/>
      <c r="F3534">
        <v>2834</v>
      </c>
    </row>
    <row r="3535" spans="1:6" x14ac:dyDescent="0.25">
      <c r="A3535">
        <v>7888</v>
      </c>
      <c r="B3535" s="15">
        <v>45584</v>
      </c>
      <c r="C3535" s="133"/>
      <c r="D3535" s="133"/>
      <c r="E3535" s="3"/>
      <c r="F3535">
        <v>2835</v>
      </c>
    </row>
    <row r="3536" spans="1:6" x14ac:dyDescent="0.25">
      <c r="A3536">
        <v>7888</v>
      </c>
      <c r="B3536" s="15">
        <v>45585</v>
      </c>
      <c r="C3536" s="133"/>
      <c r="D3536" s="133"/>
      <c r="E3536" s="3"/>
      <c r="F3536">
        <v>2836</v>
      </c>
    </row>
    <row r="3537" spans="1:6" x14ac:dyDescent="0.25">
      <c r="A3537">
        <v>7888</v>
      </c>
      <c r="B3537" s="15">
        <v>45586</v>
      </c>
      <c r="C3537" s="133"/>
      <c r="D3537" s="133"/>
      <c r="E3537" s="3"/>
      <c r="F3537">
        <v>2837</v>
      </c>
    </row>
    <row r="3538" spans="1:6" x14ac:dyDescent="0.25">
      <c r="A3538">
        <v>7888</v>
      </c>
      <c r="B3538" s="15">
        <v>45587</v>
      </c>
      <c r="C3538" s="106">
        <v>0.35416666666666669</v>
      </c>
      <c r="D3538" s="106">
        <v>0.66666666666666663</v>
      </c>
      <c r="E3538" s="3"/>
      <c r="F3538">
        <v>2838</v>
      </c>
    </row>
    <row r="3539" spans="1:6" x14ac:dyDescent="0.25">
      <c r="A3539">
        <v>7888</v>
      </c>
      <c r="B3539" s="15">
        <v>45588</v>
      </c>
      <c r="C3539" s="106">
        <v>0.36458333333333331</v>
      </c>
      <c r="D3539" s="105">
        <v>0.80208333333333337</v>
      </c>
      <c r="E3539" s="3"/>
      <c r="F3539">
        <v>2839</v>
      </c>
    </row>
    <row r="3540" spans="1:6" x14ac:dyDescent="0.25">
      <c r="A3540">
        <v>7888</v>
      </c>
      <c r="B3540" s="15">
        <v>45589</v>
      </c>
      <c r="C3540" s="105">
        <v>0.35416666666666669</v>
      </c>
      <c r="D3540" s="106">
        <v>0.66666666666666663</v>
      </c>
      <c r="E3540" s="3"/>
      <c r="F3540">
        <v>2840</v>
      </c>
    </row>
    <row r="3541" spans="1:6" x14ac:dyDescent="0.25">
      <c r="A3541">
        <v>7888</v>
      </c>
      <c r="B3541" s="15">
        <v>45590</v>
      </c>
      <c r="C3541" s="106">
        <v>0.36458333333333331</v>
      </c>
      <c r="D3541" s="105">
        <v>0.80208333333333337</v>
      </c>
      <c r="E3541" s="3"/>
      <c r="F3541">
        <v>2841</v>
      </c>
    </row>
    <row r="3542" spans="1:6" x14ac:dyDescent="0.25">
      <c r="A3542">
        <v>7888</v>
      </c>
      <c r="B3542" s="15">
        <v>45591</v>
      </c>
      <c r="C3542" s="116" t="s">
        <v>167</v>
      </c>
      <c r="D3542" s="133"/>
      <c r="E3542" s="3"/>
      <c r="F3542">
        <v>2842</v>
      </c>
    </row>
    <row r="3543" spans="1:6" x14ac:dyDescent="0.25">
      <c r="A3543">
        <v>7888</v>
      </c>
      <c r="B3543" s="15">
        <v>45592</v>
      </c>
      <c r="C3543" s="133"/>
      <c r="D3543" s="133"/>
      <c r="E3543" s="3"/>
      <c r="F3543">
        <v>2843</v>
      </c>
    </row>
    <row r="3544" spans="1:6" x14ac:dyDescent="0.25">
      <c r="A3544">
        <v>7888</v>
      </c>
      <c r="B3544" s="15">
        <v>45593</v>
      </c>
      <c r="C3544" s="133"/>
      <c r="D3544" s="133"/>
      <c r="E3544" s="3"/>
      <c r="F3544">
        <v>2844</v>
      </c>
    </row>
    <row r="3545" spans="1:6" x14ac:dyDescent="0.25">
      <c r="A3545">
        <v>7888</v>
      </c>
      <c r="B3545" s="15">
        <v>45594</v>
      </c>
      <c r="C3545" s="106">
        <v>0.36458333333333331</v>
      </c>
      <c r="D3545" s="105">
        <v>0.80208333333333337</v>
      </c>
      <c r="E3545" s="3"/>
      <c r="F3545">
        <v>2845</v>
      </c>
    </row>
    <row r="3546" spans="1:6" x14ac:dyDescent="0.25">
      <c r="A3546">
        <v>7888</v>
      </c>
      <c r="B3546" s="15">
        <v>45595</v>
      </c>
      <c r="C3546" s="106">
        <v>0.35416666666666669</v>
      </c>
      <c r="D3546" s="106">
        <v>0.66666666666666663</v>
      </c>
      <c r="E3546" s="3"/>
      <c r="F3546">
        <v>2846</v>
      </c>
    </row>
    <row r="3547" spans="1:6" x14ac:dyDescent="0.25">
      <c r="A3547">
        <v>7888</v>
      </c>
      <c r="B3547" s="15">
        <v>45596</v>
      </c>
      <c r="C3547" s="106">
        <v>0.36458333333333331</v>
      </c>
      <c r="D3547" s="105">
        <v>0.80208333333333337</v>
      </c>
      <c r="E3547" s="3"/>
      <c r="F3547">
        <v>2847</v>
      </c>
    </row>
    <row r="3548" spans="1:6" x14ac:dyDescent="0.25">
      <c r="A3548">
        <v>7888</v>
      </c>
      <c r="B3548" s="15">
        <v>45597</v>
      </c>
      <c r="C3548" s="105">
        <v>0.35416666666666669</v>
      </c>
      <c r="D3548" s="106">
        <v>0.66666666666666663</v>
      </c>
      <c r="E3548" s="3"/>
      <c r="F3548">
        <v>2848</v>
      </c>
    </row>
    <row r="3549" spans="1:6" x14ac:dyDescent="0.25">
      <c r="A3549">
        <v>7888</v>
      </c>
      <c r="B3549" s="15">
        <v>45598</v>
      </c>
      <c r="C3549" s="133"/>
      <c r="D3549" s="133"/>
      <c r="E3549" s="3"/>
      <c r="F3549">
        <v>2849</v>
      </c>
    </row>
    <row r="3550" spans="1:6" x14ac:dyDescent="0.25">
      <c r="A3550">
        <v>7888</v>
      </c>
      <c r="B3550" s="15">
        <v>45599</v>
      </c>
      <c r="C3550" s="133"/>
      <c r="D3550" s="133"/>
      <c r="E3550" s="3"/>
      <c r="F3550">
        <v>2850</v>
      </c>
    </row>
    <row r="3551" spans="1:6" x14ac:dyDescent="0.25">
      <c r="A3551">
        <v>7888</v>
      </c>
      <c r="B3551" s="15">
        <v>45600</v>
      </c>
      <c r="C3551" s="133"/>
      <c r="D3551" s="133"/>
      <c r="E3551" s="3"/>
      <c r="F3551">
        <v>2851</v>
      </c>
    </row>
    <row r="3552" spans="1:6" x14ac:dyDescent="0.25">
      <c r="A3552">
        <v>7888</v>
      </c>
      <c r="B3552" s="15">
        <v>45601</v>
      </c>
      <c r="C3552" s="105">
        <v>0.35416666666666669</v>
      </c>
      <c r="D3552" s="106">
        <v>0.66666666666666663</v>
      </c>
      <c r="E3552" s="3"/>
      <c r="F3552">
        <v>2852</v>
      </c>
    </row>
    <row r="3553" spans="1:6" x14ac:dyDescent="0.25">
      <c r="A3553">
        <v>7888</v>
      </c>
      <c r="B3553" s="15">
        <v>45602</v>
      </c>
      <c r="C3553" s="106">
        <v>0.36458333333333331</v>
      </c>
      <c r="D3553" s="105">
        <v>0.80208333333333337</v>
      </c>
      <c r="E3553" s="3"/>
      <c r="F3553">
        <v>2853</v>
      </c>
    </row>
    <row r="3554" spans="1:6" x14ac:dyDescent="0.25">
      <c r="A3554">
        <v>7888</v>
      </c>
      <c r="B3554" s="15">
        <v>45603</v>
      </c>
      <c r="C3554" s="106">
        <v>0.35416666666666669</v>
      </c>
      <c r="D3554" s="106">
        <v>0.66666666666666663</v>
      </c>
      <c r="E3554" s="3"/>
      <c r="F3554">
        <v>2854</v>
      </c>
    </row>
    <row r="3555" spans="1:6" x14ac:dyDescent="0.25">
      <c r="A3555">
        <v>7888</v>
      </c>
      <c r="B3555" s="15">
        <v>45604</v>
      </c>
      <c r="C3555" s="106">
        <v>0.36458333333333331</v>
      </c>
      <c r="D3555" s="105">
        <v>0.80208333333333337</v>
      </c>
      <c r="E3555" s="3"/>
      <c r="F3555">
        <v>2855</v>
      </c>
    </row>
    <row r="3556" spans="1:6" x14ac:dyDescent="0.25">
      <c r="A3556">
        <v>7888</v>
      </c>
      <c r="B3556" s="15">
        <v>45605</v>
      </c>
      <c r="C3556" s="116" t="s">
        <v>167</v>
      </c>
      <c r="D3556" s="133"/>
      <c r="E3556" s="3"/>
      <c r="F3556">
        <v>2856</v>
      </c>
    </row>
    <row r="3557" spans="1:6" x14ac:dyDescent="0.25">
      <c r="A3557">
        <v>7888</v>
      </c>
      <c r="B3557" s="15">
        <v>45606</v>
      </c>
      <c r="C3557" s="133"/>
      <c r="D3557" s="133"/>
      <c r="E3557" s="3"/>
      <c r="F3557">
        <v>2857</v>
      </c>
    </row>
    <row r="3558" spans="1:6" x14ac:dyDescent="0.25">
      <c r="A3558">
        <v>7888</v>
      </c>
      <c r="B3558" s="15">
        <v>45607</v>
      </c>
      <c r="C3558" s="133"/>
      <c r="D3558" s="133"/>
      <c r="E3558" s="3"/>
      <c r="F3558">
        <v>2858</v>
      </c>
    </row>
    <row r="3559" spans="1:6" x14ac:dyDescent="0.25">
      <c r="A3559">
        <v>7888</v>
      </c>
      <c r="B3559" s="15">
        <v>45608</v>
      </c>
      <c r="C3559" s="106">
        <v>0.36458333333333331</v>
      </c>
      <c r="D3559" s="105">
        <v>0.80208333333333337</v>
      </c>
      <c r="E3559" s="3"/>
      <c r="F3559">
        <v>2859</v>
      </c>
    </row>
    <row r="3560" spans="1:6" x14ac:dyDescent="0.25">
      <c r="A3560">
        <v>7888</v>
      </c>
      <c r="B3560" s="15">
        <v>45609</v>
      </c>
      <c r="C3560" s="106">
        <v>0.35416666666666669</v>
      </c>
      <c r="D3560" s="106">
        <v>0.66666666666666663</v>
      </c>
      <c r="E3560" s="3"/>
      <c r="F3560">
        <v>2860</v>
      </c>
    </row>
    <row r="3561" spans="1:6" x14ac:dyDescent="0.25">
      <c r="A3561">
        <v>7888</v>
      </c>
      <c r="B3561" s="15">
        <v>45610</v>
      </c>
      <c r="C3561" s="106">
        <v>0.36458333333333331</v>
      </c>
      <c r="D3561" s="105">
        <v>0.80208333333333337</v>
      </c>
      <c r="E3561" s="3"/>
      <c r="F3561">
        <v>2861</v>
      </c>
    </row>
    <row r="3562" spans="1:6" x14ac:dyDescent="0.25">
      <c r="A3562">
        <v>7888</v>
      </c>
      <c r="B3562" s="15">
        <v>45611</v>
      </c>
      <c r="C3562" s="106">
        <v>0.35416666666666669</v>
      </c>
      <c r="D3562" s="106">
        <v>0.66666666666666663</v>
      </c>
      <c r="E3562" s="3"/>
      <c r="F3562">
        <v>2862</v>
      </c>
    </row>
    <row r="3563" spans="1:6" x14ac:dyDescent="0.25">
      <c r="A3563">
        <v>7888</v>
      </c>
      <c r="B3563" s="15">
        <v>45612</v>
      </c>
      <c r="C3563" s="133"/>
      <c r="D3563" s="133"/>
      <c r="E3563" s="3"/>
      <c r="F3563">
        <v>2863</v>
      </c>
    </row>
    <row r="3564" spans="1:6" x14ac:dyDescent="0.25">
      <c r="A3564">
        <v>7888</v>
      </c>
      <c r="B3564" s="15">
        <v>45613</v>
      </c>
      <c r="C3564" s="133"/>
      <c r="D3564" s="133"/>
      <c r="E3564" s="3"/>
      <c r="F3564">
        <v>2864</v>
      </c>
    </row>
    <row r="3565" spans="1:6" x14ac:dyDescent="0.25">
      <c r="A3565">
        <v>7888</v>
      </c>
      <c r="B3565" s="15">
        <v>45614</v>
      </c>
      <c r="C3565" s="133"/>
      <c r="D3565" s="133"/>
      <c r="E3565" s="3"/>
      <c r="F3565">
        <v>2865</v>
      </c>
    </row>
    <row r="3566" spans="1:6" x14ac:dyDescent="0.25">
      <c r="A3566">
        <v>7888</v>
      </c>
      <c r="B3566" s="15">
        <v>45615</v>
      </c>
      <c r="C3566" s="106">
        <v>0.35416666666666669</v>
      </c>
      <c r="D3566" s="106">
        <v>0.66666666666666663</v>
      </c>
      <c r="E3566" s="3"/>
      <c r="F3566">
        <v>2866</v>
      </c>
    </row>
    <row r="3567" spans="1:6" x14ac:dyDescent="0.25">
      <c r="A3567">
        <v>7888</v>
      </c>
      <c r="B3567" s="15">
        <v>45616</v>
      </c>
      <c r="C3567" s="106">
        <v>0.36458333333333331</v>
      </c>
      <c r="D3567" s="105">
        <v>0.80208333333333337</v>
      </c>
      <c r="E3567" s="3"/>
      <c r="F3567">
        <v>2867</v>
      </c>
    </row>
    <row r="3568" spans="1:6" x14ac:dyDescent="0.25">
      <c r="A3568">
        <v>7888</v>
      </c>
      <c r="B3568" s="15">
        <v>45617</v>
      </c>
      <c r="C3568" s="105">
        <v>0.35416666666666669</v>
      </c>
      <c r="D3568" s="106">
        <v>0.66666666666666663</v>
      </c>
      <c r="E3568" s="3"/>
      <c r="F3568">
        <v>2868</v>
      </c>
    </row>
    <row r="3569" spans="1:6" x14ac:dyDescent="0.25">
      <c r="A3569">
        <v>7888</v>
      </c>
      <c r="B3569" s="15">
        <v>45618</v>
      </c>
      <c r="C3569" s="106">
        <v>0.36458333333333331</v>
      </c>
      <c r="D3569" s="105">
        <v>0.80208333333333337</v>
      </c>
      <c r="E3569" s="3"/>
      <c r="F3569">
        <v>2869</v>
      </c>
    </row>
    <row r="3570" spans="1:6" x14ac:dyDescent="0.25">
      <c r="A3570">
        <v>7888</v>
      </c>
      <c r="B3570" s="15">
        <v>45619</v>
      </c>
      <c r="C3570" s="116" t="s">
        <v>167</v>
      </c>
      <c r="D3570" s="133"/>
      <c r="E3570" s="3"/>
      <c r="F3570">
        <v>2870</v>
      </c>
    </row>
    <row r="3571" spans="1:6" x14ac:dyDescent="0.25">
      <c r="A3571">
        <v>7888</v>
      </c>
      <c r="B3571" s="15">
        <v>45620</v>
      </c>
      <c r="C3571" s="133"/>
      <c r="D3571" s="133"/>
      <c r="E3571" s="3"/>
      <c r="F3571">
        <v>2871</v>
      </c>
    </row>
    <row r="3572" spans="1:6" x14ac:dyDescent="0.25">
      <c r="A3572">
        <v>7890</v>
      </c>
      <c r="B3572" s="15">
        <v>45264</v>
      </c>
      <c r="E3572" s="197" t="s">
        <v>266</v>
      </c>
      <c r="F3572">
        <v>3502</v>
      </c>
    </row>
    <row r="3573" spans="1:6" x14ac:dyDescent="0.25">
      <c r="A3573">
        <v>7890</v>
      </c>
      <c r="B3573" s="15">
        <v>45265</v>
      </c>
      <c r="E3573" s="197" t="s">
        <v>263</v>
      </c>
      <c r="F3573">
        <v>3503</v>
      </c>
    </row>
    <row r="3574" spans="1:6" x14ac:dyDescent="0.25">
      <c r="A3574">
        <v>7890</v>
      </c>
      <c r="B3574" s="15">
        <v>45266</v>
      </c>
      <c r="E3574" s="158"/>
      <c r="F3574">
        <v>3504</v>
      </c>
    </row>
    <row r="3575" spans="1:6" x14ac:dyDescent="0.25">
      <c r="A3575">
        <v>7890</v>
      </c>
      <c r="B3575" s="15">
        <v>45267</v>
      </c>
      <c r="E3575" s="117" t="s">
        <v>1</v>
      </c>
      <c r="F3575">
        <v>3505</v>
      </c>
    </row>
    <row r="3576" spans="1:6" x14ac:dyDescent="0.25">
      <c r="A3576">
        <v>7890</v>
      </c>
      <c r="B3576" s="15">
        <v>45268</v>
      </c>
      <c r="E3576" s="120" t="s">
        <v>1</v>
      </c>
      <c r="F3576">
        <v>3506</v>
      </c>
    </row>
    <row r="3577" spans="1:6" x14ac:dyDescent="0.25">
      <c r="A3577">
        <v>7890</v>
      </c>
      <c r="B3577" s="15">
        <v>45269</v>
      </c>
      <c r="E3577" s="157"/>
      <c r="F3577">
        <v>3507</v>
      </c>
    </row>
    <row r="3578" spans="1:6" x14ac:dyDescent="0.25">
      <c r="A3578">
        <v>7890</v>
      </c>
      <c r="B3578" s="15">
        <v>45270</v>
      </c>
      <c r="E3578" s="157"/>
      <c r="F3578">
        <v>3508</v>
      </c>
    </row>
    <row r="3579" spans="1:6" x14ac:dyDescent="0.25">
      <c r="A3579">
        <v>7890</v>
      </c>
      <c r="B3579" s="15">
        <v>45271</v>
      </c>
      <c r="E3579" s="159" t="s">
        <v>263</v>
      </c>
      <c r="F3579">
        <v>3509</v>
      </c>
    </row>
    <row r="3580" spans="1:6" x14ac:dyDescent="0.25">
      <c r="A3580">
        <v>7890</v>
      </c>
      <c r="B3580" s="15">
        <v>45272</v>
      </c>
      <c r="E3580" s="159" t="s">
        <v>266</v>
      </c>
      <c r="F3580">
        <v>3510</v>
      </c>
    </row>
    <row r="3581" spans="1:6" x14ac:dyDescent="0.25">
      <c r="A3581">
        <v>7890</v>
      </c>
      <c r="B3581" s="15">
        <v>45273</v>
      </c>
      <c r="E3581" s="157"/>
      <c r="F3581">
        <v>3511</v>
      </c>
    </row>
    <row r="3582" spans="1:6" x14ac:dyDescent="0.25">
      <c r="A3582">
        <v>7890</v>
      </c>
      <c r="B3582" s="15">
        <v>45274</v>
      </c>
      <c r="E3582" s="120" t="s">
        <v>1</v>
      </c>
      <c r="F3582">
        <v>3512</v>
      </c>
    </row>
    <row r="3583" spans="1:6" x14ac:dyDescent="0.25">
      <c r="A3583">
        <v>7890</v>
      </c>
      <c r="B3583" s="15">
        <v>45275</v>
      </c>
      <c r="E3583" s="117" t="s">
        <v>1</v>
      </c>
      <c r="F3583">
        <v>3513</v>
      </c>
    </row>
    <row r="3584" spans="1:6" x14ac:dyDescent="0.25">
      <c r="A3584">
        <v>7890</v>
      </c>
      <c r="B3584" s="15">
        <v>45276</v>
      </c>
      <c r="E3584" s="121" t="s">
        <v>1</v>
      </c>
      <c r="F3584">
        <v>3514</v>
      </c>
    </row>
    <row r="3585" spans="1:6" x14ac:dyDescent="0.25">
      <c r="A3585">
        <v>7890</v>
      </c>
      <c r="B3585" s="15">
        <v>45277</v>
      </c>
      <c r="E3585" s="157"/>
      <c r="F3585">
        <v>3515</v>
      </c>
    </row>
    <row r="3586" spans="1:6" x14ac:dyDescent="0.25">
      <c r="A3586">
        <v>7890</v>
      </c>
      <c r="B3586" s="15">
        <v>45278</v>
      </c>
      <c r="E3586" s="120" t="s">
        <v>1</v>
      </c>
      <c r="F3586">
        <v>3516</v>
      </c>
    </row>
    <row r="3587" spans="1:6" x14ac:dyDescent="0.25">
      <c r="A3587">
        <v>7890</v>
      </c>
      <c r="B3587" s="15">
        <v>45279</v>
      </c>
      <c r="E3587" s="117" t="s">
        <v>1</v>
      </c>
      <c r="F3587">
        <v>3517</v>
      </c>
    </row>
    <row r="3588" spans="1:6" x14ac:dyDescent="0.25">
      <c r="A3588">
        <v>7890</v>
      </c>
      <c r="B3588" s="15">
        <v>45280</v>
      </c>
      <c r="E3588" s="158"/>
      <c r="F3588">
        <v>3518</v>
      </c>
    </row>
    <row r="3589" spans="1:6" x14ac:dyDescent="0.25">
      <c r="A3589">
        <v>7890</v>
      </c>
      <c r="B3589" s="15">
        <v>45281</v>
      </c>
      <c r="E3589" s="117" t="s">
        <v>1</v>
      </c>
      <c r="F3589">
        <v>3519</v>
      </c>
    </row>
    <row r="3590" spans="1:6" x14ac:dyDescent="0.25">
      <c r="A3590">
        <v>7890</v>
      </c>
      <c r="B3590" s="15">
        <v>45282</v>
      </c>
      <c r="E3590" s="120" t="s">
        <v>1</v>
      </c>
      <c r="F3590">
        <v>3520</v>
      </c>
    </row>
    <row r="3591" spans="1:6" x14ac:dyDescent="0.25">
      <c r="A3591">
        <v>7890</v>
      </c>
      <c r="B3591" s="15">
        <v>45283</v>
      </c>
      <c r="E3591" s="157"/>
      <c r="F3591">
        <v>3521</v>
      </c>
    </row>
    <row r="3592" spans="1:6" x14ac:dyDescent="0.25">
      <c r="A3592">
        <v>7890</v>
      </c>
      <c r="B3592" s="15">
        <v>45284</v>
      </c>
      <c r="E3592" s="157"/>
      <c r="F3592">
        <v>3522</v>
      </c>
    </row>
    <row r="3593" spans="1:6" x14ac:dyDescent="0.25">
      <c r="A3593">
        <v>7890</v>
      </c>
      <c r="B3593" s="15">
        <v>45285</v>
      </c>
      <c r="E3593" s="119"/>
      <c r="F3593">
        <v>3523</v>
      </c>
    </row>
    <row r="3594" spans="1:6" x14ac:dyDescent="0.25">
      <c r="A3594">
        <v>7890</v>
      </c>
      <c r="B3594" s="15">
        <v>45286</v>
      </c>
      <c r="E3594" s="120" t="s">
        <v>2</v>
      </c>
      <c r="F3594">
        <v>3524</v>
      </c>
    </row>
    <row r="3595" spans="1:6" x14ac:dyDescent="0.25">
      <c r="A3595">
        <v>7890</v>
      </c>
      <c r="B3595" s="15">
        <v>45287</v>
      </c>
      <c r="E3595" s="157"/>
      <c r="F3595">
        <v>3525</v>
      </c>
    </row>
    <row r="3596" spans="1:6" x14ac:dyDescent="0.25">
      <c r="A3596">
        <v>7890</v>
      </c>
      <c r="B3596" s="15">
        <v>45288</v>
      </c>
      <c r="E3596" s="120" t="s">
        <v>2</v>
      </c>
      <c r="F3596">
        <v>3526</v>
      </c>
    </row>
    <row r="3597" spans="1:6" x14ac:dyDescent="0.25">
      <c r="A3597">
        <v>7890</v>
      </c>
      <c r="B3597" s="15">
        <v>45289</v>
      </c>
      <c r="E3597" s="117" t="s">
        <v>2</v>
      </c>
      <c r="F3597">
        <v>3527</v>
      </c>
    </row>
    <row r="3598" spans="1:6" x14ac:dyDescent="0.25">
      <c r="A3598">
        <v>7890</v>
      </c>
      <c r="B3598" s="15">
        <v>45290</v>
      </c>
      <c r="E3598" s="121" t="s">
        <v>2</v>
      </c>
      <c r="F3598">
        <v>3528</v>
      </c>
    </row>
    <row r="3599" spans="1:6" x14ac:dyDescent="0.25">
      <c r="A3599">
        <v>7890</v>
      </c>
      <c r="B3599" s="15">
        <v>45291</v>
      </c>
      <c r="E3599" s="157"/>
      <c r="F3599">
        <v>3529</v>
      </c>
    </row>
    <row r="3600" spans="1:6" x14ac:dyDescent="0.25">
      <c r="A3600">
        <v>7890</v>
      </c>
      <c r="B3600" s="15">
        <v>45292</v>
      </c>
      <c r="E3600" s="119"/>
      <c r="F3600">
        <v>4244</v>
      </c>
    </row>
    <row r="3601" spans="1:6" x14ac:dyDescent="0.25">
      <c r="A3601">
        <v>7890</v>
      </c>
      <c r="B3601" s="15">
        <v>45293</v>
      </c>
      <c r="E3601" s="197" t="s">
        <v>263</v>
      </c>
      <c r="F3601">
        <v>4245</v>
      </c>
    </row>
    <row r="3602" spans="1:6" x14ac:dyDescent="0.25">
      <c r="A3602">
        <v>7890</v>
      </c>
      <c r="B3602" s="15">
        <v>45294</v>
      </c>
      <c r="E3602" s="158"/>
      <c r="F3602">
        <v>4246</v>
      </c>
    </row>
    <row r="3603" spans="1:6" x14ac:dyDescent="0.25">
      <c r="A3603">
        <v>7890</v>
      </c>
      <c r="B3603" s="15">
        <v>45295</v>
      </c>
      <c r="E3603" s="160" t="s">
        <v>263</v>
      </c>
      <c r="F3603">
        <v>4247</v>
      </c>
    </row>
    <row r="3604" spans="1:6" x14ac:dyDescent="0.25">
      <c r="A3604">
        <v>7890</v>
      </c>
      <c r="B3604" s="15">
        <v>45296</v>
      </c>
      <c r="E3604" s="160" t="s">
        <v>266</v>
      </c>
      <c r="F3604">
        <v>4248</v>
      </c>
    </row>
    <row r="3605" spans="1:6" x14ac:dyDescent="0.25">
      <c r="A3605">
        <v>7890</v>
      </c>
      <c r="B3605" s="15">
        <v>45297</v>
      </c>
      <c r="E3605" s="157"/>
      <c r="F3605">
        <v>4249</v>
      </c>
    </row>
    <row r="3606" spans="1:6" x14ac:dyDescent="0.25">
      <c r="A3606">
        <v>7890</v>
      </c>
      <c r="B3606" s="15">
        <v>45298</v>
      </c>
      <c r="E3606" s="157"/>
      <c r="F3606">
        <v>4250</v>
      </c>
    </row>
    <row r="3607" spans="1:6" x14ac:dyDescent="0.25">
      <c r="A3607">
        <v>7890</v>
      </c>
      <c r="B3607" s="15">
        <v>45299</v>
      </c>
      <c r="E3607" s="197" t="s">
        <v>263</v>
      </c>
      <c r="F3607">
        <v>4251</v>
      </c>
    </row>
    <row r="3608" spans="1:6" x14ac:dyDescent="0.25">
      <c r="A3608">
        <v>7890</v>
      </c>
      <c r="B3608" s="15">
        <v>45300</v>
      </c>
      <c r="E3608" s="197" t="s">
        <v>266</v>
      </c>
      <c r="F3608">
        <v>4252</v>
      </c>
    </row>
    <row r="3609" spans="1:6" x14ac:dyDescent="0.25">
      <c r="A3609">
        <v>7890</v>
      </c>
      <c r="B3609" s="15">
        <v>45301</v>
      </c>
      <c r="E3609" s="157"/>
      <c r="F3609">
        <v>4253</v>
      </c>
    </row>
    <row r="3610" spans="1:6" x14ac:dyDescent="0.25">
      <c r="A3610">
        <v>7890</v>
      </c>
      <c r="B3610" s="15">
        <v>45302</v>
      </c>
      <c r="E3610" s="160" t="s">
        <v>266</v>
      </c>
      <c r="F3610">
        <v>4254</v>
      </c>
    </row>
    <row r="3611" spans="1:6" x14ac:dyDescent="0.25">
      <c r="A3611">
        <v>7890</v>
      </c>
      <c r="B3611" s="15">
        <v>45303</v>
      </c>
      <c r="E3611" s="160" t="s">
        <v>263</v>
      </c>
      <c r="F3611">
        <v>4255</v>
      </c>
    </row>
    <row r="3612" spans="1:6" x14ac:dyDescent="0.25">
      <c r="A3612">
        <v>7890</v>
      </c>
      <c r="B3612" s="15">
        <v>45304</v>
      </c>
      <c r="E3612" s="197" t="s">
        <v>175</v>
      </c>
      <c r="F3612">
        <v>4256</v>
      </c>
    </row>
    <row r="3613" spans="1:6" x14ac:dyDescent="0.25">
      <c r="A3613">
        <v>7890</v>
      </c>
      <c r="B3613" s="15">
        <v>45305</v>
      </c>
      <c r="E3613" s="157"/>
      <c r="F3613">
        <v>4257</v>
      </c>
    </row>
    <row r="3614" spans="1:6" x14ac:dyDescent="0.25">
      <c r="A3614">
        <v>7890</v>
      </c>
      <c r="B3614" s="15">
        <v>45306</v>
      </c>
      <c r="E3614" s="197" t="s">
        <v>266</v>
      </c>
      <c r="F3614">
        <v>4258</v>
      </c>
    </row>
    <row r="3615" spans="1:6" x14ac:dyDescent="0.25">
      <c r="A3615">
        <v>7890</v>
      </c>
      <c r="B3615" s="15">
        <v>45307</v>
      </c>
      <c r="E3615" s="197" t="s">
        <v>263</v>
      </c>
      <c r="F3615">
        <v>4259</v>
      </c>
    </row>
    <row r="3616" spans="1:6" x14ac:dyDescent="0.25">
      <c r="A3616">
        <v>7890</v>
      </c>
      <c r="B3616" s="15">
        <v>45308</v>
      </c>
      <c r="E3616" s="158"/>
      <c r="F3616">
        <v>4260</v>
      </c>
    </row>
    <row r="3617" spans="1:6" x14ac:dyDescent="0.25">
      <c r="A3617">
        <v>7890</v>
      </c>
      <c r="B3617" s="15">
        <v>45309</v>
      </c>
      <c r="E3617" s="160" t="s">
        <v>263</v>
      </c>
      <c r="F3617">
        <v>4261</v>
      </c>
    </row>
    <row r="3618" spans="1:6" x14ac:dyDescent="0.25">
      <c r="A3618">
        <v>7890</v>
      </c>
      <c r="B3618" s="15">
        <v>45310</v>
      </c>
      <c r="E3618" s="160" t="s">
        <v>266</v>
      </c>
      <c r="F3618">
        <v>4262</v>
      </c>
    </row>
    <row r="3619" spans="1:6" x14ac:dyDescent="0.25">
      <c r="A3619">
        <v>7890</v>
      </c>
      <c r="B3619" s="15">
        <v>45311</v>
      </c>
      <c r="E3619" s="157"/>
      <c r="F3619">
        <v>4263</v>
      </c>
    </row>
    <row r="3620" spans="1:6" x14ac:dyDescent="0.25">
      <c r="A3620">
        <v>7890</v>
      </c>
      <c r="B3620" s="15">
        <v>45312</v>
      </c>
      <c r="E3620" s="157"/>
      <c r="F3620">
        <v>4264</v>
      </c>
    </row>
    <row r="3621" spans="1:6" x14ac:dyDescent="0.25">
      <c r="A3621">
        <v>7890</v>
      </c>
      <c r="B3621" s="15">
        <v>45313</v>
      </c>
      <c r="E3621" s="197" t="s">
        <v>263</v>
      </c>
      <c r="F3621">
        <v>4265</v>
      </c>
    </row>
    <row r="3622" spans="1:6" x14ac:dyDescent="0.25">
      <c r="A3622">
        <v>7890</v>
      </c>
      <c r="B3622" s="15">
        <v>45314</v>
      </c>
      <c r="E3622" s="197" t="s">
        <v>266</v>
      </c>
      <c r="F3622">
        <v>4266</v>
      </c>
    </row>
    <row r="3623" spans="1:6" x14ac:dyDescent="0.25">
      <c r="A3623">
        <v>7890</v>
      </c>
      <c r="B3623" s="15">
        <v>45315</v>
      </c>
      <c r="E3623" s="157"/>
      <c r="F3623">
        <v>4267</v>
      </c>
    </row>
    <row r="3624" spans="1:6" x14ac:dyDescent="0.25">
      <c r="A3624">
        <v>7890</v>
      </c>
      <c r="B3624" s="15">
        <v>45316</v>
      </c>
      <c r="E3624" s="160" t="s">
        <v>266</v>
      </c>
      <c r="F3624">
        <v>4268</v>
      </c>
    </row>
    <row r="3625" spans="1:6" x14ac:dyDescent="0.25">
      <c r="A3625">
        <v>7890</v>
      </c>
      <c r="B3625" s="15">
        <v>45317</v>
      </c>
      <c r="E3625" s="160" t="s">
        <v>263</v>
      </c>
      <c r="F3625">
        <v>4269</v>
      </c>
    </row>
    <row r="3626" spans="1:6" x14ac:dyDescent="0.25">
      <c r="A3626">
        <v>7890</v>
      </c>
      <c r="B3626" s="15">
        <v>45318</v>
      </c>
      <c r="E3626" s="197" t="s">
        <v>175</v>
      </c>
      <c r="F3626">
        <v>4270</v>
      </c>
    </row>
    <row r="3627" spans="1:6" x14ac:dyDescent="0.25">
      <c r="A3627">
        <v>7890</v>
      </c>
      <c r="B3627" s="15">
        <v>45319</v>
      </c>
      <c r="E3627" s="157"/>
      <c r="F3627">
        <v>4271</v>
      </c>
    </row>
    <row r="3628" spans="1:6" x14ac:dyDescent="0.25">
      <c r="A3628">
        <v>7890</v>
      </c>
      <c r="B3628" s="15">
        <v>45320</v>
      </c>
      <c r="E3628" s="197" t="s">
        <v>266</v>
      </c>
      <c r="F3628">
        <v>4272</v>
      </c>
    </row>
    <row r="3629" spans="1:6" x14ac:dyDescent="0.25">
      <c r="A3629">
        <v>7890</v>
      </c>
      <c r="B3629" s="15">
        <v>45321</v>
      </c>
      <c r="E3629" s="197" t="s">
        <v>263</v>
      </c>
      <c r="F3629">
        <v>4273</v>
      </c>
    </row>
    <row r="3630" spans="1:6" x14ac:dyDescent="0.25">
      <c r="A3630">
        <v>7890</v>
      </c>
      <c r="B3630" s="15">
        <v>45322</v>
      </c>
      <c r="E3630" s="158"/>
      <c r="F3630">
        <v>4274</v>
      </c>
    </row>
    <row r="3631" spans="1:6" x14ac:dyDescent="0.25">
      <c r="A3631">
        <v>7890</v>
      </c>
      <c r="B3631" s="15">
        <v>45323</v>
      </c>
      <c r="E3631" s="160" t="s">
        <v>263</v>
      </c>
      <c r="F3631">
        <v>4275</v>
      </c>
    </row>
    <row r="3632" spans="1:6" x14ac:dyDescent="0.25">
      <c r="A3632">
        <v>7890</v>
      </c>
      <c r="B3632" s="15">
        <v>45324</v>
      </c>
      <c r="E3632" s="160" t="s">
        <v>266</v>
      </c>
      <c r="F3632">
        <v>4276</v>
      </c>
    </row>
    <row r="3633" spans="1:6" x14ac:dyDescent="0.25">
      <c r="A3633">
        <v>7890</v>
      </c>
      <c r="B3633" s="15">
        <v>45325</v>
      </c>
      <c r="E3633" s="157"/>
      <c r="F3633">
        <v>4277</v>
      </c>
    </row>
    <row r="3634" spans="1:6" x14ac:dyDescent="0.25">
      <c r="A3634">
        <v>7890</v>
      </c>
      <c r="B3634" s="15">
        <v>45326</v>
      </c>
      <c r="E3634" s="157"/>
      <c r="F3634">
        <v>4278</v>
      </c>
    </row>
    <row r="3635" spans="1:6" x14ac:dyDescent="0.25">
      <c r="A3635">
        <v>7890</v>
      </c>
      <c r="B3635" s="15">
        <v>45327</v>
      </c>
      <c r="E3635" s="197" t="s">
        <v>263</v>
      </c>
      <c r="F3635">
        <v>5105</v>
      </c>
    </row>
    <row r="3636" spans="1:6" x14ac:dyDescent="0.25">
      <c r="A3636">
        <v>7890</v>
      </c>
      <c r="B3636" s="15">
        <v>45328</v>
      </c>
      <c r="E3636" s="197" t="s">
        <v>266</v>
      </c>
      <c r="F3636">
        <v>5106</v>
      </c>
    </row>
    <row r="3637" spans="1:6" x14ac:dyDescent="0.25">
      <c r="A3637">
        <v>7890</v>
      </c>
      <c r="B3637" s="15">
        <v>45329</v>
      </c>
      <c r="E3637" s="157"/>
      <c r="F3637">
        <v>5107</v>
      </c>
    </row>
    <row r="3638" spans="1:6" x14ac:dyDescent="0.25">
      <c r="A3638">
        <v>7890</v>
      </c>
      <c r="B3638" s="15">
        <v>45330</v>
      </c>
      <c r="E3638" s="160" t="s">
        <v>266</v>
      </c>
      <c r="F3638">
        <v>5108</v>
      </c>
    </row>
    <row r="3639" spans="1:6" x14ac:dyDescent="0.25">
      <c r="A3639">
        <v>7890</v>
      </c>
      <c r="B3639" s="15">
        <v>45331</v>
      </c>
      <c r="E3639" s="160" t="s">
        <v>263</v>
      </c>
      <c r="F3639">
        <v>5109</v>
      </c>
    </row>
    <row r="3640" spans="1:6" x14ac:dyDescent="0.25">
      <c r="A3640">
        <v>7890</v>
      </c>
      <c r="B3640" s="15">
        <v>45332</v>
      </c>
      <c r="E3640" s="197" t="s">
        <v>175</v>
      </c>
      <c r="F3640">
        <v>5110</v>
      </c>
    </row>
    <row r="3641" spans="1:6" x14ac:dyDescent="0.25">
      <c r="A3641">
        <v>7890</v>
      </c>
      <c r="B3641" s="15">
        <v>45333</v>
      </c>
      <c r="E3641" s="157"/>
      <c r="F3641">
        <v>5111</v>
      </c>
    </row>
    <row r="3642" spans="1:6" x14ac:dyDescent="0.25">
      <c r="A3642">
        <v>7890</v>
      </c>
      <c r="B3642" s="15">
        <v>45334</v>
      </c>
      <c r="E3642" s="120" t="s">
        <v>2</v>
      </c>
      <c r="F3642">
        <v>5112</v>
      </c>
    </row>
    <row r="3643" spans="1:6" x14ac:dyDescent="0.25">
      <c r="A3643">
        <v>7890</v>
      </c>
      <c r="B3643" s="15">
        <v>45335</v>
      </c>
      <c r="E3643" s="117" t="s">
        <v>2</v>
      </c>
      <c r="F3643">
        <v>5113</v>
      </c>
    </row>
    <row r="3644" spans="1:6" x14ac:dyDescent="0.25">
      <c r="A3644">
        <v>7890</v>
      </c>
      <c r="B3644" s="15">
        <v>45336</v>
      </c>
      <c r="E3644" s="158"/>
      <c r="F3644">
        <v>5114</v>
      </c>
    </row>
    <row r="3645" spans="1:6" x14ac:dyDescent="0.25">
      <c r="A3645">
        <v>7890</v>
      </c>
      <c r="B3645" s="15">
        <v>45337</v>
      </c>
      <c r="E3645" s="117" t="s">
        <v>2</v>
      </c>
      <c r="F3645">
        <v>5115</v>
      </c>
    </row>
    <row r="3646" spans="1:6" x14ac:dyDescent="0.25">
      <c r="A3646">
        <v>7890</v>
      </c>
      <c r="B3646" s="15">
        <v>45338</v>
      </c>
      <c r="E3646" s="120" t="s">
        <v>2</v>
      </c>
      <c r="F3646">
        <v>5116</v>
      </c>
    </row>
    <row r="3647" spans="1:6" x14ac:dyDescent="0.25">
      <c r="A3647">
        <v>7890</v>
      </c>
      <c r="B3647" s="15">
        <v>45339</v>
      </c>
      <c r="E3647" s="157"/>
      <c r="F3647">
        <v>5117</v>
      </c>
    </row>
    <row r="3648" spans="1:6" x14ac:dyDescent="0.25">
      <c r="A3648">
        <v>7890</v>
      </c>
      <c r="B3648" s="15">
        <v>45340</v>
      </c>
      <c r="E3648" s="157"/>
      <c r="F3648">
        <v>5118</v>
      </c>
    </row>
    <row r="3649" spans="1:6" x14ac:dyDescent="0.25">
      <c r="A3649">
        <v>7890</v>
      </c>
      <c r="B3649" s="15">
        <v>45341</v>
      </c>
      <c r="E3649" s="197" t="s">
        <v>263</v>
      </c>
      <c r="F3649">
        <v>5119</v>
      </c>
    </row>
    <row r="3650" spans="1:6" x14ac:dyDescent="0.25">
      <c r="A3650">
        <v>7890</v>
      </c>
      <c r="B3650" s="15">
        <v>45342</v>
      </c>
      <c r="E3650" s="197" t="s">
        <v>266</v>
      </c>
      <c r="F3650">
        <v>5120</v>
      </c>
    </row>
    <row r="3651" spans="1:6" x14ac:dyDescent="0.25">
      <c r="A3651">
        <v>7890</v>
      </c>
      <c r="B3651" s="15">
        <v>45343</v>
      </c>
      <c r="E3651" s="157"/>
      <c r="F3651">
        <v>5121</v>
      </c>
    </row>
    <row r="3652" spans="1:6" x14ac:dyDescent="0.25">
      <c r="A3652">
        <v>7890</v>
      </c>
      <c r="B3652" s="15">
        <v>45344</v>
      </c>
      <c r="E3652" s="160" t="s">
        <v>266</v>
      </c>
      <c r="F3652">
        <v>5122</v>
      </c>
    </row>
    <row r="3653" spans="1:6" x14ac:dyDescent="0.25">
      <c r="A3653">
        <v>7890</v>
      </c>
      <c r="B3653" s="15">
        <v>45345</v>
      </c>
      <c r="E3653" s="160" t="s">
        <v>263</v>
      </c>
      <c r="F3653">
        <v>5123</v>
      </c>
    </row>
    <row r="3654" spans="1:6" x14ac:dyDescent="0.25">
      <c r="A3654">
        <v>7890</v>
      </c>
      <c r="B3654" s="15">
        <v>45346</v>
      </c>
      <c r="E3654" s="197" t="s">
        <v>175</v>
      </c>
      <c r="F3654">
        <v>5124</v>
      </c>
    </row>
    <row r="3655" spans="1:6" x14ac:dyDescent="0.25">
      <c r="A3655">
        <v>7890</v>
      </c>
      <c r="B3655" s="15">
        <v>45347</v>
      </c>
      <c r="E3655" s="157"/>
      <c r="F3655">
        <v>5125</v>
      </c>
    </row>
    <row r="3656" spans="1:6" x14ac:dyDescent="0.25">
      <c r="A3656">
        <v>7890</v>
      </c>
      <c r="B3656" s="15">
        <v>45348</v>
      </c>
      <c r="E3656" s="197" t="s">
        <v>266</v>
      </c>
      <c r="F3656">
        <v>5126</v>
      </c>
    </row>
    <row r="3657" spans="1:6" x14ac:dyDescent="0.25">
      <c r="A3657">
        <v>7890</v>
      </c>
      <c r="B3657" s="15">
        <v>45349</v>
      </c>
      <c r="E3657" s="197" t="s">
        <v>263</v>
      </c>
      <c r="F3657">
        <v>5127</v>
      </c>
    </row>
    <row r="3658" spans="1:6" x14ac:dyDescent="0.25">
      <c r="A3658">
        <v>7890</v>
      </c>
      <c r="B3658" s="15">
        <v>45350</v>
      </c>
      <c r="E3658" s="158"/>
      <c r="F3658">
        <v>5128</v>
      </c>
    </row>
    <row r="3659" spans="1:6" x14ac:dyDescent="0.25">
      <c r="A3659">
        <v>7890</v>
      </c>
      <c r="B3659" s="15">
        <v>45351</v>
      </c>
      <c r="E3659" s="160" t="s">
        <v>263</v>
      </c>
      <c r="F3659">
        <v>5129</v>
      </c>
    </row>
    <row r="3660" spans="1:6" x14ac:dyDescent="0.25">
      <c r="A3660">
        <v>7890</v>
      </c>
      <c r="B3660" s="15">
        <v>45352</v>
      </c>
      <c r="E3660" s="160" t="s">
        <v>266</v>
      </c>
      <c r="F3660">
        <v>5130</v>
      </c>
    </row>
    <row r="3661" spans="1:6" x14ac:dyDescent="0.25">
      <c r="A3661">
        <v>7890</v>
      </c>
      <c r="B3661" s="15">
        <v>45353</v>
      </c>
      <c r="E3661" s="157"/>
      <c r="F3661">
        <v>5131</v>
      </c>
    </row>
    <row r="3662" spans="1:6" x14ac:dyDescent="0.25">
      <c r="A3662">
        <v>7890</v>
      </c>
      <c r="B3662" s="15">
        <v>45354</v>
      </c>
      <c r="E3662" s="157"/>
      <c r="F3662">
        <v>5132</v>
      </c>
    </row>
    <row r="3663" spans="1:6" x14ac:dyDescent="0.25">
      <c r="A3663">
        <v>7890</v>
      </c>
      <c r="B3663" s="15">
        <v>45355</v>
      </c>
      <c r="E3663" s="117" t="s">
        <v>2</v>
      </c>
      <c r="F3663">
        <v>5805</v>
      </c>
    </row>
    <row r="3664" spans="1:6" x14ac:dyDescent="0.25">
      <c r="A3664">
        <v>7890</v>
      </c>
      <c r="B3664" s="15">
        <v>45356</v>
      </c>
      <c r="E3664" s="120" t="s">
        <v>2</v>
      </c>
      <c r="F3664">
        <v>5806</v>
      </c>
    </row>
    <row r="3665" spans="1:6" x14ac:dyDescent="0.25">
      <c r="A3665">
        <v>7890</v>
      </c>
      <c r="B3665" s="15">
        <v>45357</v>
      </c>
      <c r="E3665" s="157"/>
      <c r="F3665">
        <v>5807</v>
      </c>
    </row>
    <row r="3666" spans="1:6" x14ac:dyDescent="0.25">
      <c r="A3666">
        <v>7890</v>
      </c>
      <c r="B3666" s="15">
        <v>45358</v>
      </c>
      <c r="E3666" s="120" t="s">
        <v>2</v>
      </c>
      <c r="F3666">
        <v>5808</v>
      </c>
    </row>
    <row r="3667" spans="1:6" x14ac:dyDescent="0.25">
      <c r="A3667">
        <v>7890</v>
      </c>
      <c r="B3667" s="15">
        <v>45359</v>
      </c>
      <c r="E3667" s="117" t="s">
        <v>2</v>
      </c>
      <c r="F3667">
        <v>5809</v>
      </c>
    </row>
    <row r="3668" spans="1:6" x14ac:dyDescent="0.25">
      <c r="A3668">
        <v>7890</v>
      </c>
      <c r="B3668" s="15">
        <v>45360</v>
      </c>
      <c r="E3668" s="121" t="s">
        <v>2</v>
      </c>
      <c r="F3668">
        <v>5810</v>
      </c>
    </row>
    <row r="3669" spans="1:6" x14ac:dyDescent="0.25">
      <c r="A3669">
        <v>7890</v>
      </c>
      <c r="B3669" s="15">
        <v>45361</v>
      </c>
      <c r="E3669" s="157"/>
      <c r="F3669">
        <v>5811</v>
      </c>
    </row>
    <row r="3670" spans="1:6" x14ac:dyDescent="0.25">
      <c r="A3670">
        <v>7890</v>
      </c>
      <c r="B3670" s="15">
        <v>45362</v>
      </c>
      <c r="E3670" s="197" t="s">
        <v>266</v>
      </c>
      <c r="F3670">
        <v>5812</v>
      </c>
    </row>
    <row r="3671" spans="1:6" x14ac:dyDescent="0.25">
      <c r="A3671">
        <v>7890</v>
      </c>
      <c r="B3671" s="15">
        <v>45363</v>
      </c>
      <c r="E3671" s="197" t="s">
        <v>263</v>
      </c>
      <c r="F3671">
        <v>5813</v>
      </c>
    </row>
    <row r="3672" spans="1:6" x14ac:dyDescent="0.25">
      <c r="A3672">
        <v>7890</v>
      </c>
      <c r="B3672" s="15">
        <v>45364</v>
      </c>
      <c r="E3672" s="158"/>
      <c r="F3672">
        <v>5814</v>
      </c>
    </row>
    <row r="3673" spans="1:6" x14ac:dyDescent="0.25">
      <c r="A3673">
        <v>7890</v>
      </c>
      <c r="B3673" s="15">
        <v>45365</v>
      </c>
      <c r="E3673" s="117" t="s">
        <v>2</v>
      </c>
      <c r="F3673">
        <v>5815</v>
      </c>
    </row>
    <row r="3674" spans="1:6" x14ac:dyDescent="0.25">
      <c r="A3674">
        <v>7890</v>
      </c>
      <c r="B3674" s="15">
        <v>45366</v>
      </c>
      <c r="E3674" s="120" t="s">
        <v>2</v>
      </c>
      <c r="F3674">
        <v>5816</v>
      </c>
    </row>
    <row r="3675" spans="1:6" x14ac:dyDescent="0.25">
      <c r="A3675">
        <v>7890</v>
      </c>
      <c r="B3675" s="15">
        <v>45367</v>
      </c>
      <c r="E3675" s="157"/>
      <c r="F3675">
        <v>5817</v>
      </c>
    </row>
    <row r="3676" spans="1:6" x14ac:dyDescent="0.25">
      <c r="A3676">
        <v>7890</v>
      </c>
      <c r="B3676" s="15">
        <v>45368</v>
      </c>
      <c r="E3676" s="157"/>
      <c r="F3676">
        <v>5818</v>
      </c>
    </row>
    <row r="3677" spans="1:6" x14ac:dyDescent="0.25">
      <c r="A3677">
        <v>7890</v>
      </c>
      <c r="B3677" s="15">
        <v>45369</v>
      </c>
      <c r="E3677" s="197" t="s">
        <v>263</v>
      </c>
      <c r="F3677">
        <v>5819</v>
      </c>
    </row>
    <row r="3678" spans="1:6" x14ac:dyDescent="0.25">
      <c r="A3678">
        <v>7890</v>
      </c>
      <c r="B3678" s="15">
        <v>45370</v>
      </c>
      <c r="E3678" s="197" t="s">
        <v>266</v>
      </c>
      <c r="F3678">
        <v>5820</v>
      </c>
    </row>
    <row r="3679" spans="1:6" x14ac:dyDescent="0.25">
      <c r="A3679">
        <v>7890</v>
      </c>
      <c r="B3679" s="15">
        <v>45371</v>
      </c>
      <c r="E3679" s="157"/>
      <c r="F3679">
        <v>5821</v>
      </c>
    </row>
    <row r="3680" spans="1:6" x14ac:dyDescent="0.25">
      <c r="A3680">
        <v>7890</v>
      </c>
      <c r="B3680" s="15">
        <v>45372</v>
      </c>
      <c r="E3680" s="160" t="s">
        <v>266</v>
      </c>
      <c r="F3680">
        <v>5822</v>
      </c>
    </row>
    <row r="3681" spans="1:6" x14ac:dyDescent="0.25">
      <c r="A3681">
        <v>7890</v>
      </c>
      <c r="B3681" s="15">
        <v>45373</v>
      </c>
      <c r="E3681" s="160" t="s">
        <v>263</v>
      </c>
      <c r="F3681">
        <v>5823</v>
      </c>
    </row>
    <row r="3682" spans="1:6" x14ac:dyDescent="0.25">
      <c r="A3682">
        <v>7890</v>
      </c>
      <c r="B3682" s="15">
        <v>45374</v>
      </c>
      <c r="E3682" s="197" t="s">
        <v>175</v>
      </c>
      <c r="F3682">
        <v>5824</v>
      </c>
    </row>
    <row r="3683" spans="1:6" x14ac:dyDescent="0.25">
      <c r="A3683">
        <v>7890</v>
      </c>
      <c r="B3683" s="15">
        <v>45375</v>
      </c>
      <c r="E3683" s="157"/>
      <c r="F3683">
        <v>5825</v>
      </c>
    </row>
    <row r="3684" spans="1:6" x14ac:dyDescent="0.25">
      <c r="A3684">
        <v>7890</v>
      </c>
      <c r="B3684" s="15">
        <v>45376</v>
      </c>
      <c r="E3684" s="197" t="s">
        <v>266</v>
      </c>
      <c r="F3684">
        <v>5826</v>
      </c>
    </row>
    <row r="3685" spans="1:6" x14ac:dyDescent="0.25">
      <c r="A3685">
        <v>7890</v>
      </c>
      <c r="B3685" s="15">
        <v>45377</v>
      </c>
      <c r="E3685" s="197" t="s">
        <v>263</v>
      </c>
      <c r="F3685">
        <v>5827</v>
      </c>
    </row>
    <row r="3686" spans="1:6" x14ac:dyDescent="0.25">
      <c r="A3686">
        <v>7890</v>
      </c>
      <c r="B3686" s="15">
        <v>45378</v>
      </c>
      <c r="E3686" s="158"/>
      <c r="F3686">
        <v>5828</v>
      </c>
    </row>
    <row r="3687" spans="1:6" x14ac:dyDescent="0.25">
      <c r="A3687">
        <v>7890</v>
      </c>
      <c r="B3687" s="15">
        <v>45379</v>
      </c>
      <c r="E3687" s="160" t="s">
        <v>263</v>
      </c>
      <c r="F3687">
        <v>5829</v>
      </c>
    </row>
    <row r="3688" spans="1:6" x14ac:dyDescent="0.25">
      <c r="A3688">
        <v>7890</v>
      </c>
      <c r="B3688" s="15">
        <v>45380</v>
      </c>
      <c r="E3688" s="160" t="s">
        <v>266</v>
      </c>
      <c r="F3688">
        <v>5830</v>
      </c>
    </row>
    <row r="3689" spans="1:6" x14ac:dyDescent="0.25">
      <c r="A3689">
        <v>7890</v>
      </c>
      <c r="B3689" s="15">
        <v>45381</v>
      </c>
      <c r="E3689" s="157"/>
      <c r="F3689">
        <v>5831</v>
      </c>
    </row>
    <row r="3690" spans="1:6" x14ac:dyDescent="0.25">
      <c r="A3690">
        <v>7890</v>
      </c>
      <c r="B3690" s="15">
        <v>45382</v>
      </c>
      <c r="E3690" s="157"/>
      <c r="F3690">
        <v>5832</v>
      </c>
    </row>
    <row r="3691" spans="1:6" x14ac:dyDescent="0.25">
      <c r="A3691">
        <v>7890</v>
      </c>
      <c r="B3691" s="15">
        <v>45383</v>
      </c>
      <c r="E3691" s="119"/>
      <c r="F3691">
        <v>6519</v>
      </c>
    </row>
    <row r="3692" spans="1:6" x14ac:dyDescent="0.25">
      <c r="A3692">
        <v>7890</v>
      </c>
      <c r="B3692" s="15">
        <v>45384</v>
      </c>
      <c r="E3692" s="197" t="s">
        <v>266</v>
      </c>
      <c r="F3692">
        <v>6520</v>
      </c>
    </row>
    <row r="3693" spans="1:6" x14ac:dyDescent="0.25">
      <c r="A3693">
        <v>7890</v>
      </c>
      <c r="B3693" s="15">
        <v>45385</v>
      </c>
      <c r="E3693" s="157"/>
      <c r="F3693">
        <v>6521</v>
      </c>
    </row>
    <row r="3694" spans="1:6" x14ac:dyDescent="0.25">
      <c r="A3694">
        <v>7890</v>
      </c>
      <c r="B3694" s="15">
        <v>45386</v>
      </c>
      <c r="E3694" s="160" t="s">
        <v>266</v>
      </c>
      <c r="F3694">
        <v>6522</v>
      </c>
    </row>
    <row r="3695" spans="1:6" x14ac:dyDescent="0.25">
      <c r="A3695">
        <v>7890</v>
      </c>
      <c r="B3695" s="15">
        <v>45387</v>
      </c>
      <c r="E3695" s="160" t="s">
        <v>263</v>
      </c>
      <c r="F3695">
        <v>6523</v>
      </c>
    </row>
    <row r="3696" spans="1:6" x14ac:dyDescent="0.25">
      <c r="A3696">
        <v>7890</v>
      </c>
      <c r="B3696" s="15">
        <v>45388</v>
      </c>
      <c r="E3696" s="197" t="s">
        <v>175</v>
      </c>
      <c r="F3696">
        <v>6524</v>
      </c>
    </row>
    <row r="3697" spans="1:6" x14ac:dyDescent="0.25">
      <c r="A3697">
        <v>7890</v>
      </c>
      <c r="B3697" s="15">
        <v>45389</v>
      </c>
      <c r="E3697" s="157"/>
      <c r="F3697">
        <v>6525</v>
      </c>
    </row>
    <row r="3698" spans="1:6" x14ac:dyDescent="0.25">
      <c r="A3698">
        <v>7890</v>
      </c>
      <c r="B3698" s="15">
        <v>45390</v>
      </c>
      <c r="E3698" s="197" t="s">
        <v>266</v>
      </c>
      <c r="F3698">
        <v>6526</v>
      </c>
    </row>
    <row r="3699" spans="1:6" x14ac:dyDescent="0.25">
      <c r="A3699">
        <v>7890</v>
      </c>
      <c r="B3699" s="15">
        <v>45391</v>
      </c>
      <c r="E3699" s="197" t="s">
        <v>263</v>
      </c>
      <c r="F3699">
        <v>6527</v>
      </c>
    </row>
    <row r="3700" spans="1:6" x14ac:dyDescent="0.25">
      <c r="A3700">
        <v>7890</v>
      </c>
      <c r="B3700" s="15">
        <v>45392</v>
      </c>
      <c r="E3700" s="158"/>
      <c r="F3700">
        <v>6528</v>
      </c>
    </row>
    <row r="3701" spans="1:6" x14ac:dyDescent="0.25">
      <c r="A3701">
        <v>7890</v>
      </c>
      <c r="B3701" s="15">
        <v>45393</v>
      </c>
      <c r="E3701" s="160" t="s">
        <v>263</v>
      </c>
      <c r="F3701">
        <v>6529</v>
      </c>
    </row>
    <row r="3702" spans="1:6" x14ac:dyDescent="0.25">
      <c r="A3702">
        <v>7890</v>
      </c>
      <c r="B3702" s="15">
        <v>45394</v>
      </c>
      <c r="E3702" s="160" t="s">
        <v>266</v>
      </c>
      <c r="F3702">
        <v>6530</v>
      </c>
    </row>
    <row r="3703" spans="1:6" x14ac:dyDescent="0.25">
      <c r="A3703">
        <v>7890</v>
      </c>
      <c r="B3703" s="15">
        <v>45395</v>
      </c>
      <c r="E3703" s="157"/>
      <c r="F3703">
        <v>6531</v>
      </c>
    </row>
    <row r="3704" spans="1:6" x14ac:dyDescent="0.25">
      <c r="A3704">
        <v>7890</v>
      </c>
      <c r="B3704" s="15">
        <v>45396</v>
      </c>
      <c r="E3704" s="157"/>
      <c r="F3704">
        <v>6532</v>
      </c>
    </row>
    <row r="3705" spans="1:6" x14ac:dyDescent="0.25">
      <c r="A3705">
        <v>7890</v>
      </c>
      <c r="B3705" s="15">
        <v>45397</v>
      </c>
      <c r="E3705" s="197" t="s">
        <v>263</v>
      </c>
      <c r="F3705">
        <v>6533</v>
      </c>
    </row>
    <row r="3706" spans="1:6" x14ac:dyDescent="0.25">
      <c r="A3706">
        <v>7890</v>
      </c>
      <c r="B3706" s="15">
        <v>45398</v>
      </c>
      <c r="E3706" s="197" t="s">
        <v>266</v>
      </c>
      <c r="F3706">
        <v>6534</v>
      </c>
    </row>
    <row r="3707" spans="1:6" x14ac:dyDescent="0.25">
      <c r="A3707">
        <v>7890</v>
      </c>
      <c r="B3707" s="15">
        <v>45399</v>
      </c>
      <c r="E3707" s="157"/>
      <c r="F3707">
        <v>6535</v>
      </c>
    </row>
    <row r="3708" spans="1:6" x14ac:dyDescent="0.25">
      <c r="A3708">
        <v>7890</v>
      </c>
      <c r="B3708" s="15">
        <v>45400</v>
      </c>
      <c r="E3708" s="160" t="s">
        <v>266</v>
      </c>
      <c r="F3708">
        <v>6536</v>
      </c>
    </row>
    <row r="3709" spans="1:6" x14ac:dyDescent="0.25">
      <c r="A3709">
        <v>7890</v>
      </c>
      <c r="B3709" s="15">
        <v>45401</v>
      </c>
      <c r="E3709" s="160" t="s">
        <v>263</v>
      </c>
      <c r="F3709">
        <v>6537</v>
      </c>
    </row>
    <row r="3710" spans="1:6" x14ac:dyDescent="0.25">
      <c r="A3710">
        <v>7890</v>
      </c>
      <c r="B3710" s="15">
        <v>45402</v>
      </c>
      <c r="E3710" s="197" t="s">
        <v>175</v>
      </c>
      <c r="F3710">
        <v>6538</v>
      </c>
    </row>
    <row r="3711" spans="1:6" x14ac:dyDescent="0.25">
      <c r="A3711">
        <v>7890</v>
      </c>
      <c r="B3711" s="15">
        <v>45403</v>
      </c>
      <c r="E3711" s="157"/>
      <c r="F3711">
        <v>6539</v>
      </c>
    </row>
    <row r="3712" spans="1:6" x14ac:dyDescent="0.25">
      <c r="A3712">
        <v>7890</v>
      </c>
      <c r="B3712" s="15">
        <v>45404</v>
      </c>
      <c r="E3712" s="197" t="s">
        <v>266</v>
      </c>
      <c r="F3712">
        <v>6540</v>
      </c>
    </row>
    <row r="3713" spans="1:6" x14ac:dyDescent="0.25">
      <c r="A3713">
        <v>7890</v>
      </c>
      <c r="B3713" s="15">
        <v>45405</v>
      </c>
      <c r="E3713" s="197" t="s">
        <v>263</v>
      </c>
      <c r="F3713">
        <v>6541</v>
      </c>
    </row>
    <row r="3714" spans="1:6" x14ac:dyDescent="0.25">
      <c r="A3714">
        <v>7890</v>
      </c>
      <c r="B3714" s="15">
        <v>45406</v>
      </c>
      <c r="E3714" s="158"/>
      <c r="F3714">
        <v>6542</v>
      </c>
    </row>
    <row r="3715" spans="1:6" x14ac:dyDescent="0.25">
      <c r="A3715">
        <v>7890</v>
      </c>
      <c r="B3715" s="15">
        <v>45407</v>
      </c>
      <c r="E3715" s="160" t="s">
        <v>263</v>
      </c>
      <c r="F3715">
        <v>6543</v>
      </c>
    </row>
    <row r="3716" spans="1:6" x14ac:dyDescent="0.25">
      <c r="A3716">
        <v>7890</v>
      </c>
      <c r="B3716" s="15">
        <v>45408</v>
      </c>
      <c r="E3716" s="160" t="s">
        <v>266</v>
      </c>
      <c r="F3716">
        <v>6544</v>
      </c>
    </row>
    <row r="3717" spans="1:6" x14ac:dyDescent="0.25">
      <c r="A3717">
        <v>7890</v>
      </c>
      <c r="B3717" s="15">
        <v>45409</v>
      </c>
      <c r="E3717" s="157"/>
      <c r="F3717">
        <v>6545</v>
      </c>
    </row>
    <row r="3718" spans="1:6" x14ac:dyDescent="0.25">
      <c r="A3718">
        <v>7890</v>
      </c>
      <c r="B3718" s="15">
        <v>45410</v>
      </c>
      <c r="E3718" s="157"/>
      <c r="F3718">
        <v>6546</v>
      </c>
    </row>
    <row r="3719" spans="1:6" x14ac:dyDescent="0.25">
      <c r="A3719">
        <v>7890</v>
      </c>
      <c r="B3719" s="15">
        <v>45411</v>
      </c>
      <c r="E3719" s="117" t="s">
        <v>2</v>
      </c>
      <c r="F3719">
        <v>6547</v>
      </c>
    </row>
    <row r="3720" spans="1:6" x14ac:dyDescent="0.25">
      <c r="A3720">
        <v>7890</v>
      </c>
      <c r="B3720" s="15">
        <v>45412</v>
      </c>
      <c r="E3720" s="120" t="s">
        <v>2</v>
      </c>
      <c r="F3720">
        <v>6548</v>
      </c>
    </row>
    <row r="3721" spans="1:6" x14ac:dyDescent="0.25">
      <c r="A3721">
        <v>7890</v>
      </c>
      <c r="B3721" s="15">
        <v>45413</v>
      </c>
      <c r="E3721" s="157"/>
      <c r="F3721">
        <v>6549</v>
      </c>
    </row>
    <row r="3722" spans="1:6" x14ac:dyDescent="0.25">
      <c r="A3722">
        <v>7890</v>
      </c>
      <c r="B3722" s="15">
        <v>45414</v>
      </c>
      <c r="E3722" s="120" t="s">
        <v>2</v>
      </c>
      <c r="F3722">
        <v>6550</v>
      </c>
    </row>
    <row r="3723" spans="1:6" x14ac:dyDescent="0.25">
      <c r="A3723">
        <v>7890</v>
      </c>
      <c r="B3723" s="15">
        <v>45415</v>
      </c>
      <c r="E3723" s="117" t="s">
        <v>2</v>
      </c>
      <c r="F3723">
        <v>6551</v>
      </c>
    </row>
    <row r="3724" spans="1:6" x14ac:dyDescent="0.25">
      <c r="A3724">
        <v>7890</v>
      </c>
      <c r="B3724" s="15">
        <v>45416</v>
      </c>
      <c r="E3724" s="121" t="s">
        <v>2</v>
      </c>
      <c r="F3724">
        <v>6552</v>
      </c>
    </row>
    <row r="3725" spans="1:6" x14ac:dyDescent="0.25">
      <c r="A3725">
        <v>7890</v>
      </c>
      <c r="B3725" s="15">
        <v>45417</v>
      </c>
      <c r="E3725" s="157"/>
      <c r="F3725">
        <v>6553</v>
      </c>
    </row>
    <row r="3726" spans="1:6" x14ac:dyDescent="0.25">
      <c r="A3726">
        <v>7935</v>
      </c>
      <c r="B3726" s="15">
        <v>45264</v>
      </c>
      <c r="E3726" s="160" t="s">
        <v>265</v>
      </c>
      <c r="F3726">
        <v>3530</v>
      </c>
    </row>
    <row r="3727" spans="1:6" x14ac:dyDescent="0.25">
      <c r="A3727">
        <v>7935</v>
      </c>
      <c r="B3727" s="15">
        <v>45265</v>
      </c>
      <c r="E3727" s="160" t="s">
        <v>267</v>
      </c>
      <c r="F3727">
        <v>3531</v>
      </c>
    </row>
    <row r="3728" spans="1:6" x14ac:dyDescent="0.25">
      <c r="A3728">
        <v>7935</v>
      </c>
      <c r="B3728" s="15">
        <v>45266</v>
      </c>
      <c r="E3728" s="160" t="s">
        <v>267</v>
      </c>
      <c r="F3728">
        <v>3532</v>
      </c>
    </row>
    <row r="3729" spans="1:6" x14ac:dyDescent="0.25">
      <c r="A3729">
        <v>7935</v>
      </c>
      <c r="B3729" s="15">
        <v>45267</v>
      </c>
      <c r="E3729" s="197" t="s">
        <v>264</v>
      </c>
      <c r="F3729">
        <v>3533</v>
      </c>
    </row>
    <row r="3730" spans="1:6" x14ac:dyDescent="0.25">
      <c r="A3730">
        <v>7935</v>
      </c>
      <c r="B3730" s="15">
        <v>45268</v>
      </c>
      <c r="E3730" s="197" t="s">
        <v>267</v>
      </c>
      <c r="F3730">
        <v>3534</v>
      </c>
    </row>
    <row r="3731" spans="1:6" x14ac:dyDescent="0.25">
      <c r="A3731">
        <v>7935</v>
      </c>
      <c r="B3731" s="15">
        <v>45269</v>
      </c>
      <c r="E3731" s="158"/>
      <c r="F3731">
        <v>3535</v>
      </c>
    </row>
    <row r="3732" spans="1:6" x14ac:dyDescent="0.25">
      <c r="A3732">
        <v>7935</v>
      </c>
      <c r="B3732" s="15">
        <v>45270</v>
      </c>
      <c r="E3732" s="157"/>
      <c r="F3732">
        <v>3536</v>
      </c>
    </row>
    <row r="3733" spans="1:6" x14ac:dyDescent="0.25">
      <c r="A3733">
        <v>7935</v>
      </c>
      <c r="B3733" s="15">
        <v>45271</v>
      </c>
      <c r="E3733" s="157"/>
      <c r="F3733">
        <v>3537</v>
      </c>
    </row>
    <row r="3734" spans="1:6" x14ac:dyDescent="0.25">
      <c r="A3734">
        <v>7935</v>
      </c>
      <c r="B3734" s="15">
        <v>45272</v>
      </c>
      <c r="E3734" s="160" t="s">
        <v>264</v>
      </c>
      <c r="F3734">
        <v>3538</v>
      </c>
    </row>
    <row r="3735" spans="1:6" x14ac:dyDescent="0.25">
      <c r="A3735">
        <v>7935</v>
      </c>
      <c r="B3735" s="15">
        <v>45273</v>
      </c>
      <c r="E3735" s="160" t="s">
        <v>267</v>
      </c>
      <c r="F3735">
        <v>3539</v>
      </c>
    </row>
    <row r="3736" spans="1:6" x14ac:dyDescent="0.25">
      <c r="A3736">
        <v>7935</v>
      </c>
      <c r="B3736" s="15">
        <v>45274</v>
      </c>
      <c r="E3736" s="197" t="s">
        <v>267</v>
      </c>
      <c r="F3736">
        <v>3540</v>
      </c>
    </row>
    <row r="3737" spans="1:6" x14ac:dyDescent="0.25">
      <c r="A3737">
        <v>7935</v>
      </c>
      <c r="B3737" s="15">
        <v>45275</v>
      </c>
      <c r="E3737" s="197" t="s">
        <v>264</v>
      </c>
      <c r="F3737">
        <v>3541</v>
      </c>
    </row>
    <row r="3738" spans="1:6" x14ac:dyDescent="0.25">
      <c r="A3738">
        <v>7935</v>
      </c>
      <c r="B3738" s="15">
        <v>45276</v>
      </c>
      <c r="E3738" s="160" t="s">
        <v>175</v>
      </c>
      <c r="F3738">
        <v>3542</v>
      </c>
    </row>
    <row r="3739" spans="1:6" x14ac:dyDescent="0.25">
      <c r="A3739">
        <v>7935</v>
      </c>
      <c r="B3739" s="15">
        <v>45277</v>
      </c>
      <c r="E3739" s="157"/>
      <c r="F3739">
        <v>3543</v>
      </c>
    </row>
    <row r="3740" spans="1:6" x14ac:dyDescent="0.25">
      <c r="A3740">
        <v>7935</v>
      </c>
      <c r="B3740" s="15">
        <v>45278</v>
      </c>
      <c r="E3740" s="160" t="s">
        <v>265</v>
      </c>
      <c r="F3740">
        <v>3544</v>
      </c>
    </row>
    <row r="3741" spans="1:6" x14ac:dyDescent="0.25">
      <c r="A3741">
        <v>7935</v>
      </c>
      <c r="B3741" s="15">
        <v>45279</v>
      </c>
      <c r="E3741" s="160" t="s">
        <v>267</v>
      </c>
      <c r="F3741">
        <v>3545</v>
      </c>
    </row>
    <row r="3742" spans="1:6" x14ac:dyDescent="0.25">
      <c r="A3742">
        <v>7935</v>
      </c>
      <c r="B3742" s="15">
        <v>45280</v>
      </c>
      <c r="E3742" s="160" t="s">
        <v>267</v>
      </c>
      <c r="F3742">
        <v>3546</v>
      </c>
    </row>
    <row r="3743" spans="1:6" x14ac:dyDescent="0.25">
      <c r="A3743">
        <v>7935</v>
      </c>
      <c r="B3743" s="15">
        <v>45281</v>
      </c>
      <c r="E3743" s="197" t="s">
        <v>264</v>
      </c>
      <c r="F3743">
        <v>3547</v>
      </c>
    </row>
    <row r="3744" spans="1:6" x14ac:dyDescent="0.25">
      <c r="A3744">
        <v>7935</v>
      </c>
      <c r="B3744" s="15">
        <v>45282</v>
      </c>
      <c r="E3744" s="197" t="s">
        <v>175</v>
      </c>
      <c r="F3744">
        <v>3548</v>
      </c>
    </row>
    <row r="3745" spans="1:6" x14ac:dyDescent="0.25">
      <c r="A3745">
        <v>7935</v>
      </c>
      <c r="B3745" s="15">
        <v>45283</v>
      </c>
      <c r="E3745" s="158"/>
      <c r="F3745">
        <v>3549</v>
      </c>
    </row>
    <row r="3746" spans="1:6" x14ac:dyDescent="0.25">
      <c r="A3746">
        <v>7935</v>
      </c>
      <c r="B3746" s="15">
        <v>45284</v>
      </c>
      <c r="E3746" s="157"/>
      <c r="F3746">
        <v>3550</v>
      </c>
    </row>
    <row r="3747" spans="1:6" x14ac:dyDescent="0.25">
      <c r="A3747">
        <v>7935</v>
      </c>
      <c r="B3747" s="15">
        <v>45285</v>
      </c>
      <c r="E3747" s="119"/>
      <c r="F3747">
        <v>3551</v>
      </c>
    </row>
    <row r="3748" spans="1:6" x14ac:dyDescent="0.25">
      <c r="A3748">
        <v>7935</v>
      </c>
      <c r="B3748" s="15">
        <v>45286</v>
      </c>
      <c r="E3748" s="160" t="s">
        <v>264</v>
      </c>
      <c r="F3748">
        <v>3552</v>
      </c>
    </row>
    <row r="3749" spans="1:6" x14ac:dyDescent="0.25">
      <c r="A3749">
        <v>7935</v>
      </c>
      <c r="B3749" s="15">
        <v>45287</v>
      </c>
      <c r="E3749" s="160" t="s">
        <v>267</v>
      </c>
      <c r="F3749">
        <v>3553</v>
      </c>
    </row>
    <row r="3750" spans="1:6" x14ac:dyDescent="0.25">
      <c r="A3750">
        <v>7935</v>
      </c>
      <c r="B3750" s="15">
        <v>45288</v>
      </c>
      <c r="E3750" s="197" t="s">
        <v>267</v>
      </c>
      <c r="F3750">
        <v>3554</v>
      </c>
    </row>
    <row r="3751" spans="1:6" x14ac:dyDescent="0.25">
      <c r="A3751">
        <v>7935</v>
      </c>
      <c r="B3751" s="15">
        <v>45289</v>
      </c>
      <c r="E3751" s="197" t="s">
        <v>175</v>
      </c>
      <c r="F3751">
        <v>3555</v>
      </c>
    </row>
    <row r="3752" spans="1:6" x14ac:dyDescent="0.25">
      <c r="A3752">
        <v>7935</v>
      </c>
      <c r="B3752" s="15">
        <v>45290</v>
      </c>
      <c r="E3752" s="160" t="s">
        <v>175</v>
      </c>
      <c r="F3752">
        <v>3556</v>
      </c>
    </row>
    <row r="3753" spans="1:6" x14ac:dyDescent="0.25">
      <c r="A3753">
        <v>7935</v>
      </c>
      <c r="B3753" s="15">
        <v>45291</v>
      </c>
      <c r="E3753" s="157"/>
      <c r="F3753">
        <v>3557</v>
      </c>
    </row>
    <row r="3754" spans="1:6" x14ac:dyDescent="0.25">
      <c r="A3754">
        <v>7935</v>
      </c>
      <c r="B3754" s="15">
        <v>45292</v>
      </c>
      <c r="E3754" s="119"/>
      <c r="F3754">
        <v>4279</v>
      </c>
    </row>
    <row r="3755" spans="1:6" x14ac:dyDescent="0.25">
      <c r="A3755">
        <v>7935</v>
      </c>
      <c r="B3755" s="15">
        <v>45293</v>
      </c>
      <c r="E3755" s="120" t="s">
        <v>285</v>
      </c>
      <c r="F3755">
        <v>4280</v>
      </c>
    </row>
    <row r="3756" spans="1:6" x14ac:dyDescent="0.25">
      <c r="A3756">
        <v>7935</v>
      </c>
      <c r="B3756" s="15">
        <v>45294</v>
      </c>
      <c r="E3756" s="120" t="s">
        <v>2</v>
      </c>
      <c r="F3756">
        <v>4281</v>
      </c>
    </row>
    <row r="3757" spans="1:6" x14ac:dyDescent="0.25">
      <c r="A3757">
        <v>7935</v>
      </c>
      <c r="B3757" s="15">
        <v>45295</v>
      </c>
      <c r="E3757" s="117" t="s">
        <v>2</v>
      </c>
      <c r="F3757">
        <v>4282</v>
      </c>
    </row>
    <row r="3758" spans="1:6" x14ac:dyDescent="0.25">
      <c r="A3758">
        <v>7935</v>
      </c>
      <c r="B3758" s="15">
        <v>45296</v>
      </c>
      <c r="E3758" s="120" t="s">
        <v>2</v>
      </c>
      <c r="F3758">
        <v>4283</v>
      </c>
    </row>
    <row r="3759" spans="1:6" x14ac:dyDescent="0.25">
      <c r="A3759">
        <v>7935</v>
      </c>
      <c r="B3759" s="15">
        <v>45297</v>
      </c>
      <c r="E3759" s="158"/>
      <c r="F3759">
        <v>4284</v>
      </c>
    </row>
    <row r="3760" spans="1:6" x14ac:dyDescent="0.25">
      <c r="A3760">
        <v>7935</v>
      </c>
      <c r="B3760" s="15">
        <v>45298</v>
      </c>
      <c r="E3760" s="157"/>
      <c r="F3760">
        <v>4285</v>
      </c>
    </row>
    <row r="3761" spans="1:6" x14ac:dyDescent="0.25">
      <c r="A3761">
        <v>7935</v>
      </c>
      <c r="B3761" s="15">
        <v>45299</v>
      </c>
      <c r="E3761" s="157"/>
      <c r="F3761">
        <v>4286</v>
      </c>
    </row>
    <row r="3762" spans="1:6" x14ac:dyDescent="0.25">
      <c r="A3762">
        <v>7935</v>
      </c>
      <c r="B3762" s="15">
        <v>45300</v>
      </c>
      <c r="E3762" s="160" t="s">
        <v>264</v>
      </c>
      <c r="F3762">
        <v>4287</v>
      </c>
    </row>
    <row r="3763" spans="1:6" x14ac:dyDescent="0.25">
      <c r="A3763">
        <v>7935</v>
      </c>
      <c r="B3763" s="15">
        <v>45301</v>
      </c>
      <c r="E3763" s="160" t="s">
        <v>267</v>
      </c>
      <c r="F3763">
        <v>4288</v>
      </c>
    </row>
    <row r="3764" spans="1:6" x14ac:dyDescent="0.25">
      <c r="A3764">
        <v>7935</v>
      </c>
      <c r="B3764" s="15">
        <v>45302</v>
      </c>
      <c r="E3764" s="197" t="s">
        <v>267</v>
      </c>
      <c r="F3764">
        <v>4289</v>
      </c>
    </row>
    <row r="3765" spans="1:6" x14ac:dyDescent="0.25">
      <c r="A3765">
        <v>7935</v>
      </c>
      <c r="B3765" s="15">
        <v>45303</v>
      </c>
      <c r="E3765" s="197" t="s">
        <v>264</v>
      </c>
      <c r="F3765">
        <v>4290</v>
      </c>
    </row>
    <row r="3766" spans="1:6" x14ac:dyDescent="0.25">
      <c r="A3766">
        <v>7935</v>
      </c>
      <c r="B3766" s="15">
        <v>45304</v>
      </c>
      <c r="E3766" s="160" t="s">
        <v>175</v>
      </c>
      <c r="F3766">
        <v>4291</v>
      </c>
    </row>
    <row r="3767" spans="1:6" x14ac:dyDescent="0.25">
      <c r="A3767">
        <v>7935</v>
      </c>
      <c r="B3767" s="15">
        <v>45305</v>
      </c>
      <c r="E3767" s="157"/>
      <c r="F3767">
        <v>4292</v>
      </c>
    </row>
    <row r="3768" spans="1:6" x14ac:dyDescent="0.25">
      <c r="A3768">
        <v>7935</v>
      </c>
      <c r="B3768" s="15">
        <v>45306</v>
      </c>
      <c r="E3768" s="160" t="s">
        <v>265</v>
      </c>
      <c r="F3768">
        <v>4293</v>
      </c>
    </row>
    <row r="3769" spans="1:6" x14ac:dyDescent="0.25">
      <c r="A3769">
        <v>7935</v>
      </c>
      <c r="B3769" s="15">
        <v>45307</v>
      </c>
      <c r="E3769" s="160" t="s">
        <v>267</v>
      </c>
      <c r="F3769">
        <v>4294</v>
      </c>
    </row>
    <row r="3770" spans="1:6" x14ac:dyDescent="0.25">
      <c r="A3770">
        <v>7935</v>
      </c>
      <c r="B3770" s="15">
        <v>45308</v>
      </c>
      <c r="E3770" s="160" t="s">
        <v>267</v>
      </c>
      <c r="F3770">
        <v>4295</v>
      </c>
    </row>
    <row r="3771" spans="1:6" x14ac:dyDescent="0.25">
      <c r="A3771">
        <v>7935</v>
      </c>
      <c r="B3771" s="15">
        <v>45309</v>
      </c>
      <c r="E3771" s="197" t="s">
        <v>264</v>
      </c>
      <c r="F3771">
        <v>4296</v>
      </c>
    </row>
    <row r="3772" spans="1:6" x14ac:dyDescent="0.25">
      <c r="A3772">
        <v>7935</v>
      </c>
      <c r="B3772" s="15">
        <v>45310</v>
      </c>
      <c r="E3772" s="197" t="s">
        <v>267</v>
      </c>
      <c r="F3772">
        <v>4297</v>
      </c>
    </row>
    <row r="3773" spans="1:6" x14ac:dyDescent="0.25">
      <c r="A3773">
        <v>7935</v>
      </c>
      <c r="B3773" s="15">
        <v>45311</v>
      </c>
      <c r="E3773" s="158"/>
      <c r="F3773">
        <v>4298</v>
      </c>
    </row>
    <row r="3774" spans="1:6" x14ac:dyDescent="0.25">
      <c r="A3774">
        <v>7935</v>
      </c>
      <c r="B3774" s="15">
        <v>45312</v>
      </c>
      <c r="E3774" s="157"/>
      <c r="F3774">
        <v>4299</v>
      </c>
    </row>
    <row r="3775" spans="1:6" x14ac:dyDescent="0.25">
      <c r="A3775">
        <v>7935</v>
      </c>
      <c r="B3775" s="15">
        <v>45313</v>
      </c>
      <c r="E3775" s="157"/>
      <c r="F3775">
        <v>4300</v>
      </c>
    </row>
    <row r="3776" spans="1:6" x14ac:dyDescent="0.25">
      <c r="A3776">
        <v>7935</v>
      </c>
      <c r="B3776" s="15">
        <v>45314</v>
      </c>
      <c r="E3776" s="160" t="s">
        <v>264</v>
      </c>
      <c r="F3776">
        <v>4301</v>
      </c>
    </row>
    <row r="3777" spans="1:6" x14ac:dyDescent="0.25">
      <c r="A3777">
        <v>7935</v>
      </c>
      <c r="B3777" s="15">
        <v>45315</v>
      </c>
      <c r="E3777" s="160" t="s">
        <v>267</v>
      </c>
      <c r="F3777">
        <v>4302</v>
      </c>
    </row>
    <row r="3778" spans="1:6" x14ac:dyDescent="0.25">
      <c r="A3778">
        <v>7935</v>
      </c>
      <c r="B3778" s="15">
        <v>45316</v>
      </c>
      <c r="E3778" s="197" t="s">
        <v>267</v>
      </c>
      <c r="F3778">
        <v>4303</v>
      </c>
    </row>
    <row r="3779" spans="1:6" x14ac:dyDescent="0.25">
      <c r="A3779">
        <v>7935</v>
      </c>
      <c r="B3779" s="15">
        <v>45317</v>
      </c>
      <c r="E3779" s="197" t="s">
        <v>264</v>
      </c>
      <c r="F3779">
        <v>4304</v>
      </c>
    </row>
    <row r="3780" spans="1:6" x14ac:dyDescent="0.25">
      <c r="A3780">
        <v>7935</v>
      </c>
      <c r="B3780" s="15">
        <v>45318</v>
      </c>
      <c r="E3780" s="160" t="s">
        <v>175</v>
      </c>
      <c r="F3780">
        <v>4305</v>
      </c>
    </row>
    <row r="3781" spans="1:6" x14ac:dyDescent="0.25">
      <c r="A3781">
        <v>7935</v>
      </c>
      <c r="B3781" s="15">
        <v>45319</v>
      </c>
      <c r="E3781" s="157"/>
      <c r="F3781">
        <v>4306</v>
      </c>
    </row>
    <row r="3782" spans="1:6" x14ac:dyDescent="0.25">
      <c r="A3782">
        <v>7935</v>
      </c>
      <c r="B3782" s="15">
        <v>45320</v>
      </c>
      <c r="E3782" s="160" t="s">
        <v>265</v>
      </c>
      <c r="F3782">
        <v>4307</v>
      </c>
    </row>
    <row r="3783" spans="1:6" x14ac:dyDescent="0.25">
      <c r="A3783">
        <v>7935</v>
      </c>
      <c r="B3783" s="15">
        <v>45321</v>
      </c>
      <c r="E3783" s="160" t="s">
        <v>267</v>
      </c>
      <c r="F3783">
        <v>4308</v>
      </c>
    </row>
    <row r="3784" spans="1:6" x14ac:dyDescent="0.25">
      <c r="A3784">
        <v>7935</v>
      </c>
      <c r="B3784" s="15">
        <v>45322</v>
      </c>
      <c r="E3784" s="160" t="s">
        <v>267</v>
      </c>
      <c r="F3784">
        <v>4309</v>
      </c>
    </row>
    <row r="3785" spans="1:6" x14ac:dyDescent="0.25">
      <c r="A3785">
        <v>7935</v>
      </c>
      <c r="B3785" s="15">
        <v>45323</v>
      </c>
      <c r="E3785" s="197" t="s">
        <v>264</v>
      </c>
      <c r="F3785">
        <v>4310</v>
      </c>
    </row>
    <row r="3786" spans="1:6" x14ac:dyDescent="0.25">
      <c r="A3786">
        <v>7935</v>
      </c>
      <c r="B3786" s="15">
        <v>45324</v>
      </c>
      <c r="E3786" s="197" t="s">
        <v>267</v>
      </c>
      <c r="F3786">
        <v>4311</v>
      </c>
    </row>
    <row r="3787" spans="1:6" x14ac:dyDescent="0.25">
      <c r="A3787">
        <v>7935</v>
      </c>
      <c r="B3787" s="15">
        <v>45325</v>
      </c>
      <c r="E3787" s="158"/>
      <c r="F3787">
        <v>4312</v>
      </c>
    </row>
    <row r="3788" spans="1:6" x14ac:dyDescent="0.25">
      <c r="A3788">
        <v>7935</v>
      </c>
      <c r="B3788" s="15">
        <v>45326</v>
      </c>
      <c r="E3788" s="157"/>
      <c r="F3788">
        <v>4313</v>
      </c>
    </row>
    <row r="3789" spans="1:6" x14ac:dyDescent="0.25">
      <c r="A3789">
        <v>7935</v>
      </c>
      <c r="B3789" s="15">
        <v>45327</v>
      </c>
      <c r="E3789" s="157"/>
      <c r="F3789">
        <v>5133</v>
      </c>
    </row>
    <row r="3790" spans="1:6" x14ac:dyDescent="0.25">
      <c r="A3790">
        <v>7935</v>
      </c>
      <c r="B3790" s="15">
        <v>45328</v>
      </c>
      <c r="E3790" s="160" t="s">
        <v>264</v>
      </c>
      <c r="F3790">
        <v>5134</v>
      </c>
    </row>
    <row r="3791" spans="1:6" x14ac:dyDescent="0.25">
      <c r="A3791">
        <v>7935</v>
      </c>
      <c r="B3791" s="15">
        <v>45329</v>
      </c>
      <c r="E3791" s="160" t="s">
        <v>267</v>
      </c>
      <c r="F3791">
        <v>5135</v>
      </c>
    </row>
    <row r="3792" spans="1:6" x14ac:dyDescent="0.25">
      <c r="A3792">
        <v>7935</v>
      </c>
      <c r="B3792" s="15">
        <v>45330</v>
      </c>
      <c r="E3792" s="197" t="s">
        <v>267</v>
      </c>
      <c r="F3792">
        <v>5136</v>
      </c>
    </row>
    <row r="3793" spans="1:6" x14ac:dyDescent="0.25">
      <c r="A3793">
        <v>7935</v>
      </c>
      <c r="B3793" s="15">
        <v>45331</v>
      </c>
      <c r="E3793" s="197" t="s">
        <v>264</v>
      </c>
      <c r="F3793">
        <v>5137</v>
      </c>
    </row>
    <row r="3794" spans="1:6" x14ac:dyDescent="0.25">
      <c r="A3794">
        <v>7935</v>
      </c>
      <c r="B3794" s="15">
        <v>45332</v>
      </c>
      <c r="E3794" s="160" t="s">
        <v>175</v>
      </c>
      <c r="F3794">
        <v>5138</v>
      </c>
    </row>
    <row r="3795" spans="1:6" x14ac:dyDescent="0.25">
      <c r="A3795">
        <v>7935</v>
      </c>
      <c r="B3795" s="15">
        <v>45333</v>
      </c>
      <c r="E3795" s="157"/>
      <c r="F3795">
        <v>5139</v>
      </c>
    </row>
    <row r="3796" spans="1:6" x14ac:dyDescent="0.25">
      <c r="A3796">
        <v>7935</v>
      </c>
      <c r="B3796" s="15">
        <v>45334</v>
      </c>
      <c r="E3796" s="160" t="s">
        <v>265</v>
      </c>
      <c r="F3796">
        <v>5140</v>
      </c>
    </row>
    <row r="3797" spans="1:6" x14ac:dyDescent="0.25">
      <c r="A3797">
        <v>7935</v>
      </c>
      <c r="B3797" s="15">
        <v>45335</v>
      </c>
      <c r="E3797" s="160" t="s">
        <v>267</v>
      </c>
      <c r="F3797">
        <v>5141</v>
      </c>
    </row>
    <row r="3798" spans="1:6" x14ac:dyDescent="0.25">
      <c r="A3798">
        <v>7935</v>
      </c>
      <c r="B3798" s="15">
        <v>45336</v>
      </c>
      <c r="E3798" s="160" t="s">
        <v>267</v>
      </c>
      <c r="F3798">
        <v>5142</v>
      </c>
    </row>
    <row r="3799" spans="1:6" x14ac:dyDescent="0.25">
      <c r="A3799">
        <v>7935</v>
      </c>
      <c r="B3799" s="15">
        <v>45337</v>
      </c>
      <c r="E3799" s="197" t="s">
        <v>264</v>
      </c>
      <c r="F3799">
        <v>5143</v>
      </c>
    </row>
    <row r="3800" spans="1:6" x14ac:dyDescent="0.25">
      <c r="A3800">
        <v>7935</v>
      </c>
      <c r="B3800" s="15">
        <v>45338</v>
      </c>
      <c r="E3800" s="197" t="s">
        <v>267</v>
      </c>
      <c r="F3800">
        <v>5144</v>
      </c>
    </row>
    <row r="3801" spans="1:6" x14ac:dyDescent="0.25">
      <c r="A3801">
        <v>7935</v>
      </c>
      <c r="B3801" s="15">
        <v>45339</v>
      </c>
      <c r="E3801" s="158"/>
      <c r="F3801">
        <v>5145</v>
      </c>
    </row>
    <row r="3802" spans="1:6" x14ac:dyDescent="0.25">
      <c r="A3802">
        <v>7935</v>
      </c>
      <c r="B3802" s="15">
        <v>45340</v>
      </c>
      <c r="E3802" s="157"/>
      <c r="F3802">
        <v>5146</v>
      </c>
    </row>
    <row r="3803" spans="1:6" x14ac:dyDescent="0.25">
      <c r="A3803">
        <v>7935</v>
      </c>
      <c r="B3803" s="15">
        <v>45341</v>
      </c>
      <c r="E3803" s="157"/>
      <c r="F3803">
        <v>5147</v>
      </c>
    </row>
    <row r="3804" spans="1:6" x14ac:dyDescent="0.25">
      <c r="A3804">
        <v>7935</v>
      </c>
      <c r="B3804" s="15">
        <v>45342</v>
      </c>
      <c r="E3804" s="160" t="s">
        <v>264</v>
      </c>
      <c r="F3804">
        <v>5148</v>
      </c>
    </row>
    <row r="3805" spans="1:6" x14ac:dyDescent="0.25">
      <c r="A3805">
        <v>7935</v>
      </c>
      <c r="B3805" s="15">
        <v>45343</v>
      </c>
      <c r="E3805" s="160" t="s">
        <v>267</v>
      </c>
      <c r="F3805">
        <v>5149</v>
      </c>
    </row>
    <row r="3806" spans="1:6" x14ac:dyDescent="0.25">
      <c r="A3806">
        <v>7935</v>
      </c>
      <c r="B3806" s="15">
        <v>45344</v>
      </c>
      <c r="E3806" s="197" t="s">
        <v>267</v>
      </c>
      <c r="F3806">
        <v>5150</v>
      </c>
    </row>
    <row r="3807" spans="1:6" x14ac:dyDescent="0.25">
      <c r="A3807">
        <v>7935</v>
      </c>
      <c r="B3807" s="15">
        <v>45345</v>
      </c>
      <c r="E3807" s="197" t="s">
        <v>264</v>
      </c>
      <c r="F3807">
        <v>5151</v>
      </c>
    </row>
    <row r="3808" spans="1:6" x14ac:dyDescent="0.25">
      <c r="A3808">
        <v>7935</v>
      </c>
      <c r="B3808" s="15">
        <v>45346</v>
      </c>
      <c r="E3808" s="160" t="s">
        <v>175</v>
      </c>
      <c r="F3808">
        <v>5152</v>
      </c>
    </row>
    <row r="3809" spans="1:6" x14ac:dyDescent="0.25">
      <c r="A3809">
        <v>7935</v>
      </c>
      <c r="B3809" s="15">
        <v>45347</v>
      </c>
      <c r="E3809" s="157"/>
      <c r="F3809">
        <v>5153</v>
      </c>
    </row>
    <row r="3810" spans="1:6" x14ac:dyDescent="0.25">
      <c r="A3810">
        <v>7935</v>
      </c>
      <c r="B3810" s="15">
        <v>45348</v>
      </c>
      <c r="E3810" s="160" t="s">
        <v>265</v>
      </c>
      <c r="F3810">
        <v>5154</v>
      </c>
    </row>
    <row r="3811" spans="1:6" x14ac:dyDescent="0.25">
      <c r="A3811">
        <v>7935</v>
      </c>
      <c r="B3811" s="15">
        <v>45349</v>
      </c>
      <c r="E3811" s="160" t="s">
        <v>267</v>
      </c>
      <c r="F3811">
        <v>5155</v>
      </c>
    </row>
    <row r="3812" spans="1:6" x14ac:dyDescent="0.25">
      <c r="A3812">
        <v>7935</v>
      </c>
      <c r="B3812" s="15">
        <v>45350</v>
      </c>
      <c r="E3812" s="160" t="s">
        <v>267</v>
      </c>
      <c r="F3812">
        <v>5156</v>
      </c>
    </row>
    <row r="3813" spans="1:6" x14ac:dyDescent="0.25">
      <c r="A3813">
        <v>7935</v>
      </c>
      <c r="B3813" s="15">
        <v>45351</v>
      </c>
      <c r="E3813" s="197" t="s">
        <v>264</v>
      </c>
      <c r="F3813">
        <v>5157</v>
      </c>
    </row>
    <row r="3814" spans="1:6" x14ac:dyDescent="0.25">
      <c r="A3814">
        <v>7935</v>
      </c>
      <c r="B3814" s="15">
        <v>45352</v>
      </c>
      <c r="E3814" s="197" t="s">
        <v>267</v>
      </c>
      <c r="F3814">
        <v>5158</v>
      </c>
    </row>
    <row r="3815" spans="1:6" x14ac:dyDescent="0.25">
      <c r="A3815">
        <v>7935</v>
      </c>
      <c r="B3815" s="15">
        <v>45353</v>
      </c>
      <c r="E3815" s="158"/>
      <c r="F3815">
        <v>5159</v>
      </c>
    </row>
    <row r="3816" spans="1:6" x14ac:dyDescent="0.25">
      <c r="A3816">
        <v>7935</v>
      </c>
      <c r="B3816" s="15">
        <v>45354</v>
      </c>
      <c r="E3816" s="157"/>
      <c r="F3816">
        <v>5160</v>
      </c>
    </row>
    <row r="3817" spans="1:6" x14ac:dyDescent="0.25">
      <c r="A3817">
        <v>7935</v>
      </c>
      <c r="B3817" s="15">
        <v>45355</v>
      </c>
      <c r="E3817" s="157"/>
      <c r="F3817">
        <v>5833</v>
      </c>
    </row>
    <row r="3818" spans="1:6" x14ac:dyDescent="0.25">
      <c r="A3818">
        <v>7935</v>
      </c>
      <c r="B3818" s="15">
        <v>45356</v>
      </c>
      <c r="E3818" s="160" t="s">
        <v>264</v>
      </c>
      <c r="F3818">
        <v>5834</v>
      </c>
    </row>
    <row r="3819" spans="1:6" x14ac:dyDescent="0.25">
      <c r="A3819">
        <v>7935</v>
      </c>
      <c r="B3819" s="15">
        <v>45357</v>
      </c>
      <c r="E3819" s="160" t="s">
        <v>267</v>
      </c>
      <c r="F3819">
        <v>5835</v>
      </c>
    </row>
    <row r="3820" spans="1:6" x14ac:dyDescent="0.25">
      <c r="A3820">
        <v>7935</v>
      </c>
      <c r="B3820" s="15">
        <v>45358</v>
      </c>
      <c r="E3820" s="197" t="s">
        <v>267</v>
      </c>
      <c r="F3820">
        <v>5836</v>
      </c>
    </row>
    <row r="3821" spans="1:6" x14ac:dyDescent="0.25">
      <c r="A3821">
        <v>7935</v>
      </c>
      <c r="B3821" s="15">
        <v>45359</v>
      </c>
      <c r="E3821" s="197" t="s">
        <v>264</v>
      </c>
      <c r="F3821">
        <v>5837</v>
      </c>
    </row>
    <row r="3822" spans="1:6" x14ac:dyDescent="0.25">
      <c r="A3822">
        <v>7935</v>
      </c>
      <c r="B3822" s="15">
        <v>45360</v>
      </c>
      <c r="E3822" s="160" t="s">
        <v>175</v>
      </c>
      <c r="F3822">
        <v>5838</v>
      </c>
    </row>
    <row r="3823" spans="1:6" x14ac:dyDescent="0.25">
      <c r="A3823">
        <v>7935</v>
      </c>
      <c r="B3823" s="15">
        <v>45361</v>
      </c>
      <c r="E3823" s="157"/>
      <c r="F3823">
        <v>5839</v>
      </c>
    </row>
    <row r="3824" spans="1:6" x14ac:dyDescent="0.25">
      <c r="A3824">
        <v>7935</v>
      </c>
      <c r="B3824" s="15">
        <v>45362</v>
      </c>
      <c r="E3824" s="117" t="s">
        <v>2</v>
      </c>
      <c r="F3824">
        <v>5840</v>
      </c>
    </row>
    <row r="3825" spans="1:6" x14ac:dyDescent="0.25">
      <c r="A3825">
        <v>7935</v>
      </c>
      <c r="B3825" s="15">
        <v>45363</v>
      </c>
      <c r="E3825" s="120" t="s">
        <v>2</v>
      </c>
      <c r="F3825">
        <v>5841</v>
      </c>
    </row>
    <row r="3826" spans="1:6" x14ac:dyDescent="0.25">
      <c r="A3826">
        <v>7935</v>
      </c>
      <c r="B3826" s="15">
        <v>45364</v>
      </c>
      <c r="E3826" s="120" t="s">
        <v>2</v>
      </c>
      <c r="F3826">
        <v>5842</v>
      </c>
    </row>
    <row r="3827" spans="1:6" x14ac:dyDescent="0.25">
      <c r="A3827">
        <v>7935</v>
      </c>
      <c r="B3827" s="15">
        <v>45365</v>
      </c>
      <c r="E3827" s="117" t="s">
        <v>2</v>
      </c>
      <c r="F3827">
        <v>5843</v>
      </c>
    </row>
    <row r="3828" spans="1:6" x14ac:dyDescent="0.25">
      <c r="A3828">
        <v>7935</v>
      </c>
      <c r="B3828" s="15">
        <v>45366</v>
      </c>
      <c r="E3828" s="120" t="s">
        <v>2</v>
      </c>
      <c r="F3828">
        <v>5844</v>
      </c>
    </row>
    <row r="3829" spans="1:6" x14ac:dyDescent="0.25">
      <c r="A3829">
        <v>7935</v>
      </c>
      <c r="B3829" s="15">
        <v>45367</v>
      </c>
      <c r="E3829" s="158"/>
      <c r="F3829">
        <v>5845</v>
      </c>
    </row>
    <row r="3830" spans="1:6" x14ac:dyDescent="0.25">
      <c r="A3830">
        <v>7935</v>
      </c>
      <c r="B3830" s="15">
        <v>45368</v>
      </c>
      <c r="E3830" s="157"/>
      <c r="F3830">
        <v>5846</v>
      </c>
    </row>
    <row r="3831" spans="1:6" x14ac:dyDescent="0.25">
      <c r="A3831">
        <v>7935</v>
      </c>
      <c r="B3831" s="15">
        <v>45369</v>
      </c>
      <c r="E3831" s="157"/>
      <c r="F3831">
        <v>5847</v>
      </c>
    </row>
    <row r="3832" spans="1:6" x14ac:dyDescent="0.25">
      <c r="A3832">
        <v>7935</v>
      </c>
      <c r="B3832" s="15">
        <v>45370</v>
      </c>
      <c r="E3832" s="117" t="s">
        <v>2</v>
      </c>
      <c r="F3832">
        <v>5848</v>
      </c>
    </row>
    <row r="3833" spans="1:6" x14ac:dyDescent="0.25">
      <c r="A3833">
        <v>7935</v>
      </c>
      <c r="B3833" s="15">
        <v>45371</v>
      </c>
      <c r="E3833" s="120" t="s">
        <v>2</v>
      </c>
      <c r="F3833">
        <v>5849</v>
      </c>
    </row>
    <row r="3834" spans="1:6" x14ac:dyDescent="0.25">
      <c r="A3834">
        <v>7935</v>
      </c>
      <c r="B3834" s="15">
        <v>45372</v>
      </c>
      <c r="E3834" s="120" t="s">
        <v>2</v>
      </c>
      <c r="F3834">
        <v>5850</v>
      </c>
    </row>
    <row r="3835" spans="1:6" x14ac:dyDescent="0.25">
      <c r="A3835">
        <v>7935</v>
      </c>
      <c r="B3835" s="15">
        <v>45373</v>
      </c>
      <c r="E3835" s="117" t="s">
        <v>2</v>
      </c>
      <c r="F3835">
        <v>5851</v>
      </c>
    </row>
    <row r="3836" spans="1:6" x14ac:dyDescent="0.25">
      <c r="A3836">
        <v>7935</v>
      </c>
      <c r="B3836" s="15">
        <v>45374</v>
      </c>
      <c r="E3836" s="121" t="s">
        <v>2</v>
      </c>
      <c r="F3836">
        <v>5852</v>
      </c>
    </row>
    <row r="3837" spans="1:6" x14ac:dyDescent="0.25">
      <c r="A3837">
        <v>7935</v>
      </c>
      <c r="B3837" s="15">
        <v>45375</v>
      </c>
      <c r="E3837" s="157"/>
      <c r="F3837">
        <v>5853</v>
      </c>
    </row>
    <row r="3838" spans="1:6" x14ac:dyDescent="0.25">
      <c r="A3838">
        <v>7935</v>
      </c>
      <c r="B3838" s="15">
        <v>45376</v>
      </c>
      <c r="E3838" s="160" t="s">
        <v>265</v>
      </c>
      <c r="F3838">
        <v>5854</v>
      </c>
    </row>
    <row r="3839" spans="1:6" x14ac:dyDescent="0.25">
      <c r="A3839">
        <v>7935</v>
      </c>
      <c r="B3839" s="15">
        <v>45377</v>
      </c>
      <c r="E3839" s="160" t="s">
        <v>267</v>
      </c>
      <c r="F3839">
        <v>5855</v>
      </c>
    </row>
    <row r="3840" spans="1:6" x14ac:dyDescent="0.25">
      <c r="A3840">
        <v>7935</v>
      </c>
      <c r="B3840" s="15">
        <v>45378</v>
      </c>
      <c r="E3840" s="160" t="s">
        <v>267</v>
      </c>
      <c r="F3840">
        <v>5856</v>
      </c>
    </row>
    <row r="3841" spans="1:6" x14ac:dyDescent="0.25">
      <c r="A3841">
        <v>7935</v>
      </c>
      <c r="B3841" s="15">
        <v>45379</v>
      </c>
      <c r="E3841" s="197" t="s">
        <v>264</v>
      </c>
      <c r="F3841">
        <v>5857</v>
      </c>
    </row>
    <row r="3842" spans="1:6" x14ac:dyDescent="0.25">
      <c r="A3842">
        <v>7935</v>
      </c>
      <c r="B3842" s="15">
        <v>45380</v>
      </c>
      <c r="E3842" s="197" t="s">
        <v>267</v>
      </c>
      <c r="F3842">
        <v>5858</v>
      </c>
    </row>
    <row r="3843" spans="1:6" x14ac:dyDescent="0.25">
      <c r="A3843">
        <v>7935</v>
      </c>
      <c r="B3843" s="15">
        <v>45381</v>
      </c>
      <c r="E3843" s="158"/>
      <c r="F3843">
        <v>5859</v>
      </c>
    </row>
    <row r="3844" spans="1:6" x14ac:dyDescent="0.25">
      <c r="A3844">
        <v>7935</v>
      </c>
      <c r="B3844" s="15">
        <v>45382</v>
      </c>
      <c r="E3844" s="157"/>
      <c r="F3844">
        <v>5860</v>
      </c>
    </row>
    <row r="3845" spans="1:6" x14ac:dyDescent="0.25">
      <c r="A3845">
        <v>7935</v>
      </c>
      <c r="B3845" s="15">
        <v>45383</v>
      </c>
      <c r="E3845" s="119"/>
      <c r="F3845">
        <v>6554</v>
      </c>
    </row>
    <row r="3846" spans="1:6" x14ac:dyDescent="0.25">
      <c r="A3846">
        <v>7935</v>
      </c>
      <c r="B3846" s="15">
        <v>45384</v>
      </c>
      <c r="E3846" s="117" t="s">
        <v>2</v>
      </c>
      <c r="F3846">
        <v>6555</v>
      </c>
    </row>
    <row r="3847" spans="1:6" x14ac:dyDescent="0.25">
      <c r="A3847">
        <v>7935</v>
      </c>
      <c r="B3847" s="15">
        <v>45385</v>
      </c>
      <c r="E3847" s="120" t="s">
        <v>2</v>
      </c>
      <c r="F3847">
        <v>6556</v>
      </c>
    </row>
    <row r="3848" spans="1:6" x14ac:dyDescent="0.25">
      <c r="A3848">
        <v>7935</v>
      </c>
      <c r="B3848" s="15">
        <v>45386</v>
      </c>
      <c r="E3848" s="120" t="s">
        <v>2</v>
      </c>
      <c r="F3848">
        <v>6557</v>
      </c>
    </row>
    <row r="3849" spans="1:6" x14ac:dyDescent="0.25">
      <c r="A3849">
        <v>7935</v>
      </c>
      <c r="B3849" s="15">
        <v>45387</v>
      </c>
      <c r="E3849" s="117" t="s">
        <v>2</v>
      </c>
      <c r="F3849">
        <v>6558</v>
      </c>
    </row>
    <row r="3850" spans="1:6" x14ac:dyDescent="0.25">
      <c r="A3850">
        <v>7935</v>
      </c>
      <c r="B3850" s="15">
        <v>45388</v>
      </c>
      <c r="E3850" s="121" t="s">
        <v>2</v>
      </c>
      <c r="F3850">
        <v>6559</v>
      </c>
    </row>
    <row r="3851" spans="1:6" x14ac:dyDescent="0.25">
      <c r="A3851">
        <v>7935</v>
      </c>
      <c r="B3851" s="15">
        <v>45389</v>
      </c>
      <c r="E3851" s="157"/>
      <c r="F3851">
        <v>6560</v>
      </c>
    </row>
    <row r="3852" spans="1:6" x14ac:dyDescent="0.25">
      <c r="A3852">
        <v>7935</v>
      </c>
      <c r="B3852" s="15">
        <v>45390</v>
      </c>
      <c r="E3852" s="160" t="s">
        <v>265</v>
      </c>
      <c r="F3852">
        <v>6561</v>
      </c>
    </row>
    <row r="3853" spans="1:6" x14ac:dyDescent="0.25">
      <c r="A3853">
        <v>7935</v>
      </c>
      <c r="B3853" s="15">
        <v>45391</v>
      </c>
      <c r="E3853" s="160" t="s">
        <v>267</v>
      </c>
      <c r="F3853">
        <v>6562</v>
      </c>
    </row>
    <row r="3854" spans="1:6" x14ac:dyDescent="0.25">
      <c r="A3854">
        <v>7935</v>
      </c>
      <c r="B3854" s="15">
        <v>45392</v>
      </c>
      <c r="E3854" s="160" t="s">
        <v>267</v>
      </c>
      <c r="F3854">
        <v>6563</v>
      </c>
    </row>
    <row r="3855" spans="1:6" x14ac:dyDescent="0.25">
      <c r="A3855">
        <v>7935</v>
      </c>
      <c r="B3855" s="15">
        <v>45393</v>
      </c>
      <c r="E3855" s="197" t="s">
        <v>264</v>
      </c>
      <c r="F3855">
        <v>6564</v>
      </c>
    </row>
    <row r="3856" spans="1:6" x14ac:dyDescent="0.25">
      <c r="A3856">
        <v>7935</v>
      </c>
      <c r="B3856" s="15">
        <v>45394</v>
      </c>
      <c r="E3856" s="197" t="s">
        <v>267</v>
      </c>
      <c r="F3856">
        <v>6565</v>
      </c>
    </row>
    <row r="3857" spans="1:6" x14ac:dyDescent="0.25">
      <c r="A3857">
        <v>7935</v>
      </c>
      <c r="B3857" s="15">
        <v>45395</v>
      </c>
      <c r="E3857" s="158"/>
      <c r="F3857">
        <v>6566</v>
      </c>
    </row>
    <row r="3858" spans="1:6" x14ac:dyDescent="0.25">
      <c r="A3858">
        <v>7935</v>
      </c>
      <c r="B3858" s="15">
        <v>45396</v>
      </c>
      <c r="E3858" s="157"/>
      <c r="F3858">
        <v>6567</v>
      </c>
    </row>
    <row r="3859" spans="1:6" x14ac:dyDescent="0.25">
      <c r="A3859">
        <v>7935</v>
      </c>
      <c r="B3859" s="15">
        <v>45397</v>
      </c>
      <c r="E3859" s="157"/>
      <c r="F3859">
        <v>6568</v>
      </c>
    </row>
    <row r="3860" spans="1:6" x14ac:dyDescent="0.25">
      <c r="A3860">
        <v>7935</v>
      </c>
      <c r="B3860" s="15">
        <v>45398</v>
      </c>
      <c r="E3860" s="160" t="s">
        <v>264</v>
      </c>
      <c r="F3860">
        <v>6569</v>
      </c>
    </row>
    <row r="3861" spans="1:6" x14ac:dyDescent="0.25">
      <c r="A3861">
        <v>7935</v>
      </c>
      <c r="B3861" s="15">
        <v>45399</v>
      </c>
      <c r="E3861" s="160" t="s">
        <v>267</v>
      </c>
      <c r="F3861">
        <v>6570</v>
      </c>
    </row>
    <row r="3862" spans="1:6" x14ac:dyDescent="0.25">
      <c r="A3862">
        <v>7935</v>
      </c>
      <c r="B3862" s="15">
        <v>45400</v>
      </c>
      <c r="E3862" s="197" t="s">
        <v>267</v>
      </c>
      <c r="F3862">
        <v>6571</v>
      </c>
    </row>
    <row r="3863" spans="1:6" x14ac:dyDescent="0.25">
      <c r="A3863">
        <v>7935</v>
      </c>
      <c r="B3863" s="15">
        <v>45401</v>
      </c>
      <c r="E3863" s="197" t="s">
        <v>264</v>
      </c>
      <c r="F3863">
        <v>6572</v>
      </c>
    </row>
    <row r="3864" spans="1:6" x14ac:dyDescent="0.25">
      <c r="A3864">
        <v>7935</v>
      </c>
      <c r="B3864" s="15">
        <v>45402</v>
      </c>
      <c r="E3864" s="160" t="s">
        <v>175</v>
      </c>
      <c r="F3864">
        <v>6573</v>
      </c>
    </row>
    <row r="3865" spans="1:6" x14ac:dyDescent="0.25">
      <c r="A3865">
        <v>7935</v>
      </c>
      <c r="B3865" s="15">
        <v>45403</v>
      </c>
      <c r="E3865" s="157"/>
      <c r="F3865">
        <v>6574</v>
      </c>
    </row>
    <row r="3866" spans="1:6" x14ac:dyDescent="0.25">
      <c r="A3866">
        <v>7935</v>
      </c>
      <c r="B3866" s="15">
        <v>45404</v>
      </c>
      <c r="E3866" s="160" t="s">
        <v>265</v>
      </c>
      <c r="F3866">
        <v>6575</v>
      </c>
    </row>
    <row r="3867" spans="1:6" x14ac:dyDescent="0.25">
      <c r="A3867">
        <v>7935</v>
      </c>
      <c r="B3867" s="15">
        <v>45405</v>
      </c>
      <c r="E3867" s="160" t="s">
        <v>267</v>
      </c>
      <c r="F3867">
        <v>6576</v>
      </c>
    </row>
    <row r="3868" spans="1:6" x14ac:dyDescent="0.25">
      <c r="A3868">
        <v>7935</v>
      </c>
      <c r="B3868" s="15">
        <v>45406</v>
      </c>
      <c r="E3868" s="160" t="s">
        <v>267</v>
      </c>
      <c r="F3868">
        <v>6577</v>
      </c>
    </row>
    <row r="3869" spans="1:6" x14ac:dyDescent="0.25">
      <c r="A3869">
        <v>7935</v>
      </c>
      <c r="B3869" s="15">
        <v>45407</v>
      </c>
      <c r="E3869" s="197" t="s">
        <v>264</v>
      </c>
      <c r="F3869">
        <v>6578</v>
      </c>
    </row>
    <row r="3870" spans="1:6" x14ac:dyDescent="0.25">
      <c r="A3870">
        <v>7935</v>
      </c>
      <c r="B3870" s="15">
        <v>45408</v>
      </c>
      <c r="E3870" s="197" t="s">
        <v>267</v>
      </c>
      <c r="F3870">
        <v>6579</v>
      </c>
    </row>
    <row r="3871" spans="1:6" x14ac:dyDescent="0.25">
      <c r="A3871">
        <v>7935</v>
      </c>
      <c r="B3871" s="15">
        <v>45409</v>
      </c>
      <c r="E3871" s="158"/>
      <c r="F3871">
        <v>6580</v>
      </c>
    </row>
    <row r="3872" spans="1:6" x14ac:dyDescent="0.25">
      <c r="A3872">
        <v>7935</v>
      </c>
      <c r="B3872" s="15">
        <v>45410</v>
      </c>
      <c r="E3872" s="157"/>
      <c r="F3872">
        <v>6581</v>
      </c>
    </row>
    <row r="3873" spans="1:6" x14ac:dyDescent="0.25">
      <c r="A3873">
        <v>7935</v>
      </c>
      <c r="B3873" s="15">
        <v>45411</v>
      </c>
      <c r="E3873" s="157"/>
      <c r="F3873">
        <v>6582</v>
      </c>
    </row>
    <row r="3874" spans="1:6" x14ac:dyDescent="0.25">
      <c r="A3874">
        <v>7935</v>
      </c>
      <c r="B3874" s="15">
        <v>45412</v>
      </c>
      <c r="E3874" s="160" t="s">
        <v>264</v>
      </c>
      <c r="F3874">
        <v>6583</v>
      </c>
    </row>
    <row r="3875" spans="1:6" x14ac:dyDescent="0.25">
      <c r="A3875">
        <v>7935</v>
      </c>
      <c r="B3875" s="15">
        <v>45413</v>
      </c>
      <c r="E3875" s="157"/>
      <c r="F3875">
        <v>6584</v>
      </c>
    </row>
    <row r="3876" spans="1:6" x14ac:dyDescent="0.25">
      <c r="A3876">
        <v>7935</v>
      </c>
      <c r="B3876" s="15">
        <v>45414</v>
      </c>
      <c r="E3876" s="197" t="s">
        <v>267</v>
      </c>
      <c r="F3876">
        <v>6585</v>
      </c>
    </row>
    <row r="3877" spans="1:6" x14ac:dyDescent="0.25">
      <c r="A3877">
        <v>7935</v>
      </c>
      <c r="B3877" s="15">
        <v>45415</v>
      </c>
      <c r="E3877" s="197" t="s">
        <v>264</v>
      </c>
      <c r="F3877">
        <v>6586</v>
      </c>
    </row>
    <row r="3878" spans="1:6" x14ac:dyDescent="0.25">
      <c r="A3878">
        <v>7935</v>
      </c>
      <c r="B3878" s="15">
        <v>45416</v>
      </c>
      <c r="E3878" s="160" t="s">
        <v>175</v>
      </c>
      <c r="F3878">
        <v>6587</v>
      </c>
    </row>
    <row r="3879" spans="1:6" x14ac:dyDescent="0.25">
      <c r="A3879">
        <v>7935</v>
      </c>
      <c r="B3879" s="15">
        <v>45417</v>
      </c>
      <c r="E3879" s="157"/>
      <c r="F3879">
        <v>6588</v>
      </c>
    </row>
    <row r="3880" spans="1:6" x14ac:dyDescent="0.25">
      <c r="A3880">
        <v>7938</v>
      </c>
      <c r="B3880" s="15">
        <v>45264</v>
      </c>
      <c r="E3880" s="160" t="s">
        <v>263</v>
      </c>
      <c r="F3880">
        <v>4090</v>
      </c>
    </row>
    <row r="3881" spans="1:6" x14ac:dyDescent="0.25">
      <c r="A3881">
        <v>7938</v>
      </c>
      <c r="B3881" s="15">
        <v>45265</v>
      </c>
      <c r="E3881" s="160" t="s">
        <v>268</v>
      </c>
      <c r="F3881">
        <v>4091</v>
      </c>
    </row>
    <row r="3882" spans="1:6" x14ac:dyDescent="0.25">
      <c r="A3882">
        <v>7938</v>
      </c>
      <c r="B3882" s="15">
        <v>45266</v>
      </c>
      <c r="E3882" s="160" t="s">
        <v>268</v>
      </c>
      <c r="F3882">
        <v>4092</v>
      </c>
    </row>
    <row r="3883" spans="1:6" x14ac:dyDescent="0.25">
      <c r="A3883">
        <v>7938</v>
      </c>
      <c r="B3883" s="15">
        <v>45267</v>
      </c>
      <c r="E3883" s="160" t="s">
        <v>263</v>
      </c>
      <c r="F3883">
        <v>4093</v>
      </c>
    </row>
    <row r="3884" spans="1:6" x14ac:dyDescent="0.25">
      <c r="A3884">
        <v>7938</v>
      </c>
      <c r="B3884" s="15">
        <v>45268</v>
      </c>
      <c r="E3884" s="158"/>
      <c r="F3884">
        <v>4094</v>
      </c>
    </row>
    <row r="3885" spans="1:6" x14ac:dyDescent="0.25">
      <c r="A3885">
        <v>7938</v>
      </c>
      <c r="B3885" s="15">
        <v>45269</v>
      </c>
      <c r="E3885" s="160" t="s">
        <v>175</v>
      </c>
      <c r="F3885">
        <v>4095</v>
      </c>
    </row>
    <row r="3886" spans="1:6" x14ac:dyDescent="0.25">
      <c r="A3886">
        <v>7938</v>
      </c>
      <c r="B3886" s="15">
        <v>45270</v>
      </c>
      <c r="E3886" s="157"/>
      <c r="F3886">
        <v>4096</v>
      </c>
    </row>
    <row r="3887" spans="1:6" x14ac:dyDescent="0.25">
      <c r="A3887">
        <v>7938</v>
      </c>
      <c r="B3887" s="15">
        <v>45271</v>
      </c>
      <c r="E3887" s="157"/>
      <c r="F3887">
        <v>4097</v>
      </c>
    </row>
    <row r="3888" spans="1:6" x14ac:dyDescent="0.25">
      <c r="A3888">
        <v>7938</v>
      </c>
      <c r="B3888" s="15">
        <v>45272</v>
      </c>
      <c r="E3888" s="160" t="s">
        <v>263</v>
      </c>
      <c r="F3888">
        <v>4098</v>
      </c>
    </row>
    <row r="3889" spans="1:6" x14ac:dyDescent="0.25">
      <c r="A3889">
        <v>7938</v>
      </c>
      <c r="B3889" s="15">
        <v>45273</v>
      </c>
      <c r="E3889" s="160" t="s">
        <v>263</v>
      </c>
      <c r="F3889">
        <v>4099</v>
      </c>
    </row>
    <row r="3890" spans="1:6" x14ac:dyDescent="0.25">
      <c r="A3890">
        <v>7938</v>
      </c>
      <c r="B3890" s="15">
        <v>45274</v>
      </c>
      <c r="E3890" s="160" t="s">
        <v>268</v>
      </c>
      <c r="F3890">
        <v>4100</v>
      </c>
    </row>
    <row r="3891" spans="1:6" x14ac:dyDescent="0.25">
      <c r="A3891">
        <v>7938</v>
      </c>
      <c r="B3891" s="15">
        <v>45275</v>
      </c>
      <c r="E3891" s="160" t="s">
        <v>263</v>
      </c>
      <c r="F3891">
        <v>4101</v>
      </c>
    </row>
    <row r="3892" spans="1:6" x14ac:dyDescent="0.25">
      <c r="A3892">
        <v>7938</v>
      </c>
      <c r="B3892" s="15">
        <v>45276</v>
      </c>
      <c r="E3892" s="157"/>
      <c r="F3892">
        <v>4102</v>
      </c>
    </row>
    <row r="3893" spans="1:6" x14ac:dyDescent="0.25">
      <c r="A3893">
        <v>7938</v>
      </c>
      <c r="B3893" s="15">
        <v>45277</v>
      </c>
      <c r="E3893" s="157"/>
      <c r="F3893">
        <v>4103</v>
      </c>
    </row>
    <row r="3894" spans="1:6" x14ac:dyDescent="0.25">
      <c r="A3894">
        <v>7938</v>
      </c>
      <c r="B3894" s="15">
        <v>45278</v>
      </c>
      <c r="E3894" s="160" t="s">
        <v>263</v>
      </c>
      <c r="F3894">
        <v>4104</v>
      </c>
    </row>
    <row r="3895" spans="1:6" x14ac:dyDescent="0.25">
      <c r="A3895">
        <v>7938</v>
      </c>
      <c r="B3895" s="15">
        <v>45279</v>
      </c>
      <c r="E3895" s="160" t="s">
        <v>268</v>
      </c>
      <c r="F3895">
        <v>4105</v>
      </c>
    </row>
    <row r="3896" spans="1:6" x14ac:dyDescent="0.25">
      <c r="A3896">
        <v>7938</v>
      </c>
      <c r="B3896" s="15">
        <v>45280</v>
      </c>
      <c r="E3896" s="160" t="s">
        <v>268</v>
      </c>
      <c r="F3896">
        <v>4106</v>
      </c>
    </row>
    <row r="3897" spans="1:6" x14ac:dyDescent="0.25">
      <c r="A3897">
        <v>7938</v>
      </c>
      <c r="B3897" s="15">
        <v>45281</v>
      </c>
      <c r="E3897" s="160" t="s">
        <v>263</v>
      </c>
      <c r="F3897">
        <v>4107</v>
      </c>
    </row>
    <row r="3898" spans="1:6" x14ac:dyDescent="0.25">
      <c r="A3898">
        <v>7938</v>
      </c>
      <c r="B3898" s="15">
        <v>45282</v>
      </c>
      <c r="E3898" s="158"/>
      <c r="F3898">
        <v>4108</v>
      </c>
    </row>
    <row r="3899" spans="1:6" x14ac:dyDescent="0.25">
      <c r="A3899">
        <v>7938</v>
      </c>
      <c r="B3899" s="15">
        <v>45283</v>
      </c>
      <c r="E3899" s="160" t="s">
        <v>175</v>
      </c>
      <c r="F3899">
        <v>4109</v>
      </c>
    </row>
    <row r="3900" spans="1:6" x14ac:dyDescent="0.25">
      <c r="A3900">
        <v>7938</v>
      </c>
      <c r="B3900" s="15">
        <v>45284</v>
      </c>
      <c r="E3900" s="157"/>
      <c r="F3900">
        <v>4110</v>
      </c>
    </row>
    <row r="3901" spans="1:6" x14ac:dyDescent="0.25">
      <c r="A3901">
        <v>7938</v>
      </c>
      <c r="B3901" s="15">
        <v>45285</v>
      </c>
      <c r="E3901" s="157"/>
      <c r="F3901">
        <v>4111</v>
      </c>
    </row>
    <row r="3902" spans="1:6" x14ac:dyDescent="0.25">
      <c r="A3902">
        <v>7938</v>
      </c>
      <c r="B3902" s="15">
        <v>45286</v>
      </c>
      <c r="E3902" s="202" t="s">
        <v>163</v>
      </c>
      <c r="F3902">
        <v>4112</v>
      </c>
    </row>
    <row r="3903" spans="1:6" x14ac:dyDescent="0.25">
      <c r="A3903">
        <v>7938</v>
      </c>
      <c r="B3903" s="15">
        <v>45287</v>
      </c>
      <c r="E3903" s="117" t="s">
        <v>2</v>
      </c>
      <c r="F3903">
        <v>4113</v>
      </c>
    </row>
    <row r="3904" spans="1:6" x14ac:dyDescent="0.25">
      <c r="A3904">
        <v>7938</v>
      </c>
      <c r="B3904" s="15">
        <v>45288</v>
      </c>
      <c r="E3904" s="120" t="s">
        <v>2</v>
      </c>
      <c r="F3904">
        <v>4114</v>
      </c>
    </row>
    <row r="3905" spans="1:6" x14ac:dyDescent="0.25">
      <c r="A3905">
        <v>7938</v>
      </c>
      <c r="B3905" s="15">
        <v>45289</v>
      </c>
      <c r="E3905" s="117" t="s">
        <v>2</v>
      </c>
      <c r="F3905">
        <v>4115</v>
      </c>
    </row>
    <row r="3906" spans="1:6" x14ac:dyDescent="0.25">
      <c r="A3906">
        <v>7938</v>
      </c>
      <c r="B3906" s="15">
        <v>45290</v>
      </c>
      <c r="E3906" s="157"/>
      <c r="F3906">
        <v>4116</v>
      </c>
    </row>
    <row r="3907" spans="1:6" x14ac:dyDescent="0.25">
      <c r="A3907">
        <v>7938</v>
      </c>
      <c r="B3907" s="15">
        <v>45291</v>
      </c>
      <c r="E3907" s="157"/>
      <c r="F3907">
        <v>4117</v>
      </c>
    </row>
    <row r="3908" spans="1:6" x14ac:dyDescent="0.25">
      <c r="A3908">
        <v>7938</v>
      </c>
      <c r="B3908" s="15">
        <v>45292</v>
      </c>
      <c r="E3908" s="119"/>
      <c r="F3908">
        <v>4944</v>
      </c>
    </row>
    <row r="3909" spans="1:6" x14ac:dyDescent="0.25">
      <c r="A3909">
        <v>7938</v>
      </c>
      <c r="B3909" s="15">
        <v>45293</v>
      </c>
      <c r="E3909" s="160" t="s">
        <v>268</v>
      </c>
      <c r="F3909">
        <v>4945</v>
      </c>
    </row>
    <row r="3910" spans="1:6" x14ac:dyDescent="0.25">
      <c r="A3910">
        <v>7938</v>
      </c>
      <c r="B3910" s="15">
        <v>45294</v>
      </c>
      <c r="E3910" s="160" t="s">
        <v>268</v>
      </c>
      <c r="F3910">
        <v>4946</v>
      </c>
    </row>
    <row r="3911" spans="1:6" x14ac:dyDescent="0.25">
      <c r="A3911">
        <v>7938</v>
      </c>
      <c r="B3911" s="15">
        <v>45295</v>
      </c>
      <c r="E3911" s="160" t="s">
        <v>263</v>
      </c>
      <c r="F3911">
        <v>4947</v>
      </c>
    </row>
    <row r="3912" spans="1:6" x14ac:dyDescent="0.25">
      <c r="A3912">
        <v>7938</v>
      </c>
      <c r="B3912" s="15">
        <v>45296</v>
      </c>
      <c r="E3912" s="158"/>
      <c r="F3912">
        <v>4948</v>
      </c>
    </row>
    <row r="3913" spans="1:6" x14ac:dyDescent="0.25">
      <c r="A3913">
        <v>7938</v>
      </c>
      <c r="B3913" s="15">
        <v>45297</v>
      </c>
      <c r="E3913" s="160" t="s">
        <v>175</v>
      </c>
      <c r="F3913">
        <v>4949</v>
      </c>
    </row>
    <row r="3914" spans="1:6" x14ac:dyDescent="0.25">
      <c r="A3914">
        <v>7938</v>
      </c>
      <c r="B3914" s="15">
        <v>45298</v>
      </c>
      <c r="E3914" s="157"/>
      <c r="F3914">
        <v>4950</v>
      </c>
    </row>
    <row r="3915" spans="1:6" x14ac:dyDescent="0.25">
      <c r="A3915">
        <v>7938</v>
      </c>
      <c r="B3915" s="15">
        <v>45299</v>
      </c>
      <c r="E3915" s="157"/>
      <c r="F3915">
        <v>4951</v>
      </c>
    </row>
    <row r="3916" spans="1:6" x14ac:dyDescent="0.25">
      <c r="A3916">
        <v>7938</v>
      </c>
      <c r="B3916" s="15">
        <v>45300</v>
      </c>
      <c r="E3916" s="160" t="s">
        <v>263</v>
      </c>
      <c r="F3916">
        <v>4952</v>
      </c>
    </row>
    <row r="3917" spans="1:6" x14ac:dyDescent="0.25">
      <c r="A3917">
        <v>7938</v>
      </c>
      <c r="B3917" s="15">
        <v>45301</v>
      </c>
      <c r="E3917" s="160" t="s">
        <v>263</v>
      </c>
      <c r="F3917">
        <v>4953</v>
      </c>
    </row>
    <row r="3918" spans="1:6" x14ac:dyDescent="0.25">
      <c r="A3918">
        <v>7938</v>
      </c>
      <c r="B3918" s="15">
        <v>45302</v>
      </c>
      <c r="E3918" s="160" t="s">
        <v>268</v>
      </c>
      <c r="F3918">
        <v>4954</v>
      </c>
    </row>
    <row r="3919" spans="1:6" x14ac:dyDescent="0.25">
      <c r="A3919">
        <v>7938</v>
      </c>
      <c r="B3919" s="15">
        <v>45303</v>
      </c>
      <c r="E3919" s="160" t="s">
        <v>263</v>
      </c>
      <c r="F3919">
        <v>4955</v>
      </c>
    </row>
    <row r="3920" spans="1:6" x14ac:dyDescent="0.25">
      <c r="A3920">
        <v>7938</v>
      </c>
      <c r="B3920" s="15">
        <v>45304</v>
      </c>
      <c r="E3920" s="157"/>
      <c r="F3920">
        <v>4956</v>
      </c>
    </row>
    <row r="3921" spans="1:6" x14ac:dyDescent="0.25">
      <c r="A3921">
        <v>7938</v>
      </c>
      <c r="B3921" s="15">
        <v>45305</v>
      </c>
      <c r="E3921" s="157"/>
      <c r="F3921">
        <v>4957</v>
      </c>
    </row>
    <row r="3922" spans="1:6" x14ac:dyDescent="0.25">
      <c r="A3922">
        <v>7938</v>
      </c>
      <c r="B3922" s="15">
        <v>45306</v>
      </c>
      <c r="E3922" s="160" t="s">
        <v>263</v>
      </c>
      <c r="F3922">
        <v>4958</v>
      </c>
    </row>
    <row r="3923" spans="1:6" x14ac:dyDescent="0.25">
      <c r="A3923">
        <v>7938</v>
      </c>
      <c r="B3923" s="15">
        <v>45307</v>
      </c>
      <c r="E3923" s="160" t="s">
        <v>268</v>
      </c>
      <c r="F3923">
        <v>4959</v>
      </c>
    </row>
    <row r="3924" spans="1:6" x14ac:dyDescent="0.25">
      <c r="A3924">
        <v>7938</v>
      </c>
      <c r="B3924" s="15">
        <v>45308</v>
      </c>
      <c r="E3924" s="120" t="s">
        <v>2</v>
      </c>
      <c r="F3924">
        <v>4960</v>
      </c>
    </row>
    <row r="3925" spans="1:6" x14ac:dyDescent="0.25">
      <c r="A3925">
        <v>7938</v>
      </c>
      <c r="B3925" s="15">
        <v>45309</v>
      </c>
      <c r="E3925" s="117" t="s">
        <v>2</v>
      </c>
      <c r="F3925">
        <v>4961</v>
      </c>
    </row>
    <row r="3926" spans="1:6" x14ac:dyDescent="0.25">
      <c r="A3926">
        <v>7938</v>
      </c>
      <c r="B3926" s="15">
        <v>45310</v>
      </c>
      <c r="E3926" s="158"/>
      <c r="F3926">
        <v>4962</v>
      </c>
    </row>
    <row r="3927" spans="1:6" x14ac:dyDescent="0.25">
      <c r="A3927">
        <v>7938</v>
      </c>
      <c r="B3927" s="15">
        <v>45311</v>
      </c>
      <c r="E3927" s="126" t="s">
        <v>2</v>
      </c>
      <c r="F3927">
        <v>4963</v>
      </c>
    </row>
    <row r="3928" spans="1:6" x14ac:dyDescent="0.25">
      <c r="A3928">
        <v>7938</v>
      </c>
      <c r="B3928" s="15">
        <v>45312</v>
      </c>
      <c r="E3928" s="157"/>
      <c r="F3928">
        <v>4964</v>
      </c>
    </row>
    <row r="3929" spans="1:6" x14ac:dyDescent="0.25">
      <c r="A3929">
        <v>7938</v>
      </c>
      <c r="B3929" s="15">
        <v>45313</v>
      </c>
      <c r="E3929" s="157"/>
      <c r="F3929">
        <v>4965</v>
      </c>
    </row>
    <row r="3930" spans="1:6" x14ac:dyDescent="0.25">
      <c r="A3930">
        <v>7938</v>
      </c>
      <c r="B3930" s="15">
        <v>45314</v>
      </c>
      <c r="E3930" s="160" t="s">
        <v>263</v>
      </c>
      <c r="F3930">
        <v>4966</v>
      </c>
    </row>
    <row r="3931" spans="1:6" x14ac:dyDescent="0.25">
      <c r="A3931">
        <v>7938</v>
      </c>
      <c r="B3931" s="15">
        <v>45315</v>
      </c>
      <c r="E3931" s="160" t="s">
        <v>263</v>
      </c>
      <c r="F3931">
        <v>4967</v>
      </c>
    </row>
    <row r="3932" spans="1:6" x14ac:dyDescent="0.25">
      <c r="A3932">
        <v>7938</v>
      </c>
      <c r="B3932" s="15">
        <v>45316</v>
      </c>
      <c r="E3932" s="160" t="s">
        <v>268</v>
      </c>
      <c r="F3932">
        <v>4968</v>
      </c>
    </row>
    <row r="3933" spans="1:6" x14ac:dyDescent="0.25">
      <c r="A3933">
        <v>7938</v>
      </c>
      <c r="B3933" s="15">
        <v>45317</v>
      </c>
      <c r="E3933" s="160" t="s">
        <v>263</v>
      </c>
      <c r="F3933">
        <v>4969</v>
      </c>
    </row>
    <row r="3934" spans="1:6" x14ac:dyDescent="0.25">
      <c r="A3934">
        <v>7938</v>
      </c>
      <c r="B3934" s="15">
        <v>45318</v>
      </c>
      <c r="E3934" s="157"/>
      <c r="F3934">
        <v>4970</v>
      </c>
    </row>
    <row r="3935" spans="1:6" x14ac:dyDescent="0.25">
      <c r="A3935">
        <v>7938</v>
      </c>
      <c r="B3935" s="15">
        <v>45319</v>
      </c>
      <c r="E3935" s="157"/>
      <c r="F3935">
        <v>4971</v>
      </c>
    </row>
    <row r="3936" spans="1:6" x14ac:dyDescent="0.25">
      <c r="A3936">
        <v>7938</v>
      </c>
      <c r="B3936" s="15">
        <v>45320</v>
      </c>
      <c r="E3936" s="160" t="s">
        <v>263</v>
      </c>
      <c r="F3936">
        <v>4972</v>
      </c>
    </row>
    <row r="3937" spans="1:6" x14ac:dyDescent="0.25">
      <c r="A3937">
        <v>7938</v>
      </c>
      <c r="B3937" s="15">
        <v>45321</v>
      </c>
      <c r="E3937" s="160" t="s">
        <v>268</v>
      </c>
      <c r="F3937">
        <v>4973</v>
      </c>
    </row>
    <row r="3938" spans="1:6" x14ac:dyDescent="0.25">
      <c r="A3938">
        <v>7938</v>
      </c>
      <c r="B3938" s="15">
        <v>45322</v>
      </c>
      <c r="E3938" s="160" t="s">
        <v>268</v>
      </c>
      <c r="F3938">
        <v>4974</v>
      </c>
    </row>
    <row r="3939" spans="1:6" x14ac:dyDescent="0.25">
      <c r="A3939">
        <v>7938</v>
      </c>
      <c r="B3939" s="15">
        <v>45323</v>
      </c>
      <c r="E3939" s="160" t="s">
        <v>263</v>
      </c>
      <c r="F3939">
        <v>4975</v>
      </c>
    </row>
    <row r="3940" spans="1:6" x14ac:dyDescent="0.25">
      <c r="A3940">
        <v>7938</v>
      </c>
      <c r="B3940" s="15">
        <v>45324</v>
      </c>
      <c r="E3940" s="158"/>
      <c r="F3940">
        <v>4976</v>
      </c>
    </row>
    <row r="3941" spans="1:6" x14ac:dyDescent="0.25">
      <c r="A3941">
        <v>7938</v>
      </c>
      <c r="B3941" s="15">
        <v>45325</v>
      </c>
      <c r="E3941" s="160" t="s">
        <v>175</v>
      </c>
      <c r="F3941">
        <v>4977</v>
      </c>
    </row>
    <row r="3942" spans="1:6" x14ac:dyDescent="0.25">
      <c r="A3942">
        <v>7938</v>
      </c>
      <c r="B3942" s="15">
        <v>45326</v>
      </c>
      <c r="E3942" s="157"/>
      <c r="F3942">
        <v>4978</v>
      </c>
    </row>
    <row r="3943" spans="1:6" x14ac:dyDescent="0.25">
      <c r="A3943">
        <v>7938</v>
      </c>
      <c r="B3943" s="15">
        <v>45327</v>
      </c>
      <c r="E3943" s="157"/>
      <c r="F3943">
        <v>5665</v>
      </c>
    </row>
    <row r="3944" spans="1:6" x14ac:dyDescent="0.25">
      <c r="A3944">
        <v>7938</v>
      </c>
      <c r="B3944" s="15">
        <v>45328</v>
      </c>
      <c r="E3944" s="160" t="s">
        <v>263</v>
      </c>
      <c r="F3944">
        <v>5666</v>
      </c>
    </row>
    <row r="3945" spans="1:6" x14ac:dyDescent="0.25">
      <c r="A3945">
        <v>7938</v>
      </c>
      <c r="B3945" s="15">
        <v>45329</v>
      </c>
      <c r="E3945" s="160" t="s">
        <v>263</v>
      </c>
      <c r="F3945">
        <v>5667</v>
      </c>
    </row>
    <row r="3946" spans="1:6" x14ac:dyDescent="0.25">
      <c r="A3946">
        <v>7938</v>
      </c>
      <c r="B3946" s="15">
        <v>45330</v>
      </c>
      <c r="E3946" s="160" t="s">
        <v>268</v>
      </c>
      <c r="F3946">
        <v>5668</v>
      </c>
    </row>
    <row r="3947" spans="1:6" x14ac:dyDescent="0.25">
      <c r="A3947">
        <v>7938</v>
      </c>
      <c r="B3947" s="15">
        <v>45331</v>
      </c>
      <c r="E3947" s="160" t="s">
        <v>263</v>
      </c>
      <c r="F3947">
        <v>5669</v>
      </c>
    </row>
    <row r="3948" spans="1:6" x14ac:dyDescent="0.25">
      <c r="A3948">
        <v>7938</v>
      </c>
      <c r="B3948" s="15">
        <v>45332</v>
      </c>
      <c r="E3948" s="157"/>
      <c r="F3948">
        <v>5670</v>
      </c>
    </row>
    <row r="3949" spans="1:6" x14ac:dyDescent="0.25">
      <c r="A3949">
        <v>7938</v>
      </c>
      <c r="B3949" s="15">
        <v>45333</v>
      </c>
      <c r="E3949" s="157"/>
      <c r="F3949">
        <v>5671</v>
      </c>
    </row>
    <row r="3950" spans="1:6" x14ac:dyDescent="0.25">
      <c r="A3950">
        <v>7938</v>
      </c>
      <c r="B3950" s="15">
        <v>45334</v>
      </c>
      <c r="E3950" s="160" t="s">
        <v>263</v>
      </c>
      <c r="F3950">
        <v>5672</v>
      </c>
    </row>
    <row r="3951" spans="1:6" x14ac:dyDescent="0.25">
      <c r="A3951">
        <v>7938</v>
      </c>
      <c r="B3951" s="15">
        <v>45335</v>
      </c>
      <c r="E3951" s="160" t="s">
        <v>268</v>
      </c>
      <c r="F3951">
        <v>5673</v>
      </c>
    </row>
    <row r="3952" spans="1:6" x14ac:dyDescent="0.25">
      <c r="A3952">
        <v>7938</v>
      </c>
      <c r="B3952" s="15">
        <v>45336</v>
      </c>
      <c r="E3952" s="160" t="s">
        <v>268</v>
      </c>
      <c r="F3952">
        <v>5674</v>
      </c>
    </row>
    <row r="3953" spans="1:6" x14ac:dyDescent="0.25">
      <c r="A3953">
        <v>7938</v>
      </c>
      <c r="B3953" s="15">
        <v>45337</v>
      </c>
      <c r="E3953" s="160" t="s">
        <v>263</v>
      </c>
      <c r="F3953">
        <v>5675</v>
      </c>
    </row>
    <row r="3954" spans="1:6" x14ac:dyDescent="0.25">
      <c r="A3954">
        <v>7938</v>
      </c>
      <c r="B3954" s="15">
        <v>45338</v>
      </c>
      <c r="E3954" s="158"/>
      <c r="F3954">
        <v>5676</v>
      </c>
    </row>
    <row r="3955" spans="1:6" x14ac:dyDescent="0.25">
      <c r="A3955">
        <v>7938</v>
      </c>
      <c r="B3955" s="15">
        <v>45339</v>
      </c>
      <c r="E3955" s="160" t="s">
        <v>175</v>
      </c>
      <c r="F3955">
        <v>5677</v>
      </c>
    </row>
    <row r="3956" spans="1:6" x14ac:dyDescent="0.25">
      <c r="A3956">
        <v>7938</v>
      </c>
      <c r="B3956" s="15">
        <v>45340</v>
      </c>
      <c r="E3956" s="157"/>
      <c r="F3956">
        <v>5678</v>
      </c>
    </row>
    <row r="3957" spans="1:6" x14ac:dyDescent="0.25">
      <c r="A3957">
        <v>7938</v>
      </c>
      <c r="B3957" s="15">
        <v>45341</v>
      </c>
      <c r="E3957" s="157"/>
      <c r="F3957">
        <v>5679</v>
      </c>
    </row>
    <row r="3958" spans="1:6" x14ac:dyDescent="0.25">
      <c r="A3958">
        <v>7938</v>
      </c>
      <c r="B3958" s="15">
        <v>45342</v>
      </c>
      <c r="E3958" s="160" t="s">
        <v>263</v>
      </c>
      <c r="F3958">
        <v>5680</v>
      </c>
    </row>
    <row r="3959" spans="1:6" x14ac:dyDescent="0.25">
      <c r="A3959">
        <v>7938</v>
      </c>
      <c r="B3959" s="15">
        <v>45343</v>
      </c>
      <c r="E3959" s="160" t="s">
        <v>263</v>
      </c>
      <c r="F3959">
        <v>5681</v>
      </c>
    </row>
    <row r="3960" spans="1:6" x14ac:dyDescent="0.25">
      <c r="A3960">
        <v>7938</v>
      </c>
      <c r="B3960" s="15">
        <v>45344</v>
      </c>
      <c r="E3960" s="160" t="s">
        <v>268</v>
      </c>
      <c r="F3960">
        <v>5682</v>
      </c>
    </row>
    <row r="3961" spans="1:6" x14ac:dyDescent="0.25">
      <c r="A3961">
        <v>7938</v>
      </c>
      <c r="B3961" s="15">
        <v>45345</v>
      </c>
      <c r="E3961" s="160" t="s">
        <v>263</v>
      </c>
      <c r="F3961">
        <v>5683</v>
      </c>
    </row>
    <row r="3962" spans="1:6" x14ac:dyDescent="0.25">
      <c r="A3962">
        <v>7938</v>
      </c>
      <c r="B3962" s="15">
        <v>45346</v>
      </c>
      <c r="E3962" s="119"/>
      <c r="F3962">
        <v>5684</v>
      </c>
    </row>
    <row r="3963" spans="1:6" x14ac:dyDescent="0.25">
      <c r="A3963">
        <v>7938</v>
      </c>
      <c r="B3963" s="15">
        <v>45347</v>
      </c>
      <c r="E3963" s="157"/>
      <c r="F3963">
        <v>5685</v>
      </c>
    </row>
    <row r="3964" spans="1:6" x14ac:dyDescent="0.25">
      <c r="A3964">
        <v>7938</v>
      </c>
      <c r="B3964" s="15">
        <v>45348</v>
      </c>
      <c r="E3964" s="117" t="s">
        <v>2</v>
      </c>
      <c r="F3964">
        <v>5686</v>
      </c>
    </row>
    <row r="3965" spans="1:6" x14ac:dyDescent="0.25">
      <c r="A3965">
        <v>7938</v>
      </c>
      <c r="B3965" s="15">
        <v>45349</v>
      </c>
      <c r="E3965" s="120" t="s">
        <v>2</v>
      </c>
      <c r="F3965">
        <v>5687</v>
      </c>
    </row>
    <row r="3966" spans="1:6" x14ac:dyDescent="0.25">
      <c r="A3966">
        <v>7938</v>
      </c>
      <c r="B3966" s="15">
        <v>45350</v>
      </c>
      <c r="E3966" s="120" t="s">
        <v>2</v>
      </c>
      <c r="F3966">
        <v>5688</v>
      </c>
    </row>
    <row r="3967" spans="1:6" x14ac:dyDescent="0.25">
      <c r="A3967">
        <v>7938</v>
      </c>
      <c r="B3967" s="15">
        <v>45351</v>
      </c>
      <c r="E3967" s="117" t="s">
        <v>2</v>
      </c>
      <c r="F3967">
        <v>5689</v>
      </c>
    </row>
    <row r="3968" spans="1:6" x14ac:dyDescent="0.25">
      <c r="A3968">
        <v>7938</v>
      </c>
      <c r="B3968" s="15">
        <v>45352</v>
      </c>
      <c r="E3968" s="158"/>
      <c r="F3968">
        <v>5690</v>
      </c>
    </row>
    <row r="3969" spans="1:6" x14ac:dyDescent="0.25">
      <c r="A3969">
        <v>7938</v>
      </c>
      <c r="B3969" s="15">
        <v>45353</v>
      </c>
      <c r="E3969" s="121" t="s">
        <v>2</v>
      </c>
      <c r="F3969">
        <v>5691</v>
      </c>
    </row>
    <row r="3970" spans="1:6" x14ac:dyDescent="0.25">
      <c r="A3970">
        <v>7938</v>
      </c>
      <c r="B3970" s="15">
        <v>45354</v>
      </c>
      <c r="E3970" s="157"/>
      <c r="F3970">
        <v>5692</v>
      </c>
    </row>
    <row r="3971" spans="1:6" x14ac:dyDescent="0.25">
      <c r="A3971">
        <v>7938</v>
      </c>
      <c r="B3971" s="15">
        <v>45355</v>
      </c>
      <c r="E3971" s="157"/>
      <c r="F3971">
        <v>6365</v>
      </c>
    </row>
    <row r="3972" spans="1:6" x14ac:dyDescent="0.25">
      <c r="A3972">
        <v>7938</v>
      </c>
      <c r="B3972" s="15">
        <v>45356</v>
      </c>
      <c r="E3972" s="160" t="s">
        <v>263</v>
      </c>
      <c r="F3972">
        <v>6366</v>
      </c>
    </row>
    <row r="3973" spans="1:6" x14ac:dyDescent="0.25">
      <c r="A3973">
        <v>7938</v>
      </c>
      <c r="B3973" s="15">
        <v>45357</v>
      </c>
      <c r="E3973" s="160" t="s">
        <v>263</v>
      </c>
      <c r="F3973">
        <v>6367</v>
      </c>
    </row>
    <row r="3974" spans="1:6" x14ac:dyDescent="0.25">
      <c r="A3974">
        <v>7938</v>
      </c>
      <c r="B3974" s="15">
        <v>45358</v>
      </c>
      <c r="E3974" s="160" t="s">
        <v>268</v>
      </c>
      <c r="F3974">
        <v>6368</v>
      </c>
    </row>
    <row r="3975" spans="1:6" x14ac:dyDescent="0.25">
      <c r="A3975">
        <v>7938</v>
      </c>
      <c r="B3975" s="15">
        <v>45359</v>
      </c>
      <c r="E3975" s="160" t="s">
        <v>263</v>
      </c>
      <c r="F3975">
        <v>6369</v>
      </c>
    </row>
    <row r="3976" spans="1:6" x14ac:dyDescent="0.25">
      <c r="A3976">
        <v>7938</v>
      </c>
      <c r="B3976" s="15">
        <v>45360</v>
      </c>
      <c r="E3976" s="157"/>
      <c r="F3976">
        <v>6370</v>
      </c>
    </row>
    <row r="3977" spans="1:6" x14ac:dyDescent="0.25">
      <c r="A3977">
        <v>7938</v>
      </c>
      <c r="B3977" s="15">
        <v>45361</v>
      </c>
      <c r="E3977" s="157"/>
      <c r="F3977">
        <v>6371</v>
      </c>
    </row>
    <row r="3978" spans="1:6" x14ac:dyDescent="0.25">
      <c r="A3978">
        <v>7938</v>
      </c>
      <c r="B3978" s="15">
        <v>45362</v>
      </c>
      <c r="E3978" s="160" t="s">
        <v>263</v>
      </c>
      <c r="F3978">
        <v>6372</v>
      </c>
    </row>
    <row r="3979" spans="1:6" x14ac:dyDescent="0.25">
      <c r="A3979">
        <v>7938</v>
      </c>
      <c r="B3979" s="15">
        <v>45363</v>
      </c>
      <c r="E3979" s="160" t="s">
        <v>268</v>
      </c>
      <c r="F3979">
        <v>6373</v>
      </c>
    </row>
    <row r="3980" spans="1:6" x14ac:dyDescent="0.25">
      <c r="A3980">
        <v>7938</v>
      </c>
      <c r="B3980" s="15">
        <v>45364</v>
      </c>
      <c r="E3980" s="160" t="s">
        <v>268</v>
      </c>
      <c r="F3980">
        <v>6374</v>
      </c>
    </row>
    <row r="3981" spans="1:6" x14ac:dyDescent="0.25">
      <c r="A3981">
        <v>7938</v>
      </c>
      <c r="B3981" s="15">
        <v>45365</v>
      </c>
      <c r="E3981" s="160" t="s">
        <v>263</v>
      </c>
      <c r="F3981">
        <v>6375</v>
      </c>
    </row>
    <row r="3982" spans="1:6" x14ac:dyDescent="0.25">
      <c r="A3982">
        <v>7938</v>
      </c>
      <c r="B3982" s="15">
        <v>45366</v>
      </c>
      <c r="E3982" s="158"/>
      <c r="F3982">
        <v>6376</v>
      </c>
    </row>
    <row r="3983" spans="1:6" x14ac:dyDescent="0.25">
      <c r="A3983">
        <v>7938</v>
      </c>
      <c r="B3983" s="15">
        <v>45367</v>
      </c>
      <c r="E3983" s="159" t="s">
        <v>175</v>
      </c>
      <c r="F3983">
        <v>6377</v>
      </c>
    </row>
    <row r="3984" spans="1:6" x14ac:dyDescent="0.25">
      <c r="A3984">
        <v>7938</v>
      </c>
      <c r="B3984" s="15">
        <v>45368</v>
      </c>
      <c r="E3984" s="157"/>
      <c r="F3984">
        <v>6378</v>
      </c>
    </row>
    <row r="3985" spans="1:6" x14ac:dyDescent="0.25">
      <c r="A3985">
        <v>7938</v>
      </c>
      <c r="B3985" s="15">
        <v>45369</v>
      </c>
      <c r="E3985" s="157"/>
      <c r="F3985">
        <v>6379</v>
      </c>
    </row>
    <row r="3986" spans="1:6" x14ac:dyDescent="0.25">
      <c r="A3986">
        <v>7938</v>
      </c>
      <c r="B3986" s="15">
        <v>45370</v>
      </c>
      <c r="E3986" s="117" t="s">
        <v>2</v>
      </c>
      <c r="F3986">
        <v>6380</v>
      </c>
    </row>
    <row r="3987" spans="1:6" x14ac:dyDescent="0.25">
      <c r="A3987">
        <v>7938</v>
      </c>
      <c r="B3987" s="15">
        <v>45371</v>
      </c>
      <c r="E3987" s="117" t="s">
        <v>2</v>
      </c>
      <c r="F3987">
        <v>6381</v>
      </c>
    </row>
    <row r="3988" spans="1:6" x14ac:dyDescent="0.25">
      <c r="A3988">
        <v>7938</v>
      </c>
      <c r="B3988" s="15">
        <v>45372</v>
      </c>
      <c r="E3988" s="160" t="s">
        <v>268</v>
      </c>
      <c r="F3988">
        <v>6382</v>
      </c>
    </row>
    <row r="3989" spans="1:6" x14ac:dyDescent="0.25">
      <c r="A3989">
        <v>7938</v>
      </c>
      <c r="B3989" s="15">
        <v>45373</v>
      </c>
      <c r="E3989" s="160" t="s">
        <v>263</v>
      </c>
      <c r="F3989">
        <v>6383</v>
      </c>
    </row>
    <row r="3990" spans="1:6" x14ac:dyDescent="0.25">
      <c r="A3990">
        <v>7938</v>
      </c>
      <c r="B3990" s="15">
        <v>45374</v>
      </c>
      <c r="E3990" s="157"/>
      <c r="F3990">
        <v>6384</v>
      </c>
    </row>
    <row r="3991" spans="1:6" x14ac:dyDescent="0.25">
      <c r="A3991">
        <v>7938</v>
      </c>
      <c r="B3991" s="15">
        <v>45375</v>
      </c>
      <c r="E3991" s="157"/>
      <c r="F3991">
        <v>6385</v>
      </c>
    </row>
    <row r="3992" spans="1:6" x14ac:dyDescent="0.25">
      <c r="A3992">
        <v>7938</v>
      </c>
      <c r="B3992" s="15">
        <v>45376</v>
      </c>
      <c r="E3992" s="160" t="s">
        <v>263</v>
      </c>
      <c r="F3992">
        <v>6386</v>
      </c>
    </row>
    <row r="3993" spans="1:6" x14ac:dyDescent="0.25">
      <c r="A3993">
        <v>7938</v>
      </c>
      <c r="B3993" s="15">
        <v>45377</v>
      </c>
      <c r="E3993" s="160" t="s">
        <v>268</v>
      </c>
      <c r="F3993">
        <v>6387</v>
      </c>
    </row>
    <row r="3994" spans="1:6" x14ac:dyDescent="0.25">
      <c r="A3994">
        <v>7938</v>
      </c>
      <c r="B3994" s="15">
        <v>45378</v>
      </c>
      <c r="E3994" s="160" t="s">
        <v>268</v>
      </c>
      <c r="F3994">
        <v>6388</v>
      </c>
    </row>
    <row r="3995" spans="1:6" x14ac:dyDescent="0.25">
      <c r="A3995">
        <v>7938</v>
      </c>
      <c r="B3995" s="15">
        <v>45379</v>
      </c>
      <c r="E3995" s="160" t="s">
        <v>263</v>
      </c>
      <c r="F3995">
        <v>6389</v>
      </c>
    </row>
    <row r="3996" spans="1:6" x14ac:dyDescent="0.25">
      <c r="A3996">
        <v>7938</v>
      </c>
      <c r="B3996" s="15">
        <v>45380</v>
      </c>
      <c r="E3996" s="158"/>
      <c r="F3996">
        <v>6390</v>
      </c>
    </row>
    <row r="3997" spans="1:6" x14ac:dyDescent="0.25">
      <c r="A3997">
        <v>7938</v>
      </c>
      <c r="B3997" s="15">
        <v>45381</v>
      </c>
      <c r="E3997" s="160" t="s">
        <v>175</v>
      </c>
      <c r="F3997">
        <v>6391</v>
      </c>
    </row>
    <row r="3998" spans="1:6" x14ac:dyDescent="0.25">
      <c r="A3998">
        <v>7938</v>
      </c>
      <c r="B3998" s="15">
        <v>45382</v>
      </c>
      <c r="E3998" s="157"/>
      <c r="F3998">
        <v>6392</v>
      </c>
    </row>
    <row r="3999" spans="1:6" x14ac:dyDescent="0.25">
      <c r="A3999">
        <v>7938</v>
      </c>
      <c r="B3999" s="15">
        <v>45383</v>
      </c>
      <c r="E3999" s="119"/>
      <c r="F3999">
        <v>7219</v>
      </c>
    </row>
    <row r="4000" spans="1:6" x14ac:dyDescent="0.25">
      <c r="A4000">
        <v>7938</v>
      </c>
      <c r="B4000" s="15">
        <v>45384</v>
      </c>
      <c r="E4000" s="202" t="s">
        <v>163</v>
      </c>
      <c r="F4000">
        <v>7220</v>
      </c>
    </row>
    <row r="4001" spans="1:6" x14ac:dyDescent="0.25">
      <c r="A4001">
        <v>7938</v>
      </c>
      <c r="B4001" s="15">
        <v>45385</v>
      </c>
      <c r="E4001" s="160" t="s">
        <v>263</v>
      </c>
      <c r="F4001">
        <v>7221</v>
      </c>
    </row>
    <row r="4002" spans="1:6" x14ac:dyDescent="0.25">
      <c r="A4002">
        <v>7938</v>
      </c>
      <c r="B4002" s="15">
        <v>45386</v>
      </c>
      <c r="E4002" s="160" t="s">
        <v>268</v>
      </c>
      <c r="F4002">
        <v>7222</v>
      </c>
    </row>
    <row r="4003" spans="1:6" x14ac:dyDescent="0.25">
      <c r="A4003">
        <v>7938</v>
      </c>
      <c r="B4003" s="15">
        <v>45387</v>
      </c>
      <c r="E4003" s="160" t="s">
        <v>263</v>
      </c>
      <c r="F4003">
        <v>7223</v>
      </c>
    </row>
    <row r="4004" spans="1:6" x14ac:dyDescent="0.25">
      <c r="A4004">
        <v>7938</v>
      </c>
      <c r="B4004" s="15">
        <v>45388</v>
      </c>
      <c r="E4004" s="157"/>
      <c r="F4004">
        <v>7224</v>
      </c>
    </row>
    <row r="4005" spans="1:6" x14ac:dyDescent="0.25">
      <c r="A4005">
        <v>7938</v>
      </c>
      <c r="B4005" s="15">
        <v>45389</v>
      </c>
      <c r="E4005" s="157"/>
      <c r="F4005">
        <v>7225</v>
      </c>
    </row>
    <row r="4006" spans="1:6" x14ac:dyDescent="0.25">
      <c r="A4006">
        <v>7938</v>
      </c>
      <c r="B4006" s="15">
        <v>45390</v>
      </c>
      <c r="E4006" s="160" t="s">
        <v>263</v>
      </c>
      <c r="F4006">
        <v>7226</v>
      </c>
    </row>
    <row r="4007" spans="1:6" x14ac:dyDescent="0.25">
      <c r="A4007">
        <v>7938</v>
      </c>
      <c r="B4007" s="15">
        <v>45391</v>
      </c>
      <c r="E4007" s="160" t="s">
        <v>268</v>
      </c>
      <c r="F4007">
        <v>7227</v>
      </c>
    </row>
    <row r="4008" spans="1:6" x14ac:dyDescent="0.25">
      <c r="A4008">
        <v>7938</v>
      </c>
      <c r="B4008" s="15">
        <v>45392</v>
      </c>
      <c r="E4008" s="160" t="s">
        <v>268</v>
      </c>
      <c r="F4008">
        <v>7228</v>
      </c>
    </row>
    <row r="4009" spans="1:6" x14ac:dyDescent="0.25">
      <c r="A4009">
        <v>7938</v>
      </c>
      <c r="B4009" s="15">
        <v>45393</v>
      </c>
      <c r="E4009" s="160" t="s">
        <v>263</v>
      </c>
      <c r="F4009">
        <v>7229</v>
      </c>
    </row>
    <row r="4010" spans="1:6" x14ac:dyDescent="0.25">
      <c r="A4010">
        <v>7938</v>
      </c>
      <c r="B4010" s="15">
        <v>45394</v>
      </c>
      <c r="E4010" s="158"/>
      <c r="F4010">
        <v>7230</v>
      </c>
    </row>
    <row r="4011" spans="1:6" x14ac:dyDescent="0.25">
      <c r="A4011">
        <v>7938</v>
      </c>
      <c r="B4011" s="15">
        <v>45395</v>
      </c>
      <c r="E4011" s="160" t="s">
        <v>175</v>
      </c>
      <c r="F4011">
        <v>7231</v>
      </c>
    </row>
    <row r="4012" spans="1:6" x14ac:dyDescent="0.25">
      <c r="A4012">
        <v>7938</v>
      </c>
      <c r="B4012" s="15">
        <v>45396</v>
      </c>
      <c r="E4012" s="157"/>
      <c r="F4012">
        <v>7232</v>
      </c>
    </row>
    <row r="4013" spans="1:6" x14ac:dyDescent="0.25">
      <c r="A4013">
        <v>7938</v>
      </c>
      <c r="B4013" s="15">
        <v>45397</v>
      </c>
      <c r="E4013" s="157"/>
      <c r="F4013">
        <v>7233</v>
      </c>
    </row>
    <row r="4014" spans="1:6" x14ac:dyDescent="0.25">
      <c r="A4014">
        <v>7938</v>
      </c>
      <c r="B4014" s="15">
        <v>45398</v>
      </c>
      <c r="E4014" s="160" t="s">
        <v>263</v>
      </c>
      <c r="F4014">
        <v>7234</v>
      </c>
    </row>
    <row r="4015" spans="1:6" x14ac:dyDescent="0.25">
      <c r="A4015">
        <v>7938</v>
      </c>
      <c r="B4015" s="15">
        <v>45399</v>
      </c>
      <c r="E4015" s="160" t="s">
        <v>263</v>
      </c>
      <c r="F4015">
        <v>7235</v>
      </c>
    </row>
    <row r="4016" spans="1:6" x14ac:dyDescent="0.25">
      <c r="A4016">
        <v>7938</v>
      </c>
      <c r="B4016" s="15">
        <v>45400</v>
      </c>
      <c r="E4016" s="160" t="s">
        <v>268</v>
      </c>
      <c r="F4016">
        <v>7236</v>
      </c>
    </row>
    <row r="4017" spans="1:6" x14ac:dyDescent="0.25">
      <c r="A4017">
        <v>7938</v>
      </c>
      <c r="B4017" s="15">
        <v>45401</v>
      </c>
      <c r="E4017" s="160" t="s">
        <v>263</v>
      </c>
      <c r="F4017">
        <v>7237</v>
      </c>
    </row>
    <row r="4018" spans="1:6" x14ac:dyDescent="0.25">
      <c r="A4018">
        <v>7938</v>
      </c>
      <c r="B4018" s="15">
        <v>45402</v>
      </c>
      <c r="E4018" s="157"/>
      <c r="F4018">
        <v>7238</v>
      </c>
    </row>
    <row r="4019" spans="1:6" x14ac:dyDescent="0.25">
      <c r="A4019">
        <v>7938</v>
      </c>
      <c r="B4019" s="15">
        <v>45403</v>
      </c>
      <c r="E4019" s="157"/>
      <c r="F4019">
        <v>7239</v>
      </c>
    </row>
    <row r="4020" spans="1:6" x14ac:dyDescent="0.25">
      <c r="A4020">
        <v>7938</v>
      </c>
      <c r="B4020" s="15">
        <v>45404</v>
      </c>
      <c r="E4020" s="125" t="s">
        <v>2</v>
      </c>
      <c r="F4020">
        <v>7240</v>
      </c>
    </row>
    <row r="4021" spans="1:6" x14ac:dyDescent="0.25">
      <c r="A4021">
        <v>7938</v>
      </c>
      <c r="B4021" s="15">
        <v>45405</v>
      </c>
      <c r="E4021" s="122" t="s">
        <v>2</v>
      </c>
      <c r="F4021">
        <v>7241</v>
      </c>
    </row>
    <row r="4022" spans="1:6" x14ac:dyDescent="0.25">
      <c r="A4022">
        <v>7938</v>
      </c>
      <c r="B4022" s="15">
        <v>45406</v>
      </c>
      <c r="E4022" s="122" t="s">
        <v>2</v>
      </c>
      <c r="F4022">
        <v>7242</v>
      </c>
    </row>
    <row r="4023" spans="1:6" x14ac:dyDescent="0.25">
      <c r="A4023">
        <v>7938</v>
      </c>
      <c r="B4023" s="15">
        <v>45407</v>
      </c>
      <c r="E4023" s="125" t="s">
        <v>2</v>
      </c>
      <c r="F4023">
        <v>7243</v>
      </c>
    </row>
    <row r="4024" spans="1:6" x14ac:dyDescent="0.25">
      <c r="A4024">
        <v>7938</v>
      </c>
      <c r="B4024" s="15">
        <v>45408</v>
      </c>
      <c r="E4024" s="158"/>
      <c r="F4024">
        <v>7244</v>
      </c>
    </row>
    <row r="4025" spans="1:6" x14ac:dyDescent="0.25">
      <c r="A4025">
        <v>7938</v>
      </c>
      <c r="B4025" s="15">
        <v>45409</v>
      </c>
      <c r="E4025" s="126" t="s">
        <v>2</v>
      </c>
      <c r="F4025">
        <v>7245</v>
      </c>
    </row>
    <row r="4026" spans="1:6" x14ac:dyDescent="0.25">
      <c r="A4026">
        <v>7938</v>
      </c>
      <c r="B4026" s="15">
        <v>45410</v>
      </c>
      <c r="E4026" s="157"/>
      <c r="F4026">
        <v>7246</v>
      </c>
    </row>
    <row r="4027" spans="1:6" x14ac:dyDescent="0.25">
      <c r="A4027">
        <v>7938</v>
      </c>
      <c r="B4027" s="15">
        <v>45411</v>
      </c>
      <c r="E4027" s="157"/>
      <c r="F4027">
        <v>7247</v>
      </c>
    </row>
    <row r="4028" spans="1:6" x14ac:dyDescent="0.25">
      <c r="A4028">
        <v>7938</v>
      </c>
      <c r="B4028" s="15">
        <v>45412</v>
      </c>
      <c r="E4028" s="160" t="s">
        <v>263</v>
      </c>
      <c r="F4028">
        <v>7248</v>
      </c>
    </row>
    <row r="4029" spans="1:6" x14ac:dyDescent="0.25">
      <c r="A4029">
        <v>7938</v>
      </c>
      <c r="B4029" s="15">
        <v>45413</v>
      </c>
      <c r="E4029" s="119"/>
      <c r="F4029">
        <v>7249</v>
      </c>
    </row>
    <row r="4030" spans="1:6" x14ac:dyDescent="0.25">
      <c r="A4030">
        <v>7938</v>
      </c>
      <c r="B4030" s="15">
        <v>45414</v>
      </c>
      <c r="E4030" s="160" t="s">
        <v>268</v>
      </c>
      <c r="F4030">
        <v>7250</v>
      </c>
    </row>
    <row r="4031" spans="1:6" x14ac:dyDescent="0.25">
      <c r="A4031">
        <v>7938</v>
      </c>
      <c r="B4031" s="15">
        <v>45415</v>
      </c>
      <c r="E4031" s="160" t="s">
        <v>263</v>
      </c>
      <c r="F4031">
        <v>7251</v>
      </c>
    </row>
    <row r="4032" spans="1:6" x14ac:dyDescent="0.25">
      <c r="A4032">
        <v>7938</v>
      </c>
      <c r="B4032" s="15">
        <v>45416</v>
      </c>
      <c r="E4032" s="157"/>
      <c r="F4032">
        <v>7252</v>
      </c>
    </row>
    <row r="4033" spans="1:6" x14ac:dyDescent="0.25">
      <c r="A4033">
        <v>7938</v>
      </c>
      <c r="B4033" s="15">
        <v>45417</v>
      </c>
      <c r="E4033" s="157"/>
      <c r="F4033">
        <v>7253</v>
      </c>
    </row>
    <row r="4034" spans="1:6" x14ac:dyDescent="0.25">
      <c r="A4034">
        <v>7973</v>
      </c>
      <c r="B4034" s="15">
        <v>45264</v>
      </c>
      <c r="E4034" s="158"/>
      <c r="F4034">
        <v>3950</v>
      </c>
    </row>
    <row r="4035" spans="1:6" x14ac:dyDescent="0.25">
      <c r="A4035">
        <v>7973</v>
      </c>
      <c r="B4035" s="15">
        <v>45265</v>
      </c>
      <c r="E4035" s="160" t="s">
        <v>263</v>
      </c>
      <c r="F4035">
        <v>3951</v>
      </c>
    </row>
    <row r="4036" spans="1:6" x14ac:dyDescent="0.25">
      <c r="A4036">
        <v>7973</v>
      </c>
      <c r="B4036" s="15">
        <v>45266</v>
      </c>
      <c r="E4036" s="160" t="s">
        <v>263</v>
      </c>
      <c r="F4036">
        <v>3952</v>
      </c>
    </row>
    <row r="4037" spans="1:6" x14ac:dyDescent="0.25">
      <c r="A4037">
        <v>7973</v>
      </c>
      <c r="B4037" s="15">
        <v>45267</v>
      </c>
      <c r="E4037" s="160" t="s">
        <v>268</v>
      </c>
      <c r="F4037">
        <v>3953</v>
      </c>
    </row>
    <row r="4038" spans="1:6" x14ac:dyDescent="0.25">
      <c r="A4038">
        <v>7973</v>
      </c>
      <c r="B4038" s="15">
        <v>45268</v>
      </c>
      <c r="E4038" s="117" t="s">
        <v>2</v>
      </c>
      <c r="F4038">
        <v>3954</v>
      </c>
    </row>
    <row r="4039" spans="1:6" x14ac:dyDescent="0.25">
      <c r="A4039">
        <v>7973</v>
      </c>
      <c r="B4039" s="15">
        <v>45269</v>
      </c>
      <c r="E4039" s="157"/>
      <c r="F4039">
        <v>3955</v>
      </c>
    </row>
    <row r="4040" spans="1:6" x14ac:dyDescent="0.25">
      <c r="A4040">
        <v>7973</v>
      </c>
      <c r="B4040" s="15">
        <v>45270</v>
      </c>
      <c r="E4040" s="157"/>
      <c r="F4040">
        <v>3956</v>
      </c>
    </row>
    <row r="4041" spans="1:6" x14ac:dyDescent="0.25">
      <c r="A4041">
        <v>7973</v>
      </c>
      <c r="B4041" s="15">
        <v>45271</v>
      </c>
      <c r="E4041" s="117" t="s">
        <v>1</v>
      </c>
      <c r="F4041">
        <v>3957</v>
      </c>
    </row>
    <row r="4042" spans="1:6" x14ac:dyDescent="0.25">
      <c r="A4042">
        <v>7973</v>
      </c>
      <c r="B4042" s="15">
        <v>45272</v>
      </c>
      <c r="E4042" s="157"/>
      <c r="F4042">
        <v>3958</v>
      </c>
    </row>
    <row r="4043" spans="1:6" x14ac:dyDescent="0.25">
      <c r="A4043">
        <v>7973</v>
      </c>
      <c r="B4043" s="15">
        <v>45273</v>
      </c>
      <c r="E4043" s="120" t="s">
        <v>1</v>
      </c>
      <c r="F4043">
        <v>3959</v>
      </c>
    </row>
    <row r="4044" spans="1:6" x14ac:dyDescent="0.25">
      <c r="A4044">
        <v>7973</v>
      </c>
      <c r="B4044" s="15">
        <v>45274</v>
      </c>
      <c r="E4044" s="117" t="s">
        <v>1</v>
      </c>
      <c r="F4044">
        <v>3960</v>
      </c>
    </row>
    <row r="4045" spans="1:6" x14ac:dyDescent="0.25">
      <c r="A4045">
        <v>7973</v>
      </c>
      <c r="B4045" s="15">
        <v>45275</v>
      </c>
      <c r="E4045" s="120" t="s">
        <v>1</v>
      </c>
      <c r="F4045">
        <v>3961</v>
      </c>
    </row>
    <row r="4046" spans="1:6" x14ac:dyDescent="0.25">
      <c r="A4046">
        <v>7973</v>
      </c>
      <c r="B4046" s="15">
        <v>45276</v>
      </c>
      <c r="E4046" s="121" t="s">
        <v>1</v>
      </c>
      <c r="F4046">
        <v>3962</v>
      </c>
    </row>
    <row r="4047" spans="1:6" x14ac:dyDescent="0.25">
      <c r="A4047">
        <v>7973</v>
      </c>
      <c r="B4047" s="15">
        <v>45277</v>
      </c>
      <c r="E4047" s="157"/>
      <c r="F4047">
        <v>3963</v>
      </c>
    </row>
    <row r="4048" spans="1:6" x14ac:dyDescent="0.25">
      <c r="A4048">
        <v>7973</v>
      </c>
      <c r="B4048" s="15">
        <v>45278</v>
      </c>
      <c r="E4048" s="158"/>
      <c r="F4048">
        <v>3964</v>
      </c>
    </row>
    <row r="4049" spans="1:6" x14ac:dyDescent="0.25">
      <c r="A4049">
        <v>7973</v>
      </c>
      <c r="B4049" s="15">
        <v>45279</v>
      </c>
      <c r="E4049" s="160" t="s">
        <v>263</v>
      </c>
      <c r="F4049">
        <v>3965</v>
      </c>
    </row>
    <row r="4050" spans="1:6" x14ac:dyDescent="0.25">
      <c r="A4050">
        <v>7973</v>
      </c>
      <c r="B4050" s="15">
        <v>45280</v>
      </c>
      <c r="E4050" s="160" t="s">
        <v>263</v>
      </c>
      <c r="F4050">
        <v>3966</v>
      </c>
    </row>
    <row r="4051" spans="1:6" x14ac:dyDescent="0.25">
      <c r="A4051">
        <v>7973</v>
      </c>
      <c r="B4051" s="15">
        <v>45281</v>
      </c>
      <c r="E4051" s="160" t="s">
        <v>268</v>
      </c>
      <c r="F4051">
        <v>3967</v>
      </c>
    </row>
    <row r="4052" spans="1:6" x14ac:dyDescent="0.25">
      <c r="A4052">
        <v>7973</v>
      </c>
      <c r="B4052" s="15">
        <v>45282</v>
      </c>
      <c r="E4052" s="160" t="s">
        <v>175</v>
      </c>
      <c r="F4052">
        <v>3968</v>
      </c>
    </row>
    <row r="4053" spans="1:6" x14ac:dyDescent="0.25">
      <c r="A4053">
        <v>7973</v>
      </c>
      <c r="B4053" s="15">
        <v>45283</v>
      </c>
      <c r="E4053" s="157"/>
      <c r="F4053">
        <v>3969</v>
      </c>
    </row>
    <row r="4054" spans="1:6" x14ac:dyDescent="0.25">
      <c r="A4054">
        <v>7973</v>
      </c>
      <c r="B4054" s="15">
        <v>45284</v>
      </c>
      <c r="E4054" s="157"/>
      <c r="F4054">
        <v>3970</v>
      </c>
    </row>
    <row r="4055" spans="1:6" x14ac:dyDescent="0.25">
      <c r="A4055">
        <v>7973</v>
      </c>
      <c r="B4055" s="15">
        <v>45285</v>
      </c>
      <c r="E4055" s="155"/>
      <c r="F4055">
        <v>3971</v>
      </c>
    </row>
    <row r="4056" spans="1:6" x14ac:dyDescent="0.25">
      <c r="A4056">
        <v>7973</v>
      </c>
      <c r="B4056" s="15">
        <v>45286</v>
      </c>
      <c r="E4056" s="157"/>
      <c r="F4056">
        <v>3972</v>
      </c>
    </row>
    <row r="4057" spans="1:6" x14ac:dyDescent="0.25">
      <c r="A4057">
        <v>7973</v>
      </c>
      <c r="B4057" s="15">
        <v>45287</v>
      </c>
      <c r="E4057" s="160" t="s">
        <v>268</v>
      </c>
      <c r="F4057">
        <v>3973</v>
      </c>
    </row>
    <row r="4058" spans="1:6" x14ac:dyDescent="0.25">
      <c r="A4058">
        <v>7973</v>
      </c>
      <c r="B4058" s="15">
        <v>45288</v>
      </c>
      <c r="E4058" s="160" t="s">
        <v>263</v>
      </c>
      <c r="F4058">
        <v>3974</v>
      </c>
    </row>
    <row r="4059" spans="1:6" x14ac:dyDescent="0.25">
      <c r="A4059">
        <v>7973</v>
      </c>
      <c r="B4059" s="15">
        <v>45289</v>
      </c>
      <c r="E4059" s="160" t="s">
        <v>175</v>
      </c>
      <c r="F4059">
        <v>3975</v>
      </c>
    </row>
    <row r="4060" spans="1:6" x14ac:dyDescent="0.25">
      <c r="A4060">
        <v>7973</v>
      </c>
      <c r="B4060" s="15">
        <v>45290</v>
      </c>
      <c r="E4060" s="160" t="s">
        <v>175</v>
      </c>
      <c r="F4060">
        <v>3976</v>
      </c>
    </row>
    <row r="4061" spans="1:6" x14ac:dyDescent="0.25">
      <c r="A4061">
        <v>7973</v>
      </c>
      <c r="B4061" s="15">
        <v>45291</v>
      </c>
      <c r="E4061" s="157"/>
      <c r="F4061">
        <v>3977</v>
      </c>
    </row>
    <row r="4062" spans="1:6" x14ac:dyDescent="0.25">
      <c r="A4062">
        <v>7973</v>
      </c>
      <c r="B4062" s="15">
        <v>45292</v>
      </c>
      <c r="E4062" s="119"/>
      <c r="F4062">
        <v>4769</v>
      </c>
    </row>
    <row r="4063" spans="1:6" x14ac:dyDescent="0.25">
      <c r="A4063">
        <v>7973</v>
      </c>
      <c r="B4063" s="15">
        <v>45293</v>
      </c>
      <c r="E4063" s="202" t="s">
        <v>163</v>
      </c>
      <c r="F4063">
        <v>4770</v>
      </c>
    </row>
    <row r="4064" spans="1:6" x14ac:dyDescent="0.25">
      <c r="A4064">
        <v>7973</v>
      </c>
      <c r="B4064" s="15">
        <v>45294</v>
      </c>
      <c r="E4064" s="160" t="s">
        <v>263</v>
      </c>
      <c r="F4064">
        <v>4771</v>
      </c>
    </row>
    <row r="4065" spans="1:6" x14ac:dyDescent="0.25">
      <c r="A4065">
        <v>7973</v>
      </c>
      <c r="B4065" s="15">
        <v>45295</v>
      </c>
      <c r="E4065" s="160" t="s">
        <v>268</v>
      </c>
      <c r="F4065">
        <v>4772</v>
      </c>
    </row>
    <row r="4066" spans="1:6" x14ac:dyDescent="0.25">
      <c r="A4066">
        <v>7973</v>
      </c>
      <c r="B4066" s="15">
        <v>45296</v>
      </c>
      <c r="E4066" s="160" t="s">
        <v>263</v>
      </c>
      <c r="F4066">
        <v>4773</v>
      </c>
    </row>
    <row r="4067" spans="1:6" x14ac:dyDescent="0.25">
      <c r="A4067">
        <v>7973</v>
      </c>
      <c r="B4067" s="15">
        <v>45297</v>
      </c>
      <c r="E4067" s="157"/>
      <c r="F4067">
        <v>4774</v>
      </c>
    </row>
    <row r="4068" spans="1:6" x14ac:dyDescent="0.25">
      <c r="A4068">
        <v>7973</v>
      </c>
      <c r="B4068" s="15">
        <v>45298</v>
      </c>
      <c r="E4068" s="157"/>
      <c r="F4068">
        <v>4775</v>
      </c>
    </row>
    <row r="4069" spans="1:6" x14ac:dyDescent="0.25">
      <c r="A4069">
        <v>7973</v>
      </c>
      <c r="B4069" s="15">
        <v>45299</v>
      </c>
      <c r="E4069" s="160" t="s">
        <v>263</v>
      </c>
      <c r="F4069">
        <v>4776</v>
      </c>
    </row>
    <row r="4070" spans="1:6" x14ac:dyDescent="0.25">
      <c r="A4070">
        <v>7973</v>
      </c>
      <c r="B4070" s="15">
        <v>45300</v>
      </c>
      <c r="E4070" s="157"/>
      <c r="F4070">
        <v>4777</v>
      </c>
    </row>
    <row r="4071" spans="1:6" x14ac:dyDescent="0.25">
      <c r="A4071">
        <v>7973</v>
      </c>
      <c r="B4071" s="15">
        <v>45301</v>
      </c>
      <c r="E4071" s="160" t="s">
        <v>268</v>
      </c>
      <c r="F4071">
        <v>4778</v>
      </c>
    </row>
    <row r="4072" spans="1:6" x14ac:dyDescent="0.25">
      <c r="A4072">
        <v>7973</v>
      </c>
      <c r="B4072" s="15">
        <v>45302</v>
      </c>
      <c r="E4072" s="160" t="s">
        <v>263</v>
      </c>
      <c r="F4072">
        <v>4779</v>
      </c>
    </row>
    <row r="4073" spans="1:6" x14ac:dyDescent="0.25">
      <c r="A4073">
        <v>7973</v>
      </c>
      <c r="B4073" s="15">
        <v>45303</v>
      </c>
      <c r="E4073" s="160" t="s">
        <v>268</v>
      </c>
      <c r="F4073">
        <v>4780</v>
      </c>
    </row>
    <row r="4074" spans="1:6" x14ac:dyDescent="0.25">
      <c r="A4074">
        <v>7973</v>
      </c>
      <c r="B4074" s="15">
        <v>45304</v>
      </c>
      <c r="E4074" s="160" t="s">
        <v>175</v>
      </c>
      <c r="F4074">
        <v>4781</v>
      </c>
    </row>
    <row r="4075" spans="1:6" x14ac:dyDescent="0.25">
      <c r="A4075">
        <v>7973</v>
      </c>
      <c r="B4075" s="15">
        <v>45305</v>
      </c>
      <c r="E4075" s="157"/>
      <c r="F4075">
        <v>4782</v>
      </c>
    </row>
    <row r="4076" spans="1:6" x14ac:dyDescent="0.25">
      <c r="A4076">
        <v>7973</v>
      </c>
      <c r="B4076" s="15">
        <v>45306</v>
      </c>
      <c r="E4076" s="158"/>
      <c r="F4076">
        <v>4783</v>
      </c>
    </row>
    <row r="4077" spans="1:6" x14ac:dyDescent="0.25">
      <c r="A4077">
        <v>7973</v>
      </c>
      <c r="B4077" s="15">
        <v>45307</v>
      </c>
      <c r="E4077" s="160" t="s">
        <v>263</v>
      </c>
      <c r="F4077">
        <v>4784</v>
      </c>
    </row>
    <row r="4078" spans="1:6" x14ac:dyDescent="0.25">
      <c r="A4078">
        <v>7973</v>
      </c>
      <c r="B4078" s="15">
        <v>45308</v>
      </c>
      <c r="E4078" s="160" t="s">
        <v>263</v>
      </c>
      <c r="F4078">
        <v>4785</v>
      </c>
    </row>
    <row r="4079" spans="1:6" x14ac:dyDescent="0.25">
      <c r="A4079">
        <v>7973</v>
      </c>
      <c r="B4079" s="15">
        <v>45309</v>
      </c>
      <c r="E4079" s="160" t="s">
        <v>268</v>
      </c>
      <c r="F4079">
        <v>4786</v>
      </c>
    </row>
    <row r="4080" spans="1:6" x14ac:dyDescent="0.25">
      <c r="A4080">
        <v>7973</v>
      </c>
      <c r="B4080" s="15">
        <v>45310</v>
      </c>
      <c r="E4080" s="117" t="s">
        <v>2</v>
      </c>
      <c r="F4080">
        <v>4787</v>
      </c>
    </row>
    <row r="4081" spans="1:6" x14ac:dyDescent="0.25">
      <c r="A4081">
        <v>7973</v>
      </c>
      <c r="B4081" s="15">
        <v>45311</v>
      </c>
      <c r="E4081" s="157"/>
      <c r="F4081">
        <v>4788</v>
      </c>
    </row>
    <row r="4082" spans="1:6" x14ac:dyDescent="0.25">
      <c r="A4082">
        <v>7973</v>
      </c>
      <c r="B4082" s="15">
        <v>45312</v>
      </c>
      <c r="E4082" s="157"/>
      <c r="F4082">
        <v>4789</v>
      </c>
    </row>
    <row r="4083" spans="1:6" x14ac:dyDescent="0.25">
      <c r="A4083">
        <v>7973</v>
      </c>
      <c r="B4083" s="15">
        <v>45313</v>
      </c>
      <c r="E4083" s="160" t="s">
        <v>263</v>
      </c>
      <c r="F4083">
        <v>4790</v>
      </c>
    </row>
    <row r="4084" spans="1:6" x14ac:dyDescent="0.25">
      <c r="A4084">
        <v>7973</v>
      </c>
      <c r="B4084" s="15">
        <v>45314</v>
      </c>
      <c r="E4084" s="157"/>
      <c r="F4084">
        <v>4791</v>
      </c>
    </row>
    <row r="4085" spans="1:6" x14ac:dyDescent="0.25">
      <c r="A4085">
        <v>7973</v>
      </c>
      <c r="B4085" s="15">
        <v>45315</v>
      </c>
      <c r="E4085" s="160" t="s">
        <v>268</v>
      </c>
      <c r="F4085">
        <v>4792</v>
      </c>
    </row>
    <row r="4086" spans="1:6" x14ac:dyDescent="0.25">
      <c r="A4086">
        <v>7973</v>
      </c>
      <c r="B4086" s="15">
        <v>45316</v>
      </c>
      <c r="E4086" s="160" t="s">
        <v>263</v>
      </c>
      <c r="F4086">
        <v>4793</v>
      </c>
    </row>
    <row r="4087" spans="1:6" x14ac:dyDescent="0.25">
      <c r="A4087">
        <v>7973</v>
      </c>
      <c r="B4087" s="15">
        <v>45317</v>
      </c>
      <c r="E4087" s="160" t="s">
        <v>268</v>
      </c>
      <c r="F4087">
        <v>4794</v>
      </c>
    </row>
    <row r="4088" spans="1:6" x14ac:dyDescent="0.25">
      <c r="A4088">
        <v>7973</v>
      </c>
      <c r="B4088" s="15">
        <v>45318</v>
      </c>
      <c r="E4088" s="121" t="s">
        <v>2</v>
      </c>
      <c r="F4088">
        <v>4795</v>
      </c>
    </row>
    <row r="4089" spans="1:6" x14ac:dyDescent="0.25">
      <c r="A4089">
        <v>7973</v>
      </c>
      <c r="B4089" s="15">
        <v>45319</v>
      </c>
      <c r="E4089" s="157"/>
      <c r="F4089">
        <v>4796</v>
      </c>
    </row>
    <row r="4090" spans="1:6" x14ac:dyDescent="0.25">
      <c r="A4090">
        <v>7973</v>
      </c>
      <c r="B4090" s="15">
        <v>45320</v>
      </c>
      <c r="E4090" s="158"/>
      <c r="F4090">
        <v>4797</v>
      </c>
    </row>
    <row r="4091" spans="1:6" x14ac:dyDescent="0.25">
      <c r="A4091">
        <v>7973</v>
      </c>
      <c r="B4091" s="15">
        <v>45321</v>
      </c>
      <c r="E4091" s="160" t="s">
        <v>263</v>
      </c>
      <c r="F4091">
        <v>4798</v>
      </c>
    </row>
    <row r="4092" spans="1:6" x14ac:dyDescent="0.25">
      <c r="A4092">
        <v>7973</v>
      </c>
      <c r="B4092" s="15">
        <v>45322</v>
      </c>
      <c r="E4092" s="160" t="s">
        <v>263</v>
      </c>
      <c r="F4092">
        <v>4799</v>
      </c>
    </row>
    <row r="4093" spans="1:6" x14ac:dyDescent="0.25">
      <c r="A4093">
        <v>7973</v>
      </c>
      <c r="B4093" s="15">
        <v>45323</v>
      </c>
      <c r="E4093" s="160" t="s">
        <v>268</v>
      </c>
      <c r="F4093">
        <v>4800</v>
      </c>
    </row>
    <row r="4094" spans="1:6" x14ac:dyDescent="0.25">
      <c r="A4094">
        <v>7973</v>
      </c>
      <c r="B4094" s="15">
        <v>45324</v>
      </c>
      <c r="E4094" s="117" t="s">
        <v>2</v>
      </c>
      <c r="F4094">
        <v>4801</v>
      </c>
    </row>
    <row r="4095" spans="1:6" x14ac:dyDescent="0.25">
      <c r="A4095">
        <v>7973</v>
      </c>
      <c r="B4095" s="15">
        <v>45325</v>
      </c>
      <c r="E4095" s="157"/>
      <c r="F4095">
        <v>4802</v>
      </c>
    </row>
    <row r="4096" spans="1:6" x14ac:dyDescent="0.25">
      <c r="A4096">
        <v>7973</v>
      </c>
      <c r="B4096" s="15">
        <v>45326</v>
      </c>
      <c r="E4096" s="157"/>
      <c r="F4096">
        <v>4803</v>
      </c>
    </row>
    <row r="4097" spans="1:6" x14ac:dyDescent="0.25">
      <c r="A4097">
        <v>7973</v>
      </c>
      <c r="B4097" s="15">
        <v>45327</v>
      </c>
      <c r="E4097" s="160" t="s">
        <v>263</v>
      </c>
      <c r="F4097">
        <v>5525</v>
      </c>
    </row>
    <row r="4098" spans="1:6" x14ac:dyDescent="0.25">
      <c r="A4098">
        <v>7973</v>
      </c>
      <c r="B4098" s="15">
        <v>45328</v>
      </c>
      <c r="E4098" s="157"/>
      <c r="F4098">
        <v>5526</v>
      </c>
    </row>
    <row r="4099" spans="1:6" x14ac:dyDescent="0.25">
      <c r="A4099">
        <v>7973</v>
      </c>
      <c r="B4099" s="15">
        <v>45329</v>
      </c>
      <c r="E4099" s="160" t="s">
        <v>268</v>
      </c>
      <c r="F4099">
        <v>5527</v>
      </c>
    </row>
    <row r="4100" spans="1:6" x14ac:dyDescent="0.25">
      <c r="A4100">
        <v>7973</v>
      </c>
      <c r="B4100" s="15">
        <v>45330</v>
      </c>
      <c r="E4100" s="160" t="s">
        <v>263</v>
      </c>
      <c r="F4100">
        <v>5528</v>
      </c>
    </row>
    <row r="4101" spans="1:6" x14ac:dyDescent="0.25">
      <c r="A4101">
        <v>7973</v>
      </c>
      <c r="B4101" s="15">
        <v>45331</v>
      </c>
      <c r="E4101" s="160" t="s">
        <v>268</v>
      </c>
      <c r="F4101">
        <v>5529</v>
      </c>
    </row>
    <row r="4102" spans="1:6" x14ac:dyDescent="0.25">
      <c r="A4102">
        <v>7973</v>
      </c>
      <c r="B4102" s="15">
        <v>45332</v>
      </c>
      <c r="E4102" s="160" t="s">
        <v>175</v>
      </c>
      <c r="F4102">
        <v>5530</v>
      </c>
    </row>
    <row r="4103" spans="1:6" x14ac:dyDescent="0.25">
      <c r="A4103">
        <v>7973</v>
      </c>
      <c r="B4103" s="15">
        <v>45333</v>
      </c>
      <c r="E4103" s="157"/>
      <c r="F4103">
        <v>5531</v>
      </c>
    </row>
    <row r="4104" spans="1:6" x14ac:dyDescent="0.25">
      <c r="A4104">
        <v>7973</v>
      </c>
      <c r="B4104" s="15">
        <v>45334</v>
      </c>
      <c r="E4104" s="158"/>
      <c r="F4104">
        <v>5532</v>
      </c>
    </row>
    <row r="4105" spans="1:6" x14ac:dyDescent="0.25">
      <c r="A4105">
        <v>7973</v>
      </c>
      <c r="B4105" s="15">
        <v>45335</v>
      </c>
      <c r="E4105" s="160" t="s">
        <v>263</v>
      </c>
      <c r="F4105">
        <v>5533</v>
      </c>
    </row>
    <row r="4106" spans="1:6" x14ac:dyDescent="0.25">
      <c r="A4106">
        <v>7973</v>
      </c>
      <c r="B4106" s="15">
        <v>45336</v>
      </c>
      <c r="E4106" s="160" t="s">
        <v>263</v>
      </c>
      <c r="F4106">
        <v>5534</v>
      </c>
    </row>
    <row r="4107" spans="1:6" x14ac:dyDescent="0.25">
      <c r="A4107">
        <v>7973</v>
      </c>
      <c r="B4107" s="15">
        <v>45337</v>
      </c>
      <c r="E4107" s="160" t="s">
        <v>268</v>
      </c>
      <c r="F4107">
        <v>5535</v>
      </c>
    </row>
    <row r="4108" spans="1:6" x14ac:dyDescent="0.25">
      <c r="A4108">
        <v>7973</v>
      </c>
      <c r="B4108" s="15">
        <v>45338</v>
      </c>
      <c r="E4108" s="117" t="s">
        <v>2</v>
      </c>
      <c r="F4108">
        <v>5536</v>
      </c>
    </row>
    <row r="4109" spans="1:6" x14ac:dyDescent="0.25">
      <c r="A4109">
        <v>7973</v>
      </c>
      <c r="B4109" s="15">
        <v>45339</v>
      </c>
      <c r="E4109" s="157"/>
      <c r="F4109">
        <v>5537</v>
      </c>
    </row>
    <row r="4110" spans="1:6" x14ac:dyDescent="0.25">
      <c r="A4110">
        <v>7973</v>
      </c>
      <c r="B4110" s="15">
        <v>45340</v>
      </c>
      <c r="E4110" s="157"/>
      <c r="F4110">
        <v>5538</v>
      </c>
    </row>
    <row r="4111" spans="1:6" x14ac:dyDescent="0.25">
      <c r="A4111">
        <v>7973</v>
      </c>
      <c r="B4111" s="15">
        <v>45341</v>
      </c>
      <c r="E4111" s="160" t="s">
        <v>263</v>
      </c>
      <c r="F4111">
        <v>5539</v>
      </c>
    </row>
    <row r="4112" spans="1:6" x14ac:dyDescent="0.25">
      <c r="A4112">
        <v>7973</v>
      </c>
      <c r="B4112" s="15">
        <v>45342</v>
      </c>
      <c r="E4112" s="157"/>
      <c r="F4112">
        <v>5540</v>
      </c>
    </row>
    <row r="4113" spans="1:6" x14ac:dyDescent="0.25">
      <c r="A4113">
        <v>7973</v>
      </c>
      <c r="B4113" s="15">
        <v>45343</v>
      </c>
      <c r="E4113" s="160" t="s">
        <v>268</v>
      </c>
      <c r="F4113">
        <v>5541</v>
      </c>
    </row>
    <row r="4114" spans="1:6" x14ac:dyDescent="0.25">
      <c r="A4114">
        <v>7973</v>
      </c>
      <c r="B4114" s="15">
        <v>45344</v>
      </c>
      <c r="E4114" s="160" t="s">
        <v>263</v>
      </c>
      <c r="F4114">
        <v>5542</v>
      </c>
    </row>
    <row r="4115" spans="1:6" x14ac:dyDescent="0.25">
      <c r="A4115">
        <v>7973</v>
      </c>
      <c r="B4115" s="15">
        <v>45345</v>
      </c>
      <c r="E4115" s="160" t="s">
        <v>268</v>
      </c>
      <c r="F4115">
        <v>5543</v>
      </c>
    </row>
    <row r="4116" spans="1:6" x14ac:dyDescent="0.25">
      <c r="A4116">
        <v>7973</v>
      </c>
      <c r="B4116" s="15">
        <v>45346</v>
      </c>
      <c r="E4116" s="160" t="s">
        <v>175</v>
      </c>
      <c r="F4116">
        <v>5544</v>
      </c>
    </row>
    <row r="4117" spans="1:6" x14ac:dyDescent="0.25">
      <c r="A4117">
        <v>7973</v>
      </c>
      <c r="B4117" s="15">
        <v>45347</v>
      </c>
      <c r="E4117" s="157"/>
      <c r="F4117">
        <v>5545</v>
      </c>
    </row>
    <row r="4118" spans="1:6" x14ac:dyDescent="0.25">
      <c r="A4118">
        <v>7973</v>
      </c>
      <c r="B4118" s="15">
        <v>45348</v>
      </c>
      <c r="E4118" s="158"/>
      <c r="F4118">
        <v>5546</v>
      </c>
    </row>
    <row r="4119" spans="1:6" x14ac:dyDescent="0.25">
      <c r="A4119">
        <v>7973</v>
      </c>
      <c r="B4119" s="15">
        <v>45349</v>
      </c>
      <c r="E4119" s="160" t="s">
        <v>263</v>
      </c>
      <c r="F4119">
        <v>5547</v>
      </c>
    </row>
    <row r="4120" spans="1:6" x14ac:dyDescent="0.25">
      <c r="A4120">
        <v>7973</v>
      </c>
      <c r="B4120" s="15">
        <v>45350</v>
      </c>
      <c r="E4120" s="160" t="s">
        <v>263</v>
      </c>
      <c r="F4120">
        <v>5548</v>
      </c>
    </row>
    <row r="4121" spans="1:6" x14ac:dyDescent="0.25">
      <c r="A4121">
        <v>7973</v>
      </c>
      <c r="B4121" s="15">
        <v>45351</v>
      </c>
      <c r="E4121" s="160" t="s">
        <v>268</v>
      </c>
      <c r="F4121">
        <v>5549</v>
      </c>
    </row>
    <row r="4122" spans="1:6" x14ac:dyDescent="0.25">
      <c r="A4122">
        <v>7973</v>
      </c>
      <c r="B4122" s="15">
        <v>45352</v>
      </c>
      <c r="E4122" s="160" t="s">
        <v>263</v>
      </c>
      <c r="F4122">
        <v>5550</v>
      </c>
    </row>
    <row r="4123" spans="1:6" x14ac:dyDescent="0.25">
      <c r="A4123">
        <v>7973</v>
      </c>
      <c r="B4123" s="15">
        <v>45353</v>
      </c>
      <c r="E4123" s="157"/>
      <c r="F4123">
        <v>5551</v>
      </c>
    </row>
    <row r="4124" spans="1:6" x14ac:dyDescent="0.25">
      <c r="A4124">
        <v>7973</v>
      </c>
      <c r="B4124" s="15">
        <v>45354</v>
      </c>
      <c r="E4124" s="157"/>
      <c r="F4124">
        <v>5552</v>
      </c>
    </row>
    <row r="4125" spans="1:6" x14ac:dyDescent="0.25">
      <c r="A4125">
        <v>7973</v>
      </c>
      <c r="B4125" s="15">
        <v>45355</v>
      </c>
      <c r="E4125" s="160" t="s">
        <v>263</v>
      </c>
      <c r="F4125">
        <v>6225</v>
      </c>
    </row>
    <row r="4126" spans="1:6" x14ac:dyDescent="0.25">
      <c r="A4126">
        <v>7973</v>
      </c>
      <c r="B4126" s="15">
        <v>45356</v>
      </c>
      <c r="E4126" s="157"/>
      <c r="F4126">
        <v>6226</v>
      </c>
    </row>
    <row r="4127" spans="1:6" x14ac:dyDescent="0.25">
      <c r="A4127">
        <v>7973</v>
      </c>
      <c r="B4127" s="15">
        <v>45357</v>
      </c>
      <c r="E4127" s="160" t="s">
        <v>268</v>
      </c>
      <c r="F4127">
        <v>6227</v>
      </c>
    </row>
    <row r="4128" spans="1:6" x14ac:dyDescent="0.25">
      <c r="A4128">
        <v>7973</v>
      </c>
      <c r="B4128" s="15">
        <v>45358</v>
      </c>
      <c r="E4128" s="160" t="s">
        <v>263</v>
      </c>
      <c r="F4128">
        <v>6228</v>
      </c>
    </row>
    <row r="4129" spans="1:6" x14ac:dyDescent="0.25">
      <c r="A4129">
        <v>7973</v>
      </c>
      <c r="B4129" s="15">
        <v>45359</v>
      </c>
      <c r="E4129" s="160" t="s">
        <v>268</v>
      </c>
      <c r="F4129">
        <v>6229</v>
      </c>
    </row>
    <row r="4130" spans="1:6" x14ac:dyDescent="0.25">
      <c r="A4130">
        <v>7973</v>
      </c>
      <c r="B4130" s="15">
        <v>45360</v>
      </c>
      <c r="E4130" s="160" t="s">
        <v>175</v>
      </c>
      <c r="F4130">
        <v>6230</v>
      </c>
    </row>
    <row r="4131" spans="1:6" x14ac:dyDescent="0.25">
      <c r="A4131">
        <v>7973</v>
      </c>
      <c r="B4131" s="15">
        <v>45361</v>
      </c>
      <c r="E4131" s="157"/>
      <c r="F4131">
        <v>6231</v>
      </c>
    </row>
    <row r="4132" spans="1:6" x14ac:dyDescent="0.25">
      <c r="A4132">
        <v>7973</v>
      </c>
      <c r="B4132" s="15">
        <v>45362</v>
      </c>
      <c r="E4132" s="158"/>
      <c r="F4132">
        <v>6232</v>
      </c>
    </row>
    <row r="4133" spans="1:6" x14ac:dyDescent="0.25">
      <c r="A4133">
        <v>7973</v>
      </c>
      <c r="B4133" s="15">
        <v>45363</v>
      </c>
      <c r="E4133" s="117" t="s">
        <v>2</v>
      </c>
      <c r="F4133">
        <v>6233</v>
      </c>
    </row>
    <row r="4134" spans="1:6" x14ac:dyDescent="0.25">
      <c r="A4134">
        <v>7973</v>
      </c>
      <c r="B4134" s="15">
        <v>45364</v>
      </c>
      <c r="E4134" s="117" t="s">
        <v>2</v>
      </c>
      <c r="F4134">
        <v>6234</v>
      </c>
    </row>
    <row r="4135" spans="1:6" x14ac:dyDescent="0.25">
      <c r="A4135">
        <v>7973</v>
      </c>
      <c r="B4135" s="15">
        <v>45365</v>
      </c>
      <c r="E4135" s="120" t="s">
        <v>2</v>
      </c>
      <c r="F4135">
        <v>6235</v>
      </c>
    </row>
    <row r="4136" spans="1:6" x14ac:dyDescent="0.25">
      <c r="A4136">
        <v>7973</v>
      </c>
      <c r="B4136" s="15">
        <v>45366</v>
      </c>
      <c r="E4136" s="117" t="s">
        <v>2</v>
      </c>
      <c r="F4136">
        <v>6236</v>
      </c>
    </row>
    <row r="4137" spans="1:6" x14ac:dyDescent="0.25">
      <c r="A4137">
        <v>7973</v>
      </c>
      <c r="B4137" s="15">
        <v>45367</v>
      </c>
      <c r="E4137" s="157"/>
      <c r="F4137">
        <v>6237</v>
      </c>
    </row>
    <row r="4138" spans="1:6" x14ac:dyDescent="0.25">
      <c r="A4138">
        <v>7973</v>
      </c>
      <c r="B4138" s="15">
        <v>45368</v>
      </c>
      <c r="E4138" s="157"/>
      <c r="F4138">
        <v>6238</v>
      </c>
    </row>
    <row r="4139" spans="1:6" x14ac:dyDescent="0.25">
      <c r="A4139">
        <v>7973</v>
      </c>
      <c r="B4139" s="15">
        <v>45369</v>
      </c>
      <c r="E4139" s="117" t="s">
        <v>2</v>
      </c>
      <c r="F4139">
        <v>6239</v>
      </c>
    </row>
    <row r="4140" spans="1:6" x14ac:dyDescent="0.25">
      <c r="A4140">
        <v>7973</v>
      </c>
      <c r="B4140" s="15">
        <v>45370</v>
      </c>
      <c r="E4140" s="157"/>
      <c r="F4140">
        <v>6240</v>
      </c>
    </row>
    <row r="4141" spans="1:6" x14ac:dyDescent="0.25">
      <c r="A4141">
        <v>7973</v>
      </c>
      <c r="B4141" s="15">
        <v>45371</v>
      </c>
      <c r="E4141" s="120" t="s">
        <v>2</v>
      </c>
      <c r="F4141">
        <v>6241</v>
      </c>
    </row>
    <row r="4142" spans="1:6" x14ac:dyDescent="0.25">
      <c r="A4142">
        <v>7973</v>
      </c>
      <c r="B4142" s="15">
        <v>45372</v>
      </c>
      <c r="E4142" s="117" t="s">
        <v>2</v>
      </c>
      <c r="F4142">
        <v>6242</v>
      </c>
    </row>
    <row r="4143" spans="1:6" x14ac:dyDescent="0.25">
      <c r="A4143">
        <v>7973</v>
      </c>
      <c r="B4143" s="15">
        <v>45373</v>
      </c>
      <c r="E4143" s="160" t="s">
        <v>268</v>
      </c>
      <c r="F4143">
        <v>6243</v>
      </c>
    </row>
    <row r="4144" spans="1:6" x14ac:dyDescent="0.25">
      <c r="A4144">
        <v>7973</v>
      </c>
      <c r="B4144" s="15">
        <v>45374</v>
      </c>
      <c r="E4144" s="160" t="s">
        <v>175</v>
      </c>
      <c r="F4144">
        <v>6244</v>
      </c>
    </row>
    <row r="4145" spans="1:6" x14ac:dyDescent="0.25">
      <c r="A4145">
        <v>7973</v>
      </c>
      <c r="B4145" s="15">
        <v>45375</v>
      </c>
      <c r="E4145" s="157"/>
      <c r="F4145">
        <v>6245</v>
      </c>
    </row>
    <row r="4146" spans="1:6" x14ac:dyDescent="0.25">
      <c r="A4146">
        <v>7973</v>
      </c>
      <c r="B4146" s="15">
        <v>45376</v>
      </c>
      <c r="E4146" s="158"/>
      <c r="F4146">
        <v>6246</v>
      </c>
    </row>
    <row r="4147" spans="1:6" x14ac:dyDescent="0.25">
      <c r="A4147">
        <v>7973</v>
      </c>
      <c r="B4147" s="15">
        <v>45377</v>
      </c>
      <c r="E4147" s="160" t="s">
        <v>263</v>
      </c>
      <c r="F4147">
        <v>6247</v>
      </c>
    </row>
    <row r="4148" spans="1:6" x14ac:dyDescent="0.25">
      <c r="A4148">
        <v>7973</v>
      </c>
      <c r="B4148" s="15">
        <v>45378</v>
      </c>
      <c r="E4148" s="160" t="s">
        <v>263</v>
      </c>
      <c r="F4148">
        <v>6248</v>
      </c>
    </row>
    <row r="4149" spans="1:6" x14ac:dyDescent="0.25">
      <c r="A4149">
        <v>7973</v>
      </c>
      <c r="B4149" s="15">
        <v>45379</v>
      </c>
      <c r="E4149" s="160" t="s">
        <v>268</v>
      </c>
      <c r="F4149">
        <v>6249</v>
      </c>
    </row>
    <row r="4150" spans="1:6" x14ac:dyDescent="0.25">
      <c r="A4150">
        <v>7973</v>
      </c>
      <c r="B4150" s="15">
        <v>45380</v>
      </c>
      <c r="E4150" s="117" t="s">
        <v>2</v>
      </c>
      <c r="F4150">
        <v>6250</v>
      </c>
    </row>
    <row r="4151" spans="1:6" x14ac:dyDescent="0.25">
      <c r="A4151">
        <v>7973</v>
      </c>
      <c r="B4151" s="15">
        <v>45381</v>
      </c>
      <c r="E4151" s="157"/>
      <c r="F4151">
        <v>6251</v>
      </c>
    </row>
    <row r="4152" spans="1:6" x14ac:dyDescent="0.25">
      <c r="A4152">
        <v>7973</v>
      </c>
      <c r="B4152" s="15">
        <v>45382</v>
      </c>
      <c r="E4152" s="157"/>
      <c r="F4152">
        <v>6252</v>
      </c>
    </row>
    <row r="4153" spans="1:6" x14ac:dyDescent="0.25">
      <c r="A4153">
        <v>7973</v>
      </c>
      <c r="B4153" s="15">
        <v>45383</v>
      </c>
      <c r="E4153" s="119"/>
      <c r="F4153">
        <v>7044</v>
      </c>
    </row>
    <row r="4154" spans="1:6" x14ac:dyDescent="0.25">
      <c r="A4154">
        <v>7973</v>
      </c>
      <c r="B4154" s="15">
        <v>45384</v>
      </c>
      <c r="E4154" s="157"/>
      <c r="F4154">
        <v>7045</v>
      </c>
    </row>
    <row r="4155" spans="1:6" x14ac:dyDescent="0.25">
      <c r="A4155">
        <v>7973</v>
      </c>
      <c r="B4155" s="15">
        <v>45385</v>
      </c>
      <c r="E4155" s="160" t="s">
        <v>268</v>
      </c>
      <c r="F4155">
        <v>7046</v>
      </c>
    </row>
    <row r="4156" spans="1:6" x14ac:dyDescent="0.25">
      <c r="A4156">
        <v>7973</v>
      </c>
      <c r="B4156" s="15">
        <v>45386</v>
      </c>
      <c r="E4156" s="160" t="s">
        <v>263</v>
      </c>
      <c r="F4156">
        <v>7047</v>
      </c>
    </row>
    <row r="4157" spans="1:6" x14ac:dyDescent="0.25">
      <c r="A4157">
        <v>7973</v>
      </c>
      <c r="B4157" s="15">
        <v>45387</v>
      </c>
      <c r="E4157" s="160" t="s">
        <v>268</v>
      </c>
      <c r="F4157">
        <v>7048</v>
      </c>
    </row>
    <row r="4158" spans="1:6" x14ac:dyDescent="0.25">
      <c r="A4158">
        <v>7973</v>
      </c>
      <c r="B4158" s="15">
        <v>45388</v>
      </c>
      <c r="E4158" s="160" t="s">
        <v>175</v>
      </c>
      <c r="F4158">
        <v>7049</v>
      </c>
    </row>
    <row r="4159" spans="1:6" x14ac:dyDescent="0.25">
      <c r="A4159">
        <v>7973</v>
      </c>
      <c r="B4159" s="15">
        <v>45389</v>
      </c>
      <c r="E4159" s="157"/>
      <c r="F4159">
        <v>7050</v>
      </c>
    </row>
    <row r="4160" spans="1:6" x14ac:dyDescent="0.25">
      <c r="A4160">
        <v>7973</v>
      </c>
      <c r="B4160" s="15">
        <v>45390</v>
      </c>
      <c r="E4160" s="158"/>
      <c r="F4160">
        <v>7051</v>
      </c>
    </row>
    <row r="4161" spans="1:6" x14ac:dyDescent="0.25">
      <c r="A4161">
        <v>7973</v>
      </c>
      <c r="B4161" s="15">
        <v>45391</v>
      </c>
      <c r="E4161" s="160" t="s">
        <v>263</v>
      </c>
      <c r="F4161">
        <v>7052</v>
      </c>
    </row>
    <row r="4162" spans="1:6" x14ac:dyDescent="0.25">
      <c r="A4162">
        <v>7973</v>
      </c>
      <c r="B4162" s="15">
        <v>45392</v>
      </c>
      <c r="E4162" s="160" t="s">
        <v>263</v>
      </c>
      <c r="F4162">
        <v>7053</v>
      </c>
    </row>
    <row r="4163" spans="1:6" x14ac:dyDescent="0.25">
      <c r="A4163">
        <v>7973</v>
      </c>
      <c r="B4163" s="15">
        <v>45393</v>
      </c>
      <c r="E4163" s="160" t="s">
        <v>268</v>
      </c>
      <c r="F4163">
        <v>7054</v>
      </c>
    </row>
    <row r="4164" spans="1:6" x14ac:dyDescent="0.25">
      <c r="A4164">
        <v>7973</v>
      </c>
      <c r="B4164" s="15">
        <v>45394</v>
      </c>
      <c r="E4164" s="125" t="s">
        <v>2</v>
      </c>
      <c r="F4164">
        <v>7055</v>
      </c>
    </row>
    <row r="4165" spans="1:6" x14ac:dyDescent="0.25">
      <c r="A4165">
        <v>7973</v>
      </c>
      <c r="B4165" s="15">
        <v>45395</v>
      </c>
      <c r="E4165" s="157"/>
      <c r="F4165">
        <v>7056</v>
      </c>
    </row>
    <row r="4166" spans="1:6" x14ac:dyDescent="0.25">
      <c r="A4166">
        <v>7973</v>
      </c>
      <c r="B4166" s="15">
        <v>45396</v>
      </c>
      <c r="E4166" s="157"/>
      <c r="F4166">
        <v>7057</v>
      </c>
    </row>
    <row r="4167" spans="1:6" x14ac:dyDescent="0.25">
      <c r="A4167">
        <v>7973</v>
      </c>
      <c r="B4167" s="15">
        <v>45397</v>
      </c>
      <c r="E4167" s="160" t="s">
        <v>263</v>
      </c>
      <c r="F4167">
        <v>7058</v>
      </c>
    </row>
    <row r="4168" spans="1:6" x14ac:dyDescent="0.25">
      <c r="A4168">
        <v>7973</v>
      </c>
      <c r="B4168" s="15">
        <v>45398</v>
      </c>
      <c r="E4168" s="157"/>
      <c r="F4168">
        <v>7059</v>
      </c>
    </row>
    <row r="4169" spans="1:6" x14ac:dyDescent="0.25">
      <c r="A4169">
        <v>7973</v>
      </c>
      <c r="B4169" s="15">
        <v>45399</v>
      </c>
      <c r="E4169" s="160" t="s">
        <v>268</v>
      </c>
      <c r="F4169">
        <v>7060</v>
      </c>
    </row>
    <row r="4170" spans="1:6" x14ac:dyDescent="0.25">
      <c r="A4170">
        <v>7973</v>
      </c>
      <c r="B4170" s="15">
        <v>45400</v>
      </c>
      <c r="E4170" s="160" t="s">
        <v>263</v>
      </c>
      <c r="F4170">
        <v>7061</v>
      </c>
    </row>
    <row r="4171" spans="1:6" x14ac:dyDescent="0.25">
      <c r="A4171">
        <v>7973</v>
      </c>
      <c r="B4171" s="15">
        <v>45401</v>
      </c>
      <c r="E4171" s="160" t="s">
        <v>268</v>
      </c>
      <c r="F4171">
        <v>7062</v>
      </c>
    </row>
    <row r="4172" spans="1:6" x14ac:dyDescent="0.25">
      <c r="A4172">
        <v>7973</v>
      </c>
      <c r="B4172" s="15">
        <v>45402</v>
      </c>
      <c r="E4172" s="126" t="s">
        <v>2</v>
      </c>
      <c r="F4172">
        <v>7063</v>
      </c>
    </row>
    <row r="4173" spans="1:6" x14ac:dyDescent="0.25">
      <c r="A4173">
        <v>7973</v>
      </c>
      <c r="B4173" s="15">
        <v>45403</v>
      </c>
      <c r="E4173" s="157"/>
      <c r="F4173">
        <v>7064</v>
      </c>
    </row>
    <row r="4174" spans="1:6" x14ac:dyDescent="0.25">
      <c r="A4174">
        <v>7973</v>
      </c>
      <c r="B4174" s="15">
        <v>45404</v>
      </c>
      <c r="E4174" s="158"/>
      <c r="F4174">
        <v>7065</v>
      </c>
    </row>
    <row r="4175" spans="1:6" x14ac:dyDescent="0.25">
      <c r="A4175">
        <v>7973</v>
      </c>
      <c r="B4175" s="15">
        <v>45405</v>
      </c>
      <c r="E4175" s="160" t="s">
        <v>263</v>
      </c>
      <c r="F4175">
        <v>7066</v>
      </c>
    </row>
    <row r="4176" spans="1:6" x14ac:dyDescent="0.25">
      <c r="A4176">
        <v>7973</v>
      </c>
      <c r="B4176" s="15">
        <v>45406</v>
      </c>
      <c r="E4176" s="160" t="s">
        <v>263</v>
      </c>
      <c r="F4176">
        <v>7067</v>
      </c>
    </row>
    <row r="4177" spans="1:6" x14ac:dyDescent="0.25">
      <c r="A4177">
        <v>7973</v>
      </c>
      <c r="B4177" s="15">
        <v>45407</v>
      </c>
      <c r="E4177" s="160" t="s">
        <v>268</v>
      </c>
      <c r="F4177">
        <v>7068</v>
      </c>
    </row>
    <row r="4178" spans="1:6" x14ac:dyDescent="0.25">
      <c r="A4178">
        <v>7973</v>
      </c>
      <c r="B4178" s="15">
        <v>45408</v>
      </c>
      <c r="E4178" s="125" t="s">
        <v>2</v>
      </c>
      <c r="F4178">
        <v>7069</v>
      </c>
    </row>
    <row r="4179" spans="1:6" x14ac:dyDescent="0.25">
      <c r="A4179">
        <v>7973</v>
      </c>
      <c r="B4179" s="15">
        <v>45409</v>
      </c>
      <c r="E4179" s="157"/>
      <c r="F4179">
        <v>7070</v>
      </c>
    </row>
    <row r="4180" spans="1:6" x14ac:dyDescent="0.25">
      <c r="A4180">
        <v>7973</v>
      </c>
      <c r="B4180" s="15">
        <v>45410</v>
      </c>
      <c r="E4180" s="157"/>
      <c r="F4180">
        <v>7071</v>
      </c>
    </row>
    <row r="4181" spans="1:6" x14ac:dyDescent="0.25">
      <c r="A4181">
        <v>7973</v>
      </c>
      <c r="B4181" s="15">
        <v>45411</v>
      </c>
      <c r="E4181" s="160" t="s">
        <v>263</v>
      </c>
      <c r="F4181">
        <v>7072</v>
      </c>
    </row>
    <row r="4182" spans="1:6" x14ac:dyDescent="0.25">
      <c r="A4182">
        <v>7973</v>
      </c>
      <c r="B4182" s="15">
        <v>45412</v>
      </c>
      <c r="E4182" s="157"/>
      <c r="F4182">
        <v>7073</v>
      </c>
    </row>
    <row r="4183" spans="1:6" x14ac:dyDescent="0.25">
      <c r="A4183">
        <v>7973</v>
      </c>
      <c r="B4183" s="15">
        <v>45413</v>
      </c>
      <c r="E4183" s="158"/>
      <c r="F4183">
        <v>7074</v>
      </c>
    </row>
    <row r="4184" spans="1:6" x14ac:dyDescent="0.25">
      <c r="A4184">
        <v>7973</v>
      </c>
      <c r="B4184" s="15">
        <v>45414</v>
      </c>
      <c r="E4184" s="160" t="s">
        <v>263</v>
      </c>
      <c r="F4184">
        <v>7075</v>
      </c>
    </row>
    <row r="4185" spans="1:6" x14ac:dyDescent="0.25">
      <c r="A4185">
        <v>7973</v>
      </c>
      <c r="B4185" s="15">
        <v>45415</v>
      </c>
      <c r="E4185" s="160" t="s">
        <v>268</v>
      </c>
      <c r="F4185">
        <v>7076</v>
      </c>
    </row>
    <row r="4186" spans="1:6" x14ac:dyDescent="0.25">
      <c r="A4186">
        <v>7973</v>
      </c>
      <c r="B4186" s="15">
        <v>45416</v>
      </c>
      <c r="E4186" s="160" t="s">
        <v>175</v>
      </c>
      <c r="F4186">
        <v>7077</v>
      </c>
    </row>
    <row r="4187" spans="1:6" x14ac:dyDescent="0.25">
      <c r="A4187">
        <v>7973</v>
      </c>
      <c r="B4187" s="15">
        <v>45417</v>
      </c>
      <c r="E4187" s="157"/>
      <c r="F4187">
        <v>7078</v>
      </c>
    </row>
    <row r="4188" spans="1:6" x14ac:dyDescent="0.25">
      <c r="A4188">
        <v>8106</v>
      </c>
      <c r="B4188" s="15">
        <v>45264</v>
      </c>
      <c r="E4188" s="117" t="s">
        <v>1</v>
      </c>
      <c r="F4188">
        <v>3558</v>
      </c>
    </row>
    <row r="4189" spans="1:6" x14ac:dyDescent="0.25">
      <c r="A4189">
        <v>8106</v>
      </c>
      <c r="B4189" s="15">
        <v>45265</v>
      </c>
      <c r="E4189" s="160" t="s">
        <v>267</v>
      </c>
      <c r="F4189">
        <v>3559</v>
      </c>
    </row>
    <row r="4190" spans="1:6" x14ac:dyDescent="0.25">
      <c r="A4190">
        <v>8106</v>
      </c>
      <c r="B4190" s="15">
        <v>45266</v>
      </c>
      <c r="E4190" s="158"/>
      <c r="F4190">
        <v>3560</v>
      </c>
    </row>
    <row r="4191" spans="1:6" x14ac:dyDescent="0.25">
      <c r="A4191">
        <v>8106</v>
      </c>
      <c r="B4191" s="15">
        <v>45267</v>
      </c>
      <c r="E4191" s="160" t="s">
        <v>264</v>
      </c>
      <c r="F4191">
        <v>3561</v>
      </c>
    </row>
    <row r="4192" spans="1:6" x14ac:dyDescent="0.25">
      <c r="A4192">
        <v>8106</v>
      </c>
      <c r="B4192" s="15">
        <v>45268</v>
      </c>
      <c r="E4192" s="197" t="s">
        <v>267</v>
      </c>
      <c r="F4192">
        <v>3562</v>
      </c>
    </row>
    <row r="4193" spans="1:6" x14ac:dyDescent="0.25">
      <c r="A4193">
        <v>8106</v>
      </c>
      <c r="B4193" s="15">
        <v>45269</v>
      </c>
      <c r="E4193" s="160" t="s">
        <v>175</v>
      </c>
      <c r="F4193">
        <v>3563</v>
      </c>
    </row>
    <row r="4194" spans="1:6" x14ac:dyDescent="0.25">
      <c r="A4194">
        <v>8106</v>
      </c>
      <c r="B4194" s="15">
        <v>45270</v>
      </c>
      <c r="E4194" s="158"/>
      <c r="F4194">
        <v>3564</v>
      </c>
    </row>
    <row r="4195" spans="1:6" x14ac:dyDescent="0.25">
      <c r="A4195">
        <v>8106</v>
      </c>
      <c r="B4195" s="15">
        <v>45271</v>
      </c>
      <c r="E4195" s="160" t="s">
        <v>265</v>
      </c>
      <c r="F4195">
        <v>3565</v>
      </c>
    </row>
    <row r="4196" spans="1:6" x14ac:dyDescent="0.25">
      <c r="A4196">
        <v>8106</v>
      </c>
      <c r="B4196" s="15">
        <v>45272</v>
      </c>
      <c r="E4196" s="160" t="s">
        <v>267</v>
      </c>
      <c r="F4196">
        <v>3566</v>
      </c>
    </row>
    <row r="4197" spans="1:6" x14ac:dyDescent="0.25">
      <c r="A4197">
        <v>8106</v>
      </c>
      <c r="B4197" s="15">
        <v>45273</v>
      </c>
      <c r="E4197" s="160" t="s">
        <v>267</v>
      </c>
      <c r="F4197">
        <v>3567</v>
      </c>
    </row>
    <row r="4198" spans="1:6" x14ac:dyDescent="0.25">
      <c r="A4198">
        <v>8106</v>
      </c>
      <c r="B4198" s="15">
        <v>45274</v>
      </c>
      <c r="E4198" s="160" t="s">
        <v>264</v>
      </c>
      <c r="F4198">
        <v>3568</v>
      </c>
    </row>
    <row r="4199" spans="1:6" x14ac:dyDescent="0.25">
      <c r="A4199">
        <v>8106</v>
      </c>
      <c r="B4199" s="15">
        <v>45275</v>
      </c>
      <c r="E4199" s="197" t="s">
        <v>267</v>
      </c>
      <c r="F4199">
        <v>3569</v>
      </c>
    </row>
    <row r="4200" spans="1:6" x14ac:dyDescent="0.25">
      <c r="A4200">
        <v>8106</v>
      </c>
      <c r="B4200" s="15">
        <v>45276</v>
      </c>
      <c r="E4200" s="158"/>
      <c r="F4200">
        <v>3570</v>
      </c>
    </row>
    <row r="4201" spans="1:6" x14ac:dyDescent="0.25">
      <c r="A4201">
        <v>8106</v>
      </c>
      <c r="B4201" s="15">
        <v>45277</v>
      </c>
      <c r="E4201" s="158"/>
      <c r="F4201">
        <v>3571</v>
      </c>
    </row>
    <row r="4202" spans="1:6" x14ac:dyDescent="0.25">
      <c r="A4202">
        <v>8106</v>
      </c>
      <c r="B4202" s="15">
        <v>45278</v>
      </c>
      <c r="E4202" s="160" t="s">
        <v>264</v>
      </c>
      <c r="F4202">
        <v>3572</v>
      </c>
    </row>
    <row r="4203" spans="1:6" x14ac:dyDescent="0.25">
      <c r="A4203">
        <v>8106</v>
      </c>
      <c r="B4203" s="15">
        <v>45279</v>
      </c>
      <c r="E4203" s="160" t="s">
        <v>267</v>
      </c>
      <c r="F4203">
        <v>3573</v>
      </c>
    </row>
    <row r="4204" spans="1:6" x14ac:dyDescent="0.25">
      <c r="A4204">
        <v>8106</v>
      </c>
      <c r="B4204" s="15">
        <v>45280</v>
      </c>
      <c r="E4204" s="158"/>
      <c r="F4204">
        <v>3574</v>
      </c>
    </row>
    <row r="4205" spans="1:6" x14ac:dyDescent="0.25">
      <c r="A4205">
        <v>8106</v>
      </c>
      <c r="B4205" s="15">
        <v>45281</v>
      </c>
      <c r="E4205" s="160" t="s">
        <v>267</v>
      </c>
      <c r="F4205">
        <v>3575</v>
      </c>
    </row>
    <row r="4206" spans="1:6" x14ac:dyDescent="0.25">
      <c r="A4206">
        <v>8106</v>
      </c>
      <c r="B4206" s="15">
        <v>45282</v>
      </c>
      <c r="E4206" s="197" t="s">
        <v>175</v>
      </c>
      <c r="F4206">
        <v>3576</v>
      </c>
    </row>
    <row r="4207" spans="1:6" x14ac:dyDescent="0.25">
      <c r="A4207">
        <v>8106</v>
      </c>
      <c r="B4207" s="15">
        <v>45283</v>
      </c>
      <c r="E4207" s="160" t="s">
        <v>175</v>
      </c>
      <c r="F4207">
        <v>3577</v>
      </c>
    </row>
    <row r="4208" spans="1:6" x14ac:dyDescent="0.25">
      <c r="A4208">
        <v>8106</v>
      </c>
      <c r="B4208" s="15">
        <v>45284</v>
      </c>
      <c r="E4208" s="158"/>
      <c r="F4208">
        <v>3578</v>
      </c>
    </row>
    <row r="4209" spans="1:6" x14ac:dyDescent="0.25">
      <c r="A4209">
        <v>8106</v>
      </c>
      <c r="B4209" s="15">
        <v>45285</v>
      </c>
      <c r="E4209" s="119"/>
      <c r="F4209">
        <v>3579</v>
      </c>
    </row>
    <row r="4210" spans="1:6" x14ac:dyDescent="0.25">
      <c r="A4210">
        <v>8106</v>
      </c>
      <c r="B4210" s="15">
        <v>45286</v>
      </c>
      <c r="E4210" s="120" t="s">
        <v>284</v>
      </c>
      <c r="F4210">
        <v>3580</v>
      </c>
    </row>
    <row r="4211" spans="1:6" x14ac:dyDescent="0.25">
      <c r="A4211">
        <v>8106</v>
      </c>
      <c r="B4211" s="15">
        <v>45287</v>
      </c>
      <c r="E4211" s="160" t="s">
        <v>267</v>
      </c>
      <c r="F4211">
        <v>3581</v>
      </c>
    </row>
    <row r="4212" spans="1:6" x14ac:dyDescent="0.25">
      <c r="A4212">
        <v>8106</v>
      </c>
      <c r="B4212" s="15">
        <v>45288</v>
      </c>
      <c r="E4212" s="160" t="s">
        <v>264</v>
      </c>
      <c r="F4212">
        <v>3582</v>
      </c>
    </row>
    <row r="4213" spans="1:6" x14ac:dyDescent="0.25">
      <c r="A4213">
        <v>8106</v>
      </c>
      <c r="B4213" s="15">
        <v>45289</v>
      </c>
      <c r="E4213" s="197" t="s">
        <v>175</v>
      </c>
      <c r="F4213">
        <v>3583</v>
      </c>
    </row>
    <row r="4214" spans="1:6" x14ac:dyDescent="0.25">
      <c r="A4214">
        <v>8106</v>
      </c>
      <c r="B4214" s="15">
        <v>45290</v>
      </c>
      <c r="E4214" s="158"/>
      <c r="F4214">
        <v>3584</v>
      </c>
    </row>
    <row r="4215" spans="1:6" x14ac:dyDescent="0.25">
      <c r="A4215">
        <v>8106</v>
      </c>
      <c r="B4215" s="15">
        <v>45291</v>
      </c>
      <c r="E4215" s="158"/>
      <c r="F4215">
        <v>3585</v>
      </c>
    </row>
    <row r="4216" spans="1:6" x14ac:dyDescent="0.25">
      <c r="A4216">
        <v>8106</v>
      </c>
      <c r="B4216" s="15">
        <v>45292</v>
      </c>
      <c r="E4216" s="119"/>
      <c r="F4216">
        <v>4314</v>
      </c>
    </row>
    <row r="4217" spans="1:6" x14ac:dyDescent="0.25">
      <c r="A4217">
        <v>8106</v>
      </c>
      <c r="B4217" s="15">
        <v>45293</v>
      </c>
      <c r="E4217" s="120" t="s">
        <v>2</v>
      </c>
      <c r="F4217">
        <v>4315</v>
      </c>
    </row>
    <row r="4218" spans="1:6" x14ac:dyDescent="0.25">
      <c r="A4218">
        <v>8106</v>
      </c>
      <c r="B4218" s="15">
        <v>45294</v>
      </c>
      <c r="E4218" s="158"/>
      <c r="F4218">
        <v>4316</v>
      </c>
    </row>
    <row r="4219" spans="1:6" x14ac:dyDescent="0.25">
      <c r="A4219">
        <v>8106</v>
      </c>
      <c r="B4219" s="15">
        <v>45295</v>
      </c>
      <c r="E4219" s="120" t="s">
        <v>2</v>
      </c>
      <c r="F4219">
        <v>4317</v>
      </c>
    </row>
    <row r="4220" spans="1:6" x14ac:dyDescent="0.25">
      <c r="A4220">
        <v>8106</v>
      </c>
      <c r="B4220" s="15">
        <v>45296</v>
      </c>
      <c r="E4220" s="117" t="s">
        <v>2</v>
      </c>
      <c r="F4220">
        <v>4318</v>
      </c>
    </row>
    <row r="4221" spans="1:6" x14ac:dyDescent="0.25">
      <c r="A4221">
        <v>8106</v>
      </c>
      <c r="B4221" s="15">
        <v>45297</v>
      </c>
      <c r="E4221" s="121" t="s">
        <v>2</v>
      </c>
      <c r="F4221">
        <v>4319</v>
      </c>
    </row>
    <row r="4222" spans="1:6" x14ac:dyDescent="0.25">
      <c r="A4222">
        <v>8106</v>
      </c>
      <c r="B4222" s="15">
        <v>45298</v>
      </c>
      <c r="E4222" s="158"/>
      <c r="F4222">
        <v>4320</v>
      </c>
    </row>
    <row r="4223" spans="1:6" x14ac:dyDescent="0.25">
      <c r="A4223">
        <v>8106</v>
      </c>
      <c r="B4223" s="15">
        <v>45299</v>
      </c>
      <c r="E4223" s="160" t="s">
        <v>265</v>
      </c>
      <c r="F4223">
        <v>4321</v>
      </c>
    </row>
    <row r="4224" spans="1:6" x14ac:dyDescent="0.25">
      <c r="A4224">
        <v>8106</v>
      </c>
      <c r="B4224" s="15">
        <v>45300</v>
      </c>
      <c r="E4224" s="160" t="s">
        <v>267</v>
      </c>
      <c r="F4224">
        <v>4322</v>
      </c>
    </row>
    <row r="4225" spans="1:6" x14ac:dyDescent="0.25">
      <c r="A4225">
        <v>8106</v>
      </c>
      <c r="B4225" s="15">
        <v>45301</v>
      </c>
      <c r="E4225" s="160" t="s">
        <v>267</v>
      </c>
      <c r="F4225">
        <v>4323</v>
      </c>
    </row>
    <row r="4226" spans="1:6" x14ac:dyDescent="0.25">
      <c r="A4226">
        <v>8106</v>
      </c>
      <c r="B4226" s="15">
        <v>45302</v>
      </c>
      <c r="E4226" s="160" t="s">
        <v>264</v>
      </c>
      <c r="F4226">
        <v>4324</v>
      </c>
    </row>
    <row r="4227" spans="1:6" x14ac:dyDescent="0.25">
      <c r="A4227">
        <v>8106</v>
      </c>
      <c r="B4227" s="15">
        <v>45303</v>
      </c>
      <c r="E4227" s="197" t="s">
        <v>267</v>
      </c>
      <c r="F4227">
        <v>4325</v>
      </c>
    </row>
    <row r="4228" spans="1:6" x14ac:dyDescent="0.25">
      <c r="A4228">
        <v>8106</v>
      </c>
      <c r="B4228" s="15">
        <v>45304</v>
      </c>
      <c r="E4228" s="158"/>
      <c r="F4228">
        <v>4326</v>
      </c>
    </row>
    <row r="4229" spans="1:6" x14ac:dyDescent="0.25">
      <c r="A4229">
        <v>8106</v>
      </c>
      <c r="B4229" s="15">
        <v>45305</v>
      </c>
      <c r="E4229" s="158"/>
      <c r="F4229">
        <v>4327</v>
      </c>
    </row>
    <row r="4230" spans="1:6" x14ac:dyDescent="0.25">
      <c r="A4230">
        <v>8106</v>
      </c>
      <c r="B4230" s="15">
        <v>45306</v>
      </c>
      <c r="E4230" s="160" t="s">
        <v>264</v>
      </c>
      <c r="F4230">
        <v>4328</v>
      </c>
    </row>
    <row r="4231" spans="1:6" x14ac:dyDescent="0.25">
      <c r="A4231">
        <v>8106</v>
      </c>
      <c r="B4231" s="15">
        <v>45307</v>
      </c>
      <c r="E4231" s="160" t="s">
        <v>267</v>
      </c>
      <c r="F4231">
        <v>4329</v>
      </c>
    </row>
    <row r="4232" spans="1:6" x14ac:dyDescent="0.25">
      <c r="A4232">
        <v>8106</v>
      </c>
      <c r="B4232" s="15">
        <v>45308</v>
      </c>
      <c r="E4232" s="158"/>
      <c r="F4232">
        <v>4330</v>
      </c>
    </row>
    <row r="4233" spans="1:6" x14ac:dyDescent="0.25">
      <c r="A4233">
        <v>8106</v>
      </c>
      <c r="B4233" s="15">
        <v>45309</v>
      </c>
      <c r="E4233" s="160" t="s">
        <v>267</v>
      </c>
      <c r="F4233">
        <v>4331</v>
      </c>
    </row>
    <row r="4234" spans="1:6" x14ac:dyDescent="0.25">
      <c r="A4234">
        <v>8106</v>
      </c>
      <c r="B4234" s="15">
        <v>45310</v>
      </c>
      <c r="E4234" s="197" t="s">
        <v>264</v>
      </c>
      <c r="F4234">
        <v>4332</v>
      </c>
    </row>
    <row r="4235" spans="1:6" x14ac:dyDescent="0.25">
      <c r="A4235">
        <v>8106</v>
      </c>
      <c r="B4235" s="15">
        <v>45311</v>
      </c>
      <c r="E4235" s="160" t="s">
        <v>175</v>
      </c>
      <c r="F4235">
        <v>4333</v>
      </c>
    </row>
    <row r="4236" spans="1:6" x14ac:dyDescent="0.25">
      <c r="A4236">
        <v>8106</v>
      </c>
      <c r="B4236" s="15">
        <v>45312</v>
      </c>
      <c r="E4236" s="158"/>
      <c r="F4236">
        <v>4334</v>
      </c>
    </row>
    <row r="4237" spans="1:6" x14ac:dyDescent="0.25">
      <c r="A4237">
        <v>8106</v>
      </c>
      <c r="B4237" s="15">
        <v>45313</v>
      </c>
      <c r="E4237" s="160" t="s">
        <v>265</v>
      </c>
      <c r="F4237">
        <v>4335</v>
      </c>
    </row>
    <row r="4238" spans="1:6" x14ac:dyDescent="0.25">
      <c r="A4238">
        <v>8106</v>
      </c>
      <c r="B4238" s="15">
        <v>45314</v>
      </c>
      <c r="E4238" s="160" t="s">
        <v>267</v>
      </c>
      <c r="F4238">
        <v>4336</v>
      </c>
    </row>
    <row r="4239" spans="1:6" x14ac:dyDescent="0.25">
      <c r="A4239">
        <v>8106</v>
      </c>
      <c r="B4239" s="15">
        <v>45315</v>
      </c>
      <c r="E4239" s="160" t="s">
        <v>267</v>
      </c>
      <c r="F4239">
        <v>4337</v>
      </c>
    </row>
    <row r="4240" spans="1:6" x14ac:dyDescent="0.25">
      <c r="A4240">
        <v>8106</v>
      </c>
      <c r="B4240" s="15">
        <v>45316</v>
      </c>
      <c r="E4240" s="117" t="s">
        <v>2</v>
      </c>
      <c r="F4240">
        <v>4338</v>
      </c>
    </row>
    <row r="4241" spans="1:6" x14ac:dyDescent="0.25">
      <c r="A4241">
        <v>8106</v>
      </c>
      <c r="B4241" s="15">
        <v>45317</v>
      </c>
      <c r="E4241" s="197" t="s">
        <v>267</v>
      </c>
      <c r="F4241">
        <v>4339</v>
      </c>
    </row>
    <row r="4242" spans="1:6" x14ac:dyDescent="0.25">
      <c r="A4242">
        <v>8106</v>
      </c>
      <c r="B4242" s="15">
        <v>45318</v>
      </c>
      <c r="E4242" s="158"/>
      <c r="F4242">
        <v>4340</v>
      </c>
    </row>
    <row r="4243" spans="1:6" x14ac:dyDescent="0.25">
      <c r="A4243">
        <v>8106</v>
      </c>
      <c r="B4243" s="15">
        <v>45319</v>
      </c>
      <c r="E4243" s="158"/>
      <c r="F4243">
        <v>4341</v>
      </c>
    </row>
    <row r="4244" spans="1:6" x14ac:dyDescent="0.25">
      <c r="A4244">
        <v>8106</v>
      </c>
      <c r="B4244" s="15">
        <v>45320</v>
      </c>
      <c r="E4244" s="160" t="s">
        <v>264</v>
      </c>
      <c r="F4244">
        <v>4342</v>
      </c>
    </row>
    <row r="4245" spans="1:6" x14ac:dyDescent="0.25">
      <c r="A4245">
        <v>8106</v>
      </c>
      <c r="B4245" s="15">
        <v>45321</v>
      </c>
      <c r="E4245" s="160" t="s">
        <v>267</v>
      </c>
      <c r="F4245">
        <v>4343</v>
      </c>
    </row>
    <row r="4246" spans="1:6" x14ac:dyDescent="0.25">
      <c r="A4246">
        <v>8106</v>
      </c>
      <c r="B4246" s="15">
        <v>45322</v>
      </c>
      <c r="E4246" s="158"/>
      <c r="F4246">
        <v>4344</v>
      </c>
    </row>
    <row r="4247" spans="1:6" x14ac:dyDescent="0.25">
      <c r="A4247">
        <v>8106</v>
      </c>
      <c r="B4247" s="15">
        <v>45323</v>
      </c>
      <c r="E4247" s="160" t="s">
        <v>267</v>
      </c>
      <c r="F4247">
        <v>4345</v>
      </c>
    </row>
    <row r="4248" spans="1:6" x14ac:dyDescent="0.25">
      <c r="A4248">
        <v>8106</v>
      </c>
      <c r="B4248" s="15">
        <v>45324</v>
      </c>
      <c r="E4248" s="197" t="s">
        <v>264</v>
      </c>
      <c r="F4248">
        <v>4346</v>
      </c>
    </row>
    <row r="4249" spans="1:6" x14ac:dyDescent="0.25">
      <c r="A4249">
        <v>8106</v>
      </c>
      <c r="B4249" s="15">
        <v>45325</v>
      </c>
      <c r="E4249" s="160" t="s">
        <v>175</v>
      </c>
      <c r="F4249">
        <v>4347</v>
      </c>
    </row>
    <row r="4250" spans="1:6" x14ac:dyDescent="0.25">
      <c r="A4250">
        <v>8106</v>
      </c>
      <c r="B4250" s="15">
        <v>45326</v>
      </c>
      <c r="E4250" s="158"/>
      <c r="F4250">
        <v>4348</v>
      </c>
    </row>
    <row r="4251" spans="1:6" x14ac:dyDescent="0.25">
      <c r="A4251">
        <v>8106</v>
      </c>
      <c r="B4251" s="15">
        <v>45327</v>
      </c>
      <c r="E4251" s="160" t="s">
        <v>265</v>
      </c>
      <c r="F4251">
        <v>5161</v>
      </c>
    </row>
    <row r="4252" spans="1:6" x14ac:dyDescent="0.25">
      <c r="A4252">
        <v>8106</v>
      </c>
      <c r="B4252" s="15">
        <v>45328</v>
      </c>
      <c r="E4252" s="160" t="s">
        <v>267</v>
      </c>
      <c r="F4252">
        <v>5162</v>
      </c>
    </row>
    <row r="4253" spans="1:6" x14ac:dyDescent="0.25">
      <c r="A4253">
        <v>8106</v>
      </c>
      <c r="B4253" s="15">
        <v>45329</v>
      </c>
      <c r="E4253" s="160" t="s">
        <v>267</v>
      </c>
      <c r="F4253">
        <v>5163</v>
      </c>
    </row>
    <row r="4254" spans="1:6" x14ac:dyDescent="0.25">
      <c r="A4254">
        <v>8106</v>
      </c>
      <c r="B4254" s="15">
        <v>45330</v>
      </c>
      <c r="E4254" s="160" t="s">
        <v>264</v>
      </c>
      <c r="F4254">
        <v>5164</v>
      </c>
    </row>
    <row r="4255" spans="1:6" x14ac:dyDescent="0.25">
      <c r="A4255">
        <v>8106</v>
      </c>
      <c r="B4255" s="15">
        <v>45331</v>
      </c>
      <c r="E4255" s="197" t="s">
        <v>267</v>
      </c>
      <c r="F4255">
        <v>5165</v>
      </c>
    </row>
    <row r="4256" spans="1:6" x14ac:dyDescent="0.25">
      <c r="A4256">
        <v>8106</v>
      </c>
      <c r="B4256" s="15">
        <v>45332</v>
      </c>
      <c r="E4256" s="158"/>
      <c r="F4256">
        <v>5166</v>
      </c>
    </row>
    <row r="4257" spans="1:6" x14ac:dyDescent="0.25">
      <c r="A4257">
        <v>8106</v>
      </c>
      <c r="B4257" s="15">
        <v>45333</v>
      </c>
      <c r="E4257" s="158"/>
      <c r="F4257">
        <v>5167</v>
      </c>
    </row>
    <row r="4258" spans="1:6" x14ac:dyDescent="0.25">
      <c r="A4258">
        <v>8106</v>
      </c>
      <c r="B4258" s="15">
        <v>45334</v>
      </c>
      <c r="E4258" s="160" t="s">
        <v>264</v>
      </c>
      <c r="F4258">
        <v>5168</v>
      </c>
    </row>
    <row r="4259" spans="1:6" x14ac:dyDescent="0.25">
      <c r="A4259">
        <v>8106</v>
      </c>
      <c r="B4259" s="15">
        <v>45335</v>
      </c>
      <c r="E4259" s="160" t="s">
        <v>267</v>
      </c>
      <c r="F4259">
        <v>5169</v>
      </c>
    </row>
    <row r="4260" spans="1:6" x14ac:dyDescent="0.25">
      <c r="A4260">
        <v>8106</v>
      </c>
      <c r="B4260" s="15">
        <v>45336</v>
      </c>
      <c r="E4260" s="158"/>
      <c r="F4260">
        <v>5170</v>
      </c>
    </row>
    <row r="4261" spans="1:6" x14ac:dyDescent="0.25">
      <c r="A4261">
        <v>8106</v>
      </c>
      <c r="B4261" s="15">
        <v>45337</v>
      </c>
      <c r="E4261" s="120" t="s">
        <v>2</v>
      </c>
      <c r="F4261">
        <v>5171</v>
      </c>
    </row>
    <row r="4262" spans="1:6" x14ac:dyDescent="0.25">
      <c r="A4262">
        <v>8106</v>
      </c>
      <c r="B4262" s="15">
        <v>45338</v>
      </c>
      <c r="E4262" s="197" t="s">
        <v>264</v>
      </c>
      <c r="F4262">
        <v>5172</v>
      </c>
    </row>
    <row r="4263" spans="1:6" x14ac:dyDescent="0.25">
      <c r="A4263">
        <v>8106</v>
      </c>
      <c r="B4263" s="15">
        <v>45339</v>
      </c>
      <c r="E4263" s="160" t="s">
        <v>175</v>
      </c>
      <c r="F4263">
        <v>5173</v>
      </c>
    </row>
    <row r="4264" spans="1:6" x14ac:dyDescent="0.25">
      <c r="A4264">
        <v>8106</v>
      </c>
      <c r="B4264" s="15">
        <v>45340</v>
      </c>
      <c r="E4264" s="158"/>
      <c r="F4264">
        <v>5174</v>
      </c>
    </row>
    <row r="4265" spans="1:6" x14ac:dyDescent="0.25">
      <c r="A4265">
        <v>8106</v>
      </c>
      <c r="B4265" s="15">
        <v>45341</v>
      </c>
      <c r="E4265" s="160" t="s">
        <v>265</v>
      </c>
      <c r="F4265">
        <v>5175</v>
      </c>
    </row>
    <row r="4266" spans="1:6" x14ac:dyDescent="0.25">
      <c r="A4266">
        <v>8106</v>
      </c>
      <c r="B4266" s="15">
        <v>45342</v>
      </c>
      <c r="E4266" s="160" t="s">
        <v>267</v>
      </c>
      <c r="F4266">
        <v>5176</v>
      </c>
    </row>
    <row r="4267" spans="1:6" x14ac:dyDescent="0.25">
      <c r="A4267">
        <v>8106</v>
      </c>
      <c r="B4267" s="15">
        <v>45343</v>
      </c>
      <c r="E4267" s="160" t="s">
        <v>267</v>
      </c>
      <c r="F4267">
        <v>5177</v>
      </c>
    </row>
    <row r="4268" spans="1:6" x14ac:dyDescent="0.25">
      <c r="A4268">
        <v>8106</v>
      </c>
      <c r="B4268" s="15">
        <v>45344</v>
      </c>
      <c r="E4268" s="160" t="s">
        <v>264</v>
      </c>
      <c r="F4268">
        <v>5178</v>
      </c>
    </row>
    <row r="4269" spans="1:6" x14ac:dyDescent="0.25">
      <c r="A4269">
        <v>8106</v>
      </c>
      <c r="B4269" s="15">
        <v>45345</v>
      </c>
      <c r="E4269" s="197" t="s">
        <v>267</v>
      </c>
      <c r="F4269">
        <v>5179</v>
      </c>
    </row>
    <row r="4270" spans="1:6" x14ac:dyDescent="0.25">
      <c r="A4270">
        <v>8106</v>
      </c>
      <c r="B4270" s="15">
        <v>45346</v>
      </c>
      <c r="E4270" s="158"/>
      <c r="F4270">
        <v>5180</v>
      </c>
    </row>
    <row r="4271" spans="1:6" x14ac:dyDescent="0.25">
      <c r="A4271">
        <v>8106</v>
      </c>
      <c r="B4271" s="15">
        <v>45347</v>
      </c>
      <c r="E4271" s="158"/>
      <c r="F4271">
        <v>5181</v>
      </c>
    </row>
    <row r="4272" spans="1:6" x14ac:dyDescent="0.25">
      <c r="A4272">
        <v>8106</v>
      </c>
      <c r="B4272" s="15">
        <v>45348</v>
      </c>
      <c r="E4272" s="117" t="s">
        <v>2</v>
      </c>
      <c r="F4272">
        <v>5182</v>
      </c>
    </row>
    <row r="4273" spans="1:6" x14ac:dyDescent="0.25">
      <c r="A4273">
        <v>8106</v>
      </c>
      <c r="B4273" s="15">
        <v>45349</v>
      </c>
      <c r="E4273" s="120" t="s">
        <v>2</v>
      </c>
      <c r="F4273">
        <v>5183</v>
      </c>
    </row>
    <row r="4274" spans="1:6" x14ac:dyDescent="0.25">
      <c r="A4274">
        <v>8106</v>
      </c>
      <c r="B4274" s="15">
        <v>45350</v>
      </c>
      <c r="E4274" s="158"/>
      <c r="F4274">
        <v>5184</v>
      </c>
    </row>
    <row r="4275" spans="1:6" x14ac:dyDescent="0.25">
      <c r="A4275">
        <v>8106</v>
      </c>
      <c r="B4275" s="15">
        <v>45351</v>
      </c>
      <c r="E4275" s="120" t="s">
        <v>2</v>
      </c>
      <c r="F4275">
        <v>5185</v>
      </c>
    </row>
    <row r="4276" spans="1:6" x14ac:dyDescent="0.25">
      <c r="A4276">
        <v>8106</v>
      </c>
      <c r="B4276" s="15">
        <v>45352</v>
      </c>
      <c r="E4276" s="117" t="s">
        <v>2</v>
      </c>
      <c r="F4276">
        <v>5186</v>
      </c>
    </row>
    <row r="4277" spans="1:6" x14ac:dyDescent="0.25">
      <c r="A4277">
        <v>8106</v>
      </c>
      <c r="B4277" s="15">
        <v>45353</v>
      </c>
      <c r="E4277" s="121" t="s">
        <v>2</v>
      </c>
      <c r="F4277">
        <v>5187</v>
      </c>
    </row>
    <row r="4278" spans="1:6" x14ac:dyDescent="0.25">
      <c r="A4278">
        <v>8106</v>
      </c>
      <c r="B4278" s="15">
        <v>45354</v>
      </c>
      <c r="E4278" s="158"/>
      <c r="F4278">
        <v>5188</v>
      </c>
    </row>
    <row r="4279" spans="1:6" x14ac:dyDescent="0.25">
      <c r="A4279">
        <v>8106</v>
      </c>
      <c r="B4279" s="15">
        <v>45355</v>
      </c>
      <c r="E4279" s="160" t="s">
        <v>265</v>
      </c>
      <c r="F4279">
        <v>5861</v>
      </c>
    </row>
    <row r="4280" spans="1:6" x14ac:dyDescent="0.25">
      <c r="A4280">
        <v>8106</v>
      </c>
      <c r="B4280" s="15">
        <v>45356</v>
      </c>
      <c r="E4280" s="160" t="s">
        <v>267</v>
      </c>
      <c r="F4280">
        <v>5862</v>
      </c>
    </row>
    <row r="4281" spans="1:6" x14ac:dyDescent="0.25">
      <c r="A4281">
        <v>8106</v>
      </c>
      <c r="B4281" s="15">
        <v>45357</v>
      </c>
      <c r="E4281" s="160" t="s">
        <v>267</v>
      </c>
      <c r="F4281">
        <v>5863</v>
      </c>
    </row>
    <row r="4282" spans="1:6" x14ac:dyDescent="0.25">
      <c r="A4282">
        <v>8106</v>
      </c>
      <c r="B4282" s="15">
        <v>45358</v>
      </c>
      <c r="E4282" s="160" t="s">
        <v>264</v>
      </c>
      <c r="F4282">
        <v>5864</v>
      </c>
    </row>
    <row r="4283" spans="1:6" x14ac:dyDescent="0.25">
      <c r="A4283">
        <v>8106</v>
      </c>
      <c r="B4283" s="15">
        <v>45359</v>
      </c>
      <c r="E4283" s="197" t="s">
        <v>267</v>
      </c>
      <c r="F4283">
        <v>5865</v>
      </c>
    </row>
    <row r="4284" spans="1:6" x14ac:dyDescent="0.25">
      <c r="A4284">
        <v>8106</v>
      </c>
      <c r="B4284" s="15">
        <v>45360</v>
      </c>
      <c r="E4284" s="158"/>
      <c r="F4284">
        <v>5866</v>
      </c>
    </row>
    <row r="4285" spans="1:6" x14ac:dyDescent="0.25">
      <c r="A4285">
        <v>8106</v>
      </c>
      <c r="B4285" s="15">
        <v>45361</v>
      </c>
      <c r="E4285" s="158"/>
      <c r="F4285">
        <v>5867</v>
      </c>
    </row>
    <row r="4286" spans="1:6" x14ac:dyDescent="0.25">
      <c r="A4286">
        <v>8106</v>
      </c>
      <c r="B4286" s="15">
        <v>45362</v>
      </c>
      <c r="E4286" s="160" t="s">
        <v>264</v>
      </c>
      <c r="F4286">
        <v>5868</v>
      </c>
    </row>
    <row r="4287" spans="1:6" x14ac:dyDescent="0.25">
      <c r="A4287">
        <v>8106</v>
      </c>
      <c r="B4287" s="15">
        <v>45363</v>
      </c>
      <c r="E4287" s="160" t="s">
        <v>267</v>
      </c>
      <c r="F4287">
        <v>5869</v>
      </c>
    </row>
    <row r="4288" spans="1:6" x14ac:dyDescent="0.25">
      <c r="A4288">
        <v>8106</v>
      </c>
      <c r="B4288" s="15">
        <v>45364</v>
      </c>
      <c r="E4288" s="158"/>
      <c r="F4288">
        <v>5870</v>
      </c>
    </row>
    <row r="4289" spans="1:6" x14ac:dyDescent="0.25">
      <c r="A4289">
        <v>8106</v>
      </c>
      <c r="B4289" s="15">
        <v>45365</v>
      </c>
      <c r="E4289" s="160" t="s">
        <v>267</v>
      </c>
      <c r="F4289">
        <v>5871</v>
      </c>
    </row>
    <row r="4290" spans="1:6" x14ac:dyDescent="0.25">
      <c r="A4290">
        <v>8106</v>
      </c>
      <c r="B4290" s="15">
        <v>45366</v>
      </c>
      <c r="E4290" s="197" t="s">
        <v>264</v>
      </c>
      <c r="F4290">
        <v>5872</v>
      </c>
    </row>
    <row r="4291" spans="1:6" x14ac:dyDescent="0.25">
      <c r="A4291">
        <v>8106</v>
      </c>
      <c r="B4291" s="15">
        <v>45367</v>
      </c>
      <c r="E4291" s="160" t="s">
        <v>175</v>
      </c>
      <c r="F4291">
        <v>5873</v>
      </c>
    </row>
    <row r="4292" spans="1:6" x14ac:dyDescent="0.25">
      <c r="A4292">
        <v>8106</v>
      </c>
      <c r="B4292" s="15">
        <v>45368</v>
      </c>
      <c r="E4292" s="158"/>
      <c r="F4292">
        <v>5874</v>
      </c>
    </row>
    <row r="4293" spans="1:6" x14ac:dyDescent="0.25">
      <c r="A4293">
        <v>8106</v>
      </c>
      <c r="B4293" s="15">
        <v>45369</v>
      </c>
      <c r="E4293" s="160" t="s">
        <v>265</v>
      </c>
      <c r="F4293">
        <v>5875</v>
      </c>
    </row>
    <row r="4294" spans="1:6" x14ac:dyDescent="0.25">
      <c r="A4294">
        <v>8106</v>
      </c>
      <c r="B4294" s="15">
        <v>45370</v>
      </c>
      <c r="E4294" s="160" t="s">
        <v>267</v>
      </c>
      <c r="F4294">
        <v>5876</v>
      </c>
    </row>
    <row r="4295" spans="1:6" x14ac:dyDescent="0.25">
      <c r="A4295">
        <v>8106</v>
      </c>
      <c r="B4295" s="15">
        <v>45371</v>
      </c>
      <c r="E4295" s="160" t="s">
        <v>267</v>
      </c>
      <c r="F4295">
        <v>5877</v>
      </c>
    </row>
    <row r="4296" spans="1:6" x14ac:dyDescent="0.25">
      <c r="A4296">
        <v>8106</v>
      </c>
      <c r="B4296" s="15">
        <v>45372</v>
      </c>
      <c r="E4296" s="117" t="s">
        <v>2</v>
      </c>
      <c r="F4296">
        <v>5878</v>
      </c>
    </row>
    <row r="4297" spans="1:6" x14ac:dyDescent="0.25">
      <c r="A4297">
        <v>8106</v>
      </c>
      <c r="B4297" s="15">
        <v>45373</v>
      </c>
      <c r="E4297" s="160" t="s">
        <v>267</v>
      </c>
      <c r="F4297">
        <v>5879</v>
      </c>
    </row>
    <row r="4298" spans="1:6" x14ac:dyDescent="0.25">
      <c r="A4298">
        <v>8106</v>
      </c>
      <c r="B4298" s="15">
        <v>45374</v>
      </c>
      <c r="E4298" s="158"/>
      <c r="F4298">
        <v>5880</v>
      </c>
    </row>
    <row r="4299" spans="1:6" x14ac:dyDescent="0.25">
      <c r="A4299">
        <v>8106</v>
      </c>
      <c r="B4299" s="15">
        <v>45375</v>
      </c>
      <c r="E4299" s="158"/>
      <c r="F4299">
        <v>5881</v>
      </c>
    </row>
    <row r="4300" spans="1:6" x14ac:dyDescent="0.25">
      <c r="A4300">
        <v>8106</v>
      </c>
      <c r="B4300" s="15">
        <v>45376</v>
      </c>
      <c r="E4300" s="160" t="s">
        <v>264</v>
      </c>
      <c r="F4300">
        <v>5882</v>
      </c>
    </row>
    <row r="4301" spans="1:6" x14ac:dyDescent="0.25">
      <c r="A4301">
        <v>8106</v>
      </c>
      <c r="B4301" s="15">
        <v>45377</v>
      </c>
      <c r="E4301" s="160" t="s">
        <v>267</v>
      </c>
      <c r="F4301">
        <v>5883</v>
      </c>
    </row>
    <row r="4302" spans="1:6" x14ac:dyDescent="0.25">
      <c r="A4302">
        <v>8106</v>
      </c>
      <c r="B4302" s="15">
        <v>45378</v>
      </c>
      <c r="E4302" s="158"/>
      <c r="F4302">
        <v>5884</v>
      </c>
    </row>
    <row r="4303" spans="1:6" x14ac:dyDescent="0.25">
      <c r="A4303">
        <v>8106</v>
      </c>
      <c r="B4303" s="15">
        <v>45379</v>
      </c>
      <c r="E4303" s="160" t="s">
        <v>267</v>
      </c>
      <c r="F4303">
        <v>5885</v>
      </c>
    </row>
    <row r="4304" spans="1:6" x14ac:dyDescent="0.25">
      <c r="A4304">
        <v>8106</v>
      </c>
      <c r="B4304" s="15">
        <v>45380</v>
      </c>
      <c r="E4304" s="197" t="s">
        <v>264</v>
      </c>
      <c r="F4304">
        <v>5886</v>
      </c>
    </row>
    <row r="4305" spans="1:6" x14ac:dyDescent="0.25">
      <c r="A4305">
        <v>8106</v>
      </c>
      <c r="B4305" s="15">
        <v>45381</v>
      </c>
      <c r="E4305" s="160" t="s">
        <v>175</v>
      </c>
      <c r="F4305">
        <v>5887</v>
      </c>
    </row>
    <row r="4306" spans="1:6" x14ac:dyDescent="0.25">
      <c r="A4306">
        <v>8106</v>
      </c>
      <c r="B4306" s="15">
        <v>45382</v>
      </c>
      <c r="E4306" s="158"/>
      <c r="F4306">
        <v>5888</v>
      </c>
    </row>
    <row r="4307" spans="1:6" x14ac:dyDescent="0.25">
      <c r="A4307">
        <v>8106</v>
      </c>
      <c r="B4307" s="15">
        <v>45383</v>
      </c>
      <c r="E4307" s="119"/>
      <c r="F4307">
        <v>6589</v>
      </c>
    </row>
    <row r="4308" spans="1:6" x14ac:dyDescent="0.25">
      <c r="A4308">
        <v>8106</v>
      </c>
      <c r="B4308" s="15">
        <v>45384</v>
      </c>
      <c r="E4308" s="120" t="s">
        <v>286</v>
      </c>
      <c r="F4308">
        <v>6590</v>
      </c>
    </row>
    <row r="4309" spans="1:6" x14ac:dyDescent="0.25">
      <c r="A4309">
        <v>8106</v>
      </c>
      <c r="B4309" s="15">
        <v>45385</v>
      </c>
      <c r="E4309" s="160" t="s">
        <v>267</v>
      </c>
      <c r="F4309">
        <v>6591</v>
      </c>
    </row>
    <row r="4310" spans="1:6" x14ac:dyDescent="0.25">
      <c r="A4310">
        <v>8106</v>
      </c>
      <c r="B4310" s="15">
        <v>45386</v>
      </c>
      <c r="E4310" s="160" t="s">
        <v>264</v>
      </c>
      <c r="F4310">
        <v>6592</v>
      </c>
    </row>
    <row r="4311" spans="1:6" x14ac:dyDescent="0.25">
      <c r="A4311">
        <v>8106</v>
      </c>
      <c r="B4311" s="15">
        <v>45387</v>
      </c>
      <c r="E4311" s="197" t="s">
        <v>267</v>
      </c>
      <c r="F4311">
        <v>6593</v>
      </c>
    </row>
    <row r="4312" spans="1:6" x14ac:dyDescent="0.25">
      <c r="A4312">
        <v>8106</v>
      </c>
      <c r="B4312" s="15">
        <v>45388</v>
      </c>
      <c r="E4312" s="158"/>
      <c r="F4312">
        <v>6594</v>
      </c>
    </row>
    <row r="4313" spans="1:6" x14ac:dyDescent="0.25">
      <c r="A4313">
        <v>8106</v>
      </c>
      <c r="B4313" s="15">
        <v>45389</v>
      </c>
      <c r="E4313" s="158"/>
      <c r="F4313">
        <v>6595</v>
      </c>
    </row>
    <row r="4314" spans="1:6" x14ac:dyDescent="0.25">
      <c r="A4314">
        <v>8106</v>
      </c>
      <c r="B4314" s="15">
        <v>45390</v>
      </c>
      <c r="E4314" s="160" t="s">
        <v>264</v>
      </c>
      <c r="F4314">
        <v>6596</v>
      </c>
    </row>
    <row r="4315" spans="1:6" x14ac:dyDescent="0.25">
      <c r="A4315">
        <v>8106</v>
      </c>
      <c r="B4315" s="15">
        <v>45391</v>
      </c>
      <c r="E4315" s="160" t="s">
        <v>267</v>
      </c>
      <c r="F4315">
        <v>6597</v>
      </c>
    </row>
    <row r="4316" spans="1:6" x14ac:dyDescent="0.25">
      <c r="A4316">
        <v>8106</v>
      </c>
      <c r="B4316" s="15">
        <v>45392</v>
      </c>
      <c r="E4316" s="158"/>
      <c r="F4316">
        <v>6598</v>
      </c>
    </row>
    <row r="4317" spans="1:6" x14ac:dyDescent="0.25">
      <c r="A4317">
        <v>8106</v>
      </c>
      <c r="B4317" s="15">
        <v>45393</v>
      </c>
      <c r="E4317" s="160" t="s">
        <v>267</v>
      </c>
      <c r="F4317">
        <v>6599</v>
      </c>
    </row>
    <row r="4318" spans="1:6" x14ac:dyDescent="0.25">
      <c r="A4318">
        <v>8106</v>
      </c>
      <c r="B4318" s="15">
        <v>45394</v>
      </c>
      <c r="E4318" s="197" t="s">
        <v>264</v>
      </c>
      <c r="F4318">
        <v>6600</v>
      </c>
    </row>
    <row r="4319" spans="1:6" x14ac:dyDescent="0.25">
      <c r="A4319">
        <v>8106</v>
      </c>
      <c r="B4319" s="15">
        <v>45395</v>
      </c>
      <c r="E4319" s="160" t="s">
        <v>175</v>
      </c>
      <c r="F4319">
        <v>6601</v>
      </c>
    </row>
    <row r="4320" spans="1:6" x14ac:dyDescent="0.25">
      <c r="A4320">
        <v>8106</v>
      </c>
      <c r="B4320" s="15">
        <v>45396</v>
      </c>
      <c r="E4320" s="158"/>
      <c r="F4320">
        <v>6602</v>
      </c>
    </row>
    <row r="4321" spans="1:6" x14ac:dyDescent="0.25">
      <c r="A4321">
        <v>8106</v>
      </c>
      <c r="B4321" s="15">
        <v>45397</v>
      </c>
      <c r="E4321" s="160" t="s">
        <v>265</v>
      </c>
      <c r="F4321">
        <v>6603</v>
      </c>
    </row>
    <row r="4322" spans="1:6" x14ac:dyDescent="0.25">
      <c r="A4322">
        <v>8106</v>
      </c>
      <c r="B4322" s="15">
        <v>45398</v>
      </c>
      <c r="E4322" s="160" t="s">
        <v>267</v>
      </c>
      <c r="F4322">
        <v>6604</v>
      </c>
    </row>
    <row r="4323" spans="1:6" x14ac:dyDescent="0.25">
      <c r="A4323">
        <v>8106</v>
      </c>
      <c r="B4323" s="15">
        <v>45399</v>
      </c>
      <c r="E4323" s="160" t="s">
        <v>267</v>
      </c>
      <c r="F4323">
        <v>6605</v>
      </c>
    </row>
    <row r="4324" spans="1:6" x14ac:dyDescent="0.25">
      <c r="A4324">
        <v>8106</v>
      </c>
      <c r="B4324" s="15">
        <v>45400</v>
      </c>
      <c r="E4324" s="117" t="s">
        <v>2</v>
      </c>
      <c r="F4324">
        <v>6606</v>
      </c>
    </row>
    <row r="4325" spans="1:6" x14ac:dyDescent="0.25">
      <c r="A4325">
        <v>8106</v>
      </c>
      <c r="B4325" s="15">
        <v>45401</v>
      </c>
      <c r="E4325" s="197" t="s">
        <v>267</v>
      </c>
      <c r="F4325">
        <v>6607</v>
      </c>
    </row>
    <row r="4326" spans="1:6" x14ac:dyDescent="0.25">
      <c r="A4326">
        <v>8106</v>
      </c>
      <c r="B4326" s="15">
        <v>45402</v>
      </c>
      <c r="E4326" s="158"/>
      <c r="F4326">
        <v>6608</v>
      </c>
    </row>
    <row r="4327" spans="1:6" x14ac:dyDescent="0.25">
      <c r="A4327">
        <v>8106</v>
      </c>
      <c r="B4327" s="15">
        <v>45403</v>
      </c>
      <c r="E4327" s="158"/>
      <c r="F4327">
        <v>6609</v>
      </c>
    </row>
    <row r="4328" spans="1:6" x14ac:dyDescent="0.25">
      <c r="A4328">
        <v>8106</v>
      </c>
      <c r="B4328" s="15">
        <v>45404</v>
      </c>
      <c r="E4328" s="160" t="s">
        <v>264</v>
      </c>
      <c r="F4328">
        <v>6610</v>
      </c>
    </row>
    <row r="4329" spans="1:6" x14ac:dyDescent="0.25">
      <c r="A4329">
        <v>8106</v>
      </c>
      <c r="B4329" s="15">
        <v>45405</v>
      </c>
      <c r="E4329" s="160" t="s">
        <v>267</v>
      </c>
      <c r="F4329">
        <v>6611</v>
      </c>
    </row>
    <row r="4330" spans="1:6" x14ac:dyDescent="0.25">
      <c r="A4330">
        <v>8106</v>
      </c>
      <c r="B4330" s="15">
        <v>45406</v>
      </c>
      <c r="E4330" s="158"/>
      <c r="F4330">
        <v>6612</v>
      </c>
    </row>
    <row r="4331" spans="1:6" x14ac:dyDescent="0.25">
      <c r="A4331">
        <v>8106</v>
      </c>
      <c r="B4331" s="15">
        <v>45407</v>
      </c>
      <c r="E4331" s="160" t="s">
        <v>267</v>
      </c>
      <c r="F4331">
        <v>6613</v>
      </c>
    </row>
    <row r="4332" spans="1:6" x14ac:dyDescent="0.25">
      <c r="A4332">
        <v>8106</v>
      </c>
      <c r="B4332" s="15">
        <v>45408</v>
      </c>
      <c r="E4332" s="197" t="s">
        <v>264</v>
      </c>
      <c r="F4332">
        <v>6614</v>
      </c>
    </row>
    <row r="4333" spans="1:6" x14ac:dyDescent="0.25">
      <c r="A4333">
        <v>8106</v>
      </c>
      <c r="B4333" s="15">
        <v>45409</v>
      </c>
      <c r="E4333" s="160" t="s">
        <v>175</v>
      </c>
      <c r="F4333">
        <v>6615</v>
      </c>
    </row>
    <row r="4334" spans="1:6" x14ac:dyDescent="0.25">
      <c r="A4334">
        <v>8106</v>
      </c>
      <c r="B4334" s="15">
        <v>45410</v>
      </c>
      <c r="E4334" s="158"/>
      <c r="F4334">
        <v>6616</v>
      </c>
    </row>
    <row r="4335" spans="1:6" x14ac:dyDescent="0.25">
      <c r="A4335">
        <v>8106</v>
      </c>
      <c r="B4335" s="15">
        <v>45411</v>
      </c>
      <c r="E4335" s="117" t="s">
        <v>2</v>
      </c>
      <c r="F4335">
        <v>6617</v>
      </c>
    </row>
    <row r="4336" spans="1:6" x14ac:dyDescent="0.25">
      <c r="A4336">
        <v>8106</v>
      </c>
      <c r="B4336" s="15">
        <v>45412</v>
      </c>
      <c r="E4336" s="120" t="s">
        <v>2</v>
      </c>
      <c r="F4336">
        <v>6618</v>
      </c>
    </row>
    <row r="4337" spans="1:6" x14ac:dyDescent="0.25">
      <c r="A4337">
        <v>8106</v>
      </c>
      <c r="B4337" s="15">
        <v>45413</v>
      </c>
      <c r="E4337" s="157"/>
      <c r="F4337">
        <v>6619</v>
      </c>
    </row>
    <row r="4338" spans="1:6" x14ac:dyDescent="0.25">
      <c r="A4338">
        <v>8106</v>
      </c>
      <c r="B4338" s="15">
        <v>45414</v>
      </c>
      <c r="E4338" s="117" t="s">
        <v>2</v>
      </c>
      <c r="F4338">
        <v>6620</v>
      </c>
    </row>
    <row r="4339" spans="1:6" x14ac:dyDescent="0.25">
      <c r="A4339">
        <v>8106</v>
      </c>
      <c r="B4339" s="15">
        <v>45415</v>
      </c>
      <c r="E4339" s="120" t="s">
        <v>2</v>
      </c>
      <c r="F4339">
        <v>6621</v>
      </c>
    </row>
    <row r="4340" spans="1:6" x14ac:dyDescent="0.25">
      <c r="A4340">
        <v>8106</v>
      </c>
      <c r="B4340" s="15">
        <v>45416</v>
      </c>
      <c r="E4340" s="158"/>
      <c r="F4340">
        <v>6622</v>
      </c>
    </row>
    <row r="4341" spans="1:6" x14ac:dyDescent="0.25">
      <c r="A4341">
        <v>8106</v>
      </c>
      <c r="B4341" s="15">
        <v>45417</v>
      </c>
      <c r="E4341" s="158"/>
      <c r="F4341">
        <v>6623</v>
      </c>
    </row>
    <row r="4342" spans="1:6" x14ac:dyDescent="0.25">
      <c r="A4342">
        <v>8122</v>
      </c>
      <c r="B4342" s="15">
        <v>45264</v>
      </c>
      <c r="E4342" s="160" t="s">
        <v>265</v>
      </c>
      <c r="F4342">
        <v>3922</v>
      </c>
    </row>
    <row r="4343" spans="1:6" x14ac:dyDescent="0.25">
      <c r="A4343">
        <v>8122</v>
      </c>
      <c r="B4343" s="15">
        <v>45265</v>
      </c>
      <c r="E4343" s="197" t="s">
        <v>267</v>
      </c>
      <c r="F4343">
        <v>3923</v>
      </c>
    </row>
    <row r="4344" spans="1:6" x14ac:dyDescent="0.25">
      <c r="A4344">
        <v>8122</v>
      </c>
      <c r="B4344" s="15">
        <v>45266</v>
      </c>
      <c r="E4344" s="197" t="s">
        <v>264</v>
      </c>
      <c r="F4344">
        <v>3924</v>
      </c>
    </row>
    <row r="4345" spans="1:6" x14ac:dyDescent="0.25">
      <c r="A4345">
        <v>8122</v>
      </c>
      <c r="B4345" s="15">
        <v>45267</v>
      </c>
      <c r="E4345" s="160" t="s">
        <v>267</v>
      </c>
      <c r="F4345">
        <v>3925</v>
      </c>
    </row>
    <row r="4346" spans="1:6" x14ac:dyDescent="0.25">
      <c r="A4346">
        <v>8122</v>
      </c>
      <c r="B4346" s="15">
        <v>45268</v>
      </c>
      <c r="E4346" s="120" t="s">
        <v>2</v>
      </c>
      <c r="F4346">
        <v>3926</v>
      </c>
    </row>
    <row r="4347" spans="1:6" x14ac:dyDescent="0.25">
      <c r="A4347">
        <v>8122</v>
      </c>
      <c r="B4347" s="15">
        <v>45269</v>
      </c>
      <c r="E4347" s="158"/>
      <c r="F4347">
        <v>3927</v>
      </c>
    </row>
    <row r="4348" spans="1:6" x14ac:dyDescent="0.25">
      <c r="A4348">
        <v>8122</v>
      </c>
      <c r="B4348" s="15">
        <v>45270</v>
      </c>
      <c r="E4348" s="157"/>
      <c r="F4348">
        <v>3928</v>
      </c>
    </row>
    <row r="4349" spans="1:6" x14ac:dyDescent="0.25">
      <c r="A4349">
        <v>8122</v>
      </c>
      <c r="B4349" s="15">
        <v>45271</v>
      </c>
      <c r="E4349" s="155"/>
      <c r="F4349">
        <v>3929</v>
      </c>
    </row>
    <row r="4350" spans="1:6" x14ac:dyDescent="0.25">
      <c r="A4350">
        <v>8122</v>
      </c>
      <c r="B4350" s="15">
        <v>45272</v>
      </c>
      <c r="E4350" s="159" t="s">
        <v>264</v>
      </c>
      <c r="F4350">
        <v>3930</v>
      </c>
    </row>
    <row r="4351" spans="1:6" x14ac:dyDescent="0.25">
      <c r="A4351">
        <v>8122</v>
      </c>
      <c r="B4351" s="15">
        <v>45273</v>
      </c>
      <c r="E4351" s="197" t="s">
        <v>267</v>
      </c>
      <c r="F4351">
        <v>3931</v>
      </c>
    </row>
    <row r="4352" spans="1:6" x14ac:dyDescent="0.25">
      <c r="A4352">
        <v>8122</v>
      </c>
      <c r="B4352" s="15">
        <v>45274</v>
      </c>
      <c r="E4352" s="159" t="s">
        <v>267</v>
      </c>
      <c r="F4352">
        <v>3932</v>
      </c>
    </row>
    <row r="4353" spans="1:6" x14ac:dyDescent="0.25">
      <c r="A4353">
        <v>8122</v>
      </c>
      <c r="B4353" s="15">
        <v>45275</v>
      </c>
      <c r="E4353" s="197" t="s">
        <v>264</v>
      </c>
      <c r="F4353">
        <v>3933</v>
      </c>
    </row>
    <row r="4354" spans="1:6" x14ac:dyDescent="0.25">
      <c r="A4354">
        <v>8122</v>
      </c>
      <c r="B4354" s="15">
        <v>45276</v>
      </c>
      <c r="E4354" s="121" t="s">
        <v>2</v>
      </c>
      <c r="F4354">
        <v>3934</v>
      </c>
    </row>
    <row r="4355" spans="1:6" x14ac:dyDescent="0.25">
      <c r="A4355">
        <v>8122</v>
      </c>
      <c r="B4355" s="15">
        <v>45277</v>
      </c>
      <c r="E4355" s="157"/>
      <c r="F4355">
        <v>3935</v>
      </c>
    </row>
    <row r="4356" spans="1:6" x14ac:dyDescent="0.25">
      <c r="A4356">
        <v>8122</v>
      </c>
      <c r="B4356" s="15">
        <v>45278</v>
      </c>
      <c r="E4356" s="160" t="s">
        <v>265</v>
      </c>
      <c r="F4356">
        <v>3936</v>
      </c>
    </row>
    <row r="4357" spans="1:6" x14ac:dyDescent="0.25">
      <c r="A4357">
        <v>8122</v>
      </c>
      <c r="B4357" s="15">
        <v>45279</v>
      </c>
      <c r="E4357" s="159" t="s">
        <v>267</v>
      </c>
      <c r="F4357">
        <v>3937</v>
      </c>
    </row>
    <row r="4358" spans="1:6" x14ac:dyDescent="0.25">
      <c r="A4358">
        <v>8122</v>
      </c>
      <c r="B4358" s="15">
        <v>45280</v>
      </c>
      <c r="E4358" s="197" t="s">
        <v>264</v>
      </c>
      <c r="F4358">
        <v>3938</v>
      </c>
    </row>
    <row r="4359" spans="1:6" x14ac:dyDescent="0.25">
      <c r="A4359">
        <v>8122</v>
      </c>
      <c r="B4359" s="15">
        <v>45281</v>
      </c>
      <c r="E4359" s="120" t="s">
        <v>2</v>
      </c>
      <c r="F4359">
        <v>3939</v>
      </c>
    </row>
    <row r="4360" spans="1:6" x14ac:dyDescent="0.25">
      <c r="A4360">
        <v>8122</v>
      </c>
      <c r="B4360" s="15">
        <v>45282</v>
      </c>
      <c r="E4360" s="120" t="s">
        <v>2</v>
      </c>
      <c r="F4360">
        <v>3940</v>
      </c>
    </row>
    <row r="4361" spans="1:6" x14ac:dyDescent="0.25">
      <c r="A4361">
        <v>8122</v>
      </c>
      <c r="B4361" s="15">
        <v>45283</v>
      </c>
      <c r="E4361" s="158"/>
      <c r="F4361">
        <v>3941</v>
      </c>
    </row>
    <row r="4362" spans="1:6" x14ac:dyDescent="0.25">
      <c r="A4362">
        <v>8122</v>
      </c>
      <c r="B4362" s="15">
        <v>45284</v>
      </c>
      <c r="E4362" s="157"/>
      <c r="F4362">
        <v>3942</v>
      </c>
    </row>
    <row r="4363" spans="1:6" x14ac:dyDescent="0.25">
      <c r="A4363">
        <v>8122</v>
      </c>
      <c r="B4363" s="15">
        <v>45285</v>
      </c>
      <c r="E4363" s="155"/>
      <c r="F4363">
        <v>3943</v>
      </c>
    </row>
    <row r="4364" spans="1:6" x14ac:dyDescent="0.25">
      <c r="A4364">
        <v>8122</v>
      </c>
      <c r="B4364" s="15">
        <v>45286</v>
      </c>
      <c r="E4364" s="197" t="s">
        <v>264</v>
      </c>
      <c r="F4364">
        <v>3944</v>
      </c>
    </row>
    <row r="4365" spans="1:6" x14ac:dyDescent="0.25">
      <c r="A4365">
        <v>8122</v>
      </c>
      <c r="B4365" s="15">
        <v>45287</v>
      </c>
      <c r="E4365" s="197" t="s">
        <v>267</v>
      </c>
      <c r="F4365">
        <v>3945</v>
      </c>
    </row>
    <row r="4366" spans="1:6" x14ac:dyDescent="0.25">
      <c r="A4366">
        <v>8122</v>
      </c>
      <c r="B4366" s="15">
        <v>45288</v>
      </c>
      <c r="E4366" s="160" t="s">
        <v>267</v>
      </c>
      <c r="F4366">
        <v>3946</v>
      </c>
    </row>
    <row r="4367" spans="1:6" x14ac:dyDescent="0.25">
      <c r="A4367">
        <v>8122</v>
      </c>
      <c r="B4367" s="15">
        <v>45289</v>
      </c>
      <c r="E4367" s="160" t="s">
        <v>175</v>
      </c>
      <c r="F4367">
        <v>3947</v>
      </c>
    </row>
    <row r="4368" spans="1:6" x14ac:dyDescent="0.25">
      <c r="A4368">
        <v>8122</v>
      </c>
      <c r="B4368" s="15">
        <v>45290</v>
      </c>
      <c r="E4368" s="121" t="s">
        <v>2</v>
      </c>
      <c r="F4368">
        <v>3948</v>
      </c>
    </row>
    <row r="4369" spans="1:6" x14ac:dyDescent="0.25">
      <c r="A4369">
        <v>8122</v>
      </c>
      <c r="B4369" s="15">
        <v>45291</v>
      </c>
      <c r="E4369" s="157"/>
      <c r="F4369">
        <v>3949</v>
      </c>
    </row>
    <row r="4370" spans="1:6" x14ac:dyDescent="0.25">
      <c r="A4370">
        <v>8122</v>
      </c>
      <c r="B4370" s="15">
        <v>45292</v>
      </c>
      <c r="E4370" s="119"/>
      <c r="F4370">
        <v>4734</v>
      </c>
    </row>
    <row r="4371" spans="1:6" x14ac:dyDescent="0.25">
      <c r="A4371">
        <v>8122</v>
      </c>
      <c r="B4371" s="15">
        <v>45293</v>
      </c>
      <c r="E4371" s="197" t="s">
        <v>267</v>
      </c>
      <c r="F4371">
        <v>4735</v>
      </c>
    </row>
    <row r="4372" spans="1:6" x14ac:dyDescent="0.25">
      <c r="A4372">
        <v>8122</v>
      </c>
      <c r="B4372" s="15">
        <v>45294</v>
      </c>
      <c r="E4372" s="197" t="s">
        <v>264</v>
      </c>
      <c r="F4372">
        <v>4736</v>
      </c>
    </row>
    <row r="4373" spans="1:6" x14ac:dyDescent="0.25">
      <c r="A4373">
        <v>8122</v>
      </c>
      <c r="B4373" s="15">
        <v>45295</v>
      </c>
      <c r="E4373" s="160" t="s">
        <v>267</v>
      </c>
      <c r="F4373">
        <v>4737</v>
      </c>
    </row>
    <row r="4374" spans="1:6" x14ac:dyDescent="0.25">
      <c r="A4374">
        <v>8122</v>
      </c>
      <c r="B4374" s="15">
        <v>45296</v>
      </c>
      <c r="E4374" s="160" t="s">
        <v>267</v>
      </c>
      <c r="F4374">
        <v>4738</v>
      </c>
    </row>
    <row r="4375" spans="1:6" x14ac:dyDescent="0.25">
      <c r="A4375">
        <v>8122</v>
      </c>
      <c r="B4375" s="15">
        <v>45297</v>
      </c>
      <c r="E4375" s="158"/>
      <c r="F4375">
        <v>4739</v>
      </c>
    </row>
    <row r="4376" spans="1:6" x14ac:dyDescent="0.25">
      <c r="A4376">
        <v>8122</v>
      </c>
      <c r="B4376" s="15">
        <v>45298</v>
      </c>
      <c r="E4376" s="157"/>
      <c r="F4376">
        <v>4740</v>
      </c>
    </row>
    <row r="4377" spans="1:6" x14ac:dyDescent="0.25">
      <c r="A4377">
        <v>8122</v>
      </c>
      <c r="B4377" s="15">
        <v>45299</v>
      </c>
      <c r="E4377" s="155"/>
      <c r="F4377">
        <v>4741</v>
      </c>
    </row>
    <row r="4378" spans="1:6" x14ac:dyDescent="0.25">
      <c r="A4378">
        <v>8122</v>
      </c>
      <c r="B4378" s="15">
        <v>45300</v>
      </c>
      <c r="E4378" s="197" t="s">
        <v>264</v>
      </c>
      <c r="F4378">
        <v>4742</v>
      </c>
    </row>
    <row r="4379" spans="1:6" x14ac:dyDescent="0.25">
      <c r="A4379">
        <v>8122</v>
      </c>
      <c r="B4379" s="15">
        <v>45301</v>
      </c>
      <c r="E4379" s="197" t="s">
        <v>267</v>
      </c>
      <c r="F4379">
        <v>4743</v>
      </c>
    </row>
    <row r="4380" spans="1:6" x14ac:dyDescent="0.25">
      <c r="A4380">
        <v>8122</v>
      </c>
      <c r="B4380" s="15">
        <v>45302</v>
      </c>
      <c r="E4380" s="160" t="s">
        <v>267</v>
      </c>
      <c r="F4380">
        <v>4744</v>
      </c>
    </row>
    <row r="4381" spans="1:6" x14ac:dyDescent="0.25">
      <c r="A4381">
        <v>8122</v>
      </c>
      <c r="B4381" s="15">
        <v>45303</v>
      </c>
      <c r="E4381" s="160" t="s">
        <v>264</v>
      </c>
      <c r="F4381">
        <v>4745</v>
      </c>
    </row>
    <row r="4382" spans="1:6" x14ac:dyDescent="0.25">
      <c r="A4382">
        <v>8122</v>
      </c>
      <c r="B4382" s="15">
        <v>45304</v>
      </c>
      <c r="E4382" s="160" t="s">
        <v>175</v>
      </c>
      <c r="F4382">
        <v>4746</v>
      </c>
    </row>
    <row r="4383" spans="1:6" x14ac:dyDescent="0.25">
      <c r="A4383">
        <v>8122</v>
      </c>
      <c r="B4383" s="15">
        <v>45305</v>
      </c>
      <c r="E4383" s="157"/>
      <c r="F4383">
        <v>4747</v>
      </c>
    </row>
    <row r="4384" spans="1:6" x14ac:dyDescent="0.25">
      <c r="A4384">
        <v>8122</v>
      </c>
      <c r="B4384" s="15">
        <v>45306</v>
      </c>
      <c r="E4384" s="160" t="s">
        <v>265</v>
      </c>
      <c r="F4384">
        <v>4748</v>
      </c>
    </row>
    <row r="4385" spans="1:6" x14ac:dyDescent="0.25">
      <c r="A4385">
        <v>8122</v>
      </c>
      <c r="B4385" s="15">
        <v>45307</v>
      </c>
      <c r="E4385" s="197" t="s">
        <v>267</v>
      </c>
      <c r="F4385">
        <v>4749</v>
      </c>
    </row>
    <row r="4386" spans="1:6" x14ac:dyDescent="0.25">
      <c r="A4386">
        <v>8122</v>
      </c>
      <c r="B4386" s="15">
        <v>45308</v>
      </c>
      <c r="E4386" s="197" t="s">
        <v>264</v>
      </c>
      <c r="F4386">
        <v>4750</v>
      </c>
    </row>
    <row r="4387" spans="1:6" x14ac:dyDescent="0.25">
      <c r="A4387">
        <v>8122</v>
      </c>
      <c r="B4387" s="15">
        <v>45309</v>
      </c>
      <c r="E4387" s="160" t="s">
        <v>267</v>
      </c>
      <c r="F4387">
        <v>4751</v>
      </c>
    </row>
    <row r="4388" spans="1:6" x14ac:dyDescent="0.25">
      <c r="A4388">
        <v>8122</v>
      </c>
      <c r="B4388" s="15">
        <v>45310</v>
      </c>
      <c r="E4388" s="160" t="s">
        <v>267</v>
      </c>
      <c r="F4388">
        <v>4752</v>
      </c>
    </row>
    <row r="4389" spans="1:6" x14ac:dyDescent="0.25">
      <c r="A4389">
        <v>8122</v>
      </c>
      <c r="B4389" s="15">
        <v>45311</v>
      </c>
      <c r="E4389" s="158"/>
      <c r="F4389">
        <v>4753</v>
      </c>
    </row>
    <row r="4390" spans="1:6" x14ac:dyDescent="0.25">
      <c r="A4390">
        <v>8122</v>
      </c>
      <c r="B4390" s="15">
        <v>45312</v>
      </c>
      <c r="E4390" s="157"/>
      <c r="F4390">
        <v>4754</v>
      </c>
    </row>
    <row r="4391" spans="1:6" x14ac:dyDescent="0.25">
      <c r="A4391">
        <v>8122</v>
      </c>
      <c r="B4391" s="15">
        <v>45313</v>
      </c>
      <c r="E4391" s="155"/>
      <c r="F4391">
        <v>4755</v>
      </c>
    </row>
    <row r="4392" spans="1:6" x14ac:dyDescent="0.25">
      <c r="A4392">
        <v>8122</v>
      </c>
      <c r="B4392" s="15">
        <v>45314</v>
      </c>
      <c r="E4392" s="197" t="s">
        <v>264</v>
      </c>
      <c r="F4392">
        <v>4756</v>
      </c>
    </row>
    <row r="4393" spans="1:6" x14ac:dyDescent="0.25">
      <c r="A4393">
        <v>8122</v>
      </c>
      <c r="B4393" s="15">
        <v>45315</v>
      </c>
      <c r="E4393" s="197" t="s">
        <v>267</v>
      </c>
      <c r="F4393">
        <v>4757</v>
      </c>
    </row>
    <row r="4394" spans="1:6" x14ac:dyDescent="0.25">
      <c r="A4394">
        <v>8122</v>
      </c>
      <c r="B4394" s="15">
        <v>45316</v>
      </c>
      <c r="E4394" s="160" t="s">
        <v>267</v>
      </c>
      <c r="F4394">
        <v>4758</v>
      </c>
    </row>
    <row r="4395" spans="1:6" x14ac:dyDescent="0.25">
      <c r="A4395">
        <v>8122</v>
      </c>
      <c r="B4395" s="15">
        <v>45317</v>
      </c>
      <c r="E4395" s="160" t="s">
        <v>264</v>
      </c>
      <c r="F4395">
        <v>4759</v>
      </c>
    </row>
    <row r="4396" spans="1:6" x14ac:dyDescent="0.25">
      <c r="A4396">
        <v>8122</v>
      </c>
      <c r="B4396" s="15">
        <v>45318</v>
      </c>
      <c r="E4396" s="160" t="s">
        <v>175</v>
      </c>
      <c r="F4396">
        <v>4760</v>
      </c>
    </row>
    <row r="4397" spans="1:6" x14ac:dyDescent="0.25">
      <c r="A4397">
        <v>8122</v>
      </c>
      <c r="B4397" s="15">
        <v>45319</v>
      </c>
      <c r="E4397" s="157"/>
      <c r="F4397">
        <v>4761</v>
      </c>
    </row>
    <row r="4398" spans="1:6" x14ac:dyDescent="0.25">
      <c r="A4398">
        <v>8122</v>
      </c>
      <c r="B4398" s="15">
        <v>45320</v>
      </c>
      <c r="E4398" s="160" t="s">
        <v>265</v>
      </c>
      <c r="F4398">
        <v>4762</v>
      </c>
    </row>
    <row r="4399" spans="1:6" x14ac:dyDescent="0.25">
      <c r="A4399">
        <v>8122</v>
      </c>
      <c r="B4399" s="15">
        <v>45321</v>
      </c>
      <c r="E4399" s="197" t="s">
        <v>267</v>
      </c>
      <c r="F4399">
        <v>4763</v>
      </c>
    </row>
    <row r="4400" spans="1:6" x14ac:dyDescent="0.25">
      <c r="A4400">
        <v>8122</v>
      </c>
      <c r="B4400" s="15">
        <v>45322</v>
      </c>
      <c r="E4400" s="197" t="s">
        <v>264</v>
      </c>
      <c r="F4400">
        <v>4764</v>
      </c>
    </row>
    <row r="4401" spans="1:6" x14ac:dyDescent="0.25">
      <c r="A4401">
        <v>8122</v>
      </c>
      <c r="B4401" s="15">
        <v>45323</v>
      </c>
      <c r="E4401" s="160" t="s">
        <v>267</v>
      </c>
      <c r="F4401">
        <v>4765</v>
      </c>
    </row>
    <row r="4402" spans="1:6" x14ac:dyDescent="0.25">
      <c r="A4402">
        <v>8122</v>
      </c>
      <c r="B4402" s="15">
        <v>45324</v>
      </c>
      <c r="E4402" s="160" t="s">
        <v>267</v>
      </c>
      <c r="F4402">
        <v>4766</v>
      </c>
    </row>
    <row r="4403" spans="1:6" x14ac:dyDescent="0.25">
      <c r="A4403">
        <v>8122</v>
      </c>
      <c r="B4403" s="15">
        <v>45325</v>
      </c>
      <c r="E4403" s="158"/>
      <c r="F4403">
        <v>4767</v>
      </c>
    </row>
    <row r="4404" spans="1:6" x14ac:dyDescent="0.25">
      <c r="A4404">
        <v>8122</v>
      </c>
      <c r="B4404" s="15">
        <v>45326</v>
      </c>
      <c r="E4404" s="157"/>
      <c r="F4404">
        <v>4768</v>
      </c>
    </row>
    <row r="4405" spans="1:6" x14ac:dyDescent="0.25">
      <c r="A4405">
        <v>8122</v>
      </c>
      <c r="B4405" s="15">
        <v>45327</v>
      </c>
      <c r="E4405" s="155"/>
      <c r="F4405">
        <v>5497</v>
      </c>
    </row>
    <row r="4406" spans="1:6" x14ac:dyDescent="0.25">
      <c r="A4406">
        <v>8122</v>
      </c>
      <c r="B4406" s="15">
        <v>45328</v>
      </c>
      <c r="E4406" s="197" t="s">
        <v>264</v>
      </c>
      <c r="F4406">
        <v>5498</v>
      </c>
    </row>
    <row r="4407" spans="1:6" x14ac:dyDescent="0.25">
      <c r="A4407">
        <v>8122</v>
      </c>
      <c r="B4407" s="15">
        <v>45329</v>
      </c>
      <c r="E4407" s="197" t="s">
        <v>267</v>
      </c>
      <c r="F4407">
        <v>5499</v>
      </c>
    </row>
    <row r="4408" spans="1:6" x14ac:dyDescent="0.25">
      <c r="A4408">
        <v>8122</v>
      </c>
      <c r="B4408" s="15">
        <v>45330</v>
      </c>
      <c r="E4408" s="160" t="s">
        <v>267</v>
      </c>
      <c r="F4408">
        <v>5500</v>
      </c>
    </row>
    <row r="4409" spans="1:6" x14ac:dyDescent="0.25">
      <c r="A4409">
        <v>8122</v>
      </c>
      <c r="B4409" s="15">
        <v>45331</v>
      </c>
      <c r="E4409" s="160" t="s">
        <v>264</v>
      </c>
      <c r="F4409">
        <v>5501</v>
      </c>
    </row>
    <row r="4410" spans="1:6" x14ac:dyDescent="0.25">
      <c r="A4410">
        <v>8122</v>
      </c>
      <c r="B4410" s="15">
        <v>45332</v>
      </c>
      <c r="E4410" s="160" t="s">
        <v>175</v>
      </c>
      <c r="F4410">
        <v>5502</v>
      </c>
    </row>
    <row r="4411" spans="1:6" x14ac:dyDescent="0.25">
      <c r="A4411">
        <v>8122</v>
      </c>
      <c r="B4411" s="15">
        <v>45333</v>
      </c>
      <c r="E4411" s="157"/>
      <c r="F4411">
        <v>5503</v>
      </c>
    </row>
    <row r="4412" spans="1:6" x14ac:dyDescent="0.25">
      <c r="A4412">
        <v>8122</v>
      </c>
      <c r="B4412" s="15">
        <v>45334</v>
      </c>
      <c r="E4412" s="160" t="s">
        <v>265</v>
      </c>
      <c r="F4412">
        <v>5504</v>
      </c>
    </row>
    <row r="4413" spans="1:6" x14ac:dyDescent="0.25">
      <c r="A4413">
        <v>8122</v>
      </c>
      <c r="B4413" s="15">
        <v>45335</v>
      </c>
      <c r="E4413" s="197" t="s">
        <v>267</v>
      </c>
      <c r="F4413">
        <v>5505</v>
      </c>
    </row>
    <row r="4414" spans="1:6" x14ac:dyDescent="0.25">
      <c r="A4414">
        <v>8122</v>
      </c>
      <c r="B4414" s="15">
        <v>45336</v>
      </c>
      <c r="E4414" s="197" t="s">
        <v>264</v>
      </c>
      <c r="F4414">
        <v>5506</v>
      </c>
    </row>
    <row r="4415" spans="1:6" x14ac:dyDescent="0.25">
      <c r="A4415">
        <v>8122</v>
      </c>
      <c r="B4415" s="15">
        <v>45337</v>
      </c>
      <c r="E4415" s="160" t="s">
        <v>267</v>
      </c>
      <c r="F4415">
        <v>5507</v>
      </c>
    </row>
    <row r="4416" spans="1:6" x14ac:dyDescent="0.25">
      <c r="A4416">
        <v>8122</v>
      </c>
      <c r="B4416" s="15">
        <v>45338</v>
      </c>
      <c r="E4416" s="160" t="s">
        <v>267</v>
      </c>
      <c r="F4416">
        <v>5508</v>
      </c>
    </row>
    <row r="4417" spans="1:6" x14ac:dyDescent="0.25">
      <c r="A4417">
        <v>8122</v>
      </c>
      <c r="B4417" s="15">
        <v>45339</v>
      </c>
      <c r="E4417" s="158"/>
      <c r="F4417">
        <v>5509</v>
      </c>
    </row>
    <row r="4418" spans="1:6" x14ac:dyDescent="0.25">
      <c r="A4418">
        <v>8122</v>
      </c>
      <c r="B4418" s="15">
        <v>45340</v>
      </c>
      <c r="E4418" s="157"/>
      <c r="F4418">
        <v>5510</v>
      </c>
    </row>
    <row r="4419" spans="1:6" x14ac:dyDescent="0.25">
      <c r="A4419">
        <v>8122</v>
      </c>
      <c r="B4419" s="15">
        <v>45341</v>
      </c>
      <c r="E4419" s="155"/>
      <c r="F4419">
        <v>5511</v>
      </c>
    </row>
    <row r="4420" spans="1:6" x14ac:dyDescent="0.25">
      <c r="A4420">
        <v>8122</v>
      </c>
      <c r="B4420" s="15">
        <v>45342</v>
      </c>
      <c r="E4420" s="197" t="s">
        <v>264</v>
      </c>
      <c r="F4420">
        <v>5512</v>
      </c>
    </row>
    <row r="4421" spans="1:6" x14ac:dyDescent="0.25">
      <c r="A4421">
        <v>8122</v>
      </c>
      <c r="B4421" s="15">
        <v>45343</v>
      </c>
      <c r="E4421" s="197" t="s">
        <v>267</v>
      </c>
      <c r="F4421">
        <v>5513</v>
      </c>
    </row>
    <row r="4422" spans="1:6" x14ac:dyDescent="0.25">
      <c r="A4422">
        <v>8122</v>
      </c>
      <c r="B4422" s="15">
        <v>45344</v>
      </c>
      <c r="E4422" s="160" t="s">
        <v>267</v>
      </c>
      <c r="F4422">
        <v>5514</v>
      </c>
    </row>
    <row r="4423" spans="1:6" x14ac:dyDescent="0.25">
      <c r="A4423">
        <v>8122</v>
      </c>
      <c r="B4423" s="15">
        <v>45345</v>
      </c>
      <c r="E4423" s="160" t="s">
        <v>264</v>
      </c>
      <c r="F4423">
        <v>5515</v>
      </c>
    </row>
    <row r="4424" spans="1:6" x14ac:dyDescent="0.25">
      <c r="A4424">
        <v>8122</v>
      </c>
      <c r="B4424" s="15">
        <v>45346</v>
      </c>
      <c r="E4424" s="160" t="s">
        <v>175</v>
      </c>
      <c r="F4424">
        <v>5516</v>
      </c>
    </row>
    <row r="4425" spans="1:6" x14ac:dyDescent="0.25">
      <c r="A4425">
        <v>8122</v>
      </c>
      <c r="B4425" s="15">
        <v>45347</v>
      </c>
      <c r="E4425" s="157"/>
      <c r="F4425">
        <v>5517</v>
      </c>
    </row>
    <row r="4426" spans="1:6" x14ac:dyDescent="0.25">
      <c r="A4426">
        <v>8122</v>
      </c>
      <c r="B4426" s="15">
        <v>45348</v>
      </c>
      <c r="E4426" s="117" t="s">
        <v>2</v>
      </c>
      <c r="F4426">
        <v>5518</v>
      </c>
    </row>
    <row r="4427" spans="1:6" x14ac:dyDescent="0.25">
      <c r="A4427">
        <v>8122</v>
      </c>
      <c r="B4427" s="15">
        <v>45349</v>
      </c>
      <c r="E4427" s="120" t="s">
        <v>2</v>
      </c>
      <c r="F4427">
        <v>5519</v>
      </c>
    </row>
    <row r="4428" spans="1:6" x14ac:dyDescent="0.25">
      <c r="A4428">
        <v>8122</v>
      </c>
      <c r="B4428" s="15">
        <v>45350</v>
      </c>
      <c r="E4428" s="117" t="s">
        <v>2</v>
      </c>
      <c r="F4428">
        <v>5520</v>
      </c>
    </row>
    <row r="4429" spans="1:6" x14ac:dyDescent="0.25">
      <c r="A4429">
        <v>8122</v>
      </c>
      <c r="B4429" s="15">
        <v>45351</v>
      </c>
      <c r="E4429" s="120" t="s">
        <v>2</v>
      </c>
      <c r="F4429">
        <v>5521</v>
      </c>
    </row>
    <row r="4430" spans="1:6" x14ac:dyDescent="0.25">
      <c r="A4430">
        <v>8122</v>
      </c>
      <c r="B4430" s="15">
        <v>45352</v>
      </c>
      <c r="E4430" s="120" t="s">
        <v>2</v>
      </c>
      <c r="F4430">
        <v>5522</v>
      </c>
    </row>
    <row r="4431" spans="1:6" x14ac:dyDescent="0.25">
      <c r="A4431">
        <v>8122</v>
      </c>
      <c r="B4431" s="15">
        <v>45353</v>
      </c>
      <c r="E4431" s="158"/>
      <c r="F4431">
        <v>5523</v>
      </c>
    </row>
    <row r="4432" spans="1:6" x14ac:dyDescent="0.25">
      <c r="A4432">
        <v>8122</v>
      </c>
      <c r="B4432" s="15">
        <v>45354</v>
      </c>
      <c r="E4432" s="157"/>
      <c r="F4432">
        <v>5524</v>
      </c>
    </row>
    <row r="4433" spans="1:6" x14ac:dyDescent="0.25">
      <c r="A4433">
        <v>8122</v>
      </c>
      <c r="B4433" s="15">
        <v>45355</v>
      </c>
      <c r="E4433" s="155"/>
      <c r="F4433">
        <v>6197</v>
      </c>
    </row>
    <row r="4434" spans="1:6" x14ac:dyDescent="0.25">
      <c r="A4434">
        <v>8122</v>
      </c>
      <c r="B4434" s="15">
        <v>45356</v>
      </c>
      <c r="E4434" s="197" t="s">
        <v>264</v>
      </c>
      <c r="F4434">
        <v>6198</v>
      </c>
    </row>
    <row r="4435" spans="1:6" x14ac:dyDescent="0.25">
      <c r="A4435">
        <v>8122</v>
      </c>
      <c r="B4435" s="15">
        <v>45357</v>
      </c>
      <c r="E4435" s="197" t="s">
        <v>267</v>
      </c>
      <c r="F4435">
        <v>6199</v>
      </c>
    </row>
    <row r="4436" spans="1:6" x14ac:dyDescent="0.25">
      <c r="A4436">
        <v>8122</v>
      </c>
      <c r="B4436" s="15">
        <v>45358</v>
      </c>
      <c r="E4436" s="160" t="s">
        <v>267</v>
      </c>
      <c r="F4436">
        <v>6200</v>
      </c>
    </row>
    <row r="4437" spans="1:6" x14ac:dyDescent="0.25">
      <c r="A4437">
        <v>8122</v>
      </c>
      <c r="B4437" s="15">
        <v>45359</v>
      </c>
      <c r="E4437" s="160" t="s">
        <v>264</v>
      </c>
      <c r="F4437">
        <v>6201</v>
      </c>
    </row>
    <row r="4438" spans="1:6" x14ac:dyDescent="0.25">
      <c r="A4438">
        <v>8122</v>
      </c>
      <c r="B4438" s="15">
        <v>45360</v>
      </c>
      <c r="E4438" s="160" t="s">
        <v>175</v>
      </c>
      <c r="F4438">
        <v>6202</v>
      </c>
    </row>
    <row r="4439" spans="1:6" x14ac:dyDescent="0.25">
      <c r="A4439">
        <v>8122</v>
      </c>
      <c r="B4439" s="15">
        <v>45361</v>
      </c>
      <c r="E4439" s="157"/>
      <c r="F4439">
        <v>6203</v>
      </c>
    </row>
    <row r="4440" spans="1:6" x14ac:dyDescent="0.25">
      <c r="A4440">
        <v>8122</v>
      </c>
      <c r="B4440" s="15">
        <v>45362</v>
      </c>
      <c r="E4440" s="160" t="s">
        <v>265</v>
      </c>
      <c r="F4440">
        <v>6204</v>
      </c>
    </row>
    <row r="4441" spans="1:6" x14ac:dyDescent="0.25">
      <c r="A4441">
        <v>8122</v>
      </c>
      <c r="B4441" s="15">
        <v>45363</v>
      </c>
      <c r="E4441" s="197" t="s">
        <v>267</v>
      </c>
      <c r="F4441">
        <v>6205</v>
      </c>
    </row>
    <row r="4442" spans="1:6" x14ac:dyDescent="0.25">
      <c r="A4442">
        <v>8122</v>
      </c>
      <c r="B4442" s="15">
        <v>45364</v>
      </c>
      <c r="E4442" s="197" t="s">
        <v>264</v>
      </c>
      <c r="F4442">
        <v>6206</v>
      </c>
    </row>
    <row r="4443" spans="1:6" x14ac:dyDescent="0.25">
      <c r="A4443">
        <v>8122</v>
      </c>
      <c r="B4443" s="15">
        <v>45365</v>
      </c>
      <c r="E4443" s="160" t="s">
        <v>267</v>
      </c>
      <c r="F4443">
        <v>6207</v>
      </c>
    </row>
    <row r="4444" spans="1:6" x14ac:dyDescent="0.25">
      <c r="A4444">
        <v>8122</v>
      </c>
      <c r="B4444" s="15">
        <v>45366</v>
      </c>
      <c r="E4444" s="160" t="s">
        <v>267</v>
      </c>
      <c r="F4444">
        <v>6208</v>
      </c>
    </row>
    <row r="4445" spans="1:6" x14ac:dyDescent="0.25">
      <c r="A4445">
        <v>8122</v>
      </c>
      <c r="B4445" s="15">
        <v>45367</v>
      </c>
      <c r="E4445" s="158"/>
      <c r="F4445">
        <v>6209</v>
      </c>
    </row>
    <row r="4446" spans="1:6" x14ac:dyDescent="0.25">
      <c r="A4446">
        <v>8122</v>
      </c>
      <c r="B4446" s="15">
        <v>45368</v>
      </c>
      <c r="E4446" s="157"/>
      <c r="F4446">
        <v>6210</v>
      </c>
    </row>
    <row r="4447" spans="1:6" x14ac:dyDescent="0.25">
      <c r="A4447">
        <v>8122</v>
      </c>
      <c r="B4447" s="15">
        <v>45369</v>
      </c>
      <c r="E4447" s="155"/>
      <c r="F4447">
        <v>6211</v>
      </c>
    </row>
    <row r="4448" spans="1:6" x14ac:dyDescent="0.25">
      <c r="A4448">
        <v>8122</v>
      </c>
      <c r="B4448" s="15">
        <v>45370</v>
      </c>
      <c r="E4448" s="197" t="s">
        <v>264</v>
      </c>
      <c r="F4448">
        <v>6212</v>
      </c>
    </row>
    <row r="4449" spans="1:6" x14ac:dyDescent="0.25">
      <c r="A4449">
        <v>8122</v>
      </c>
      <c r="B4449" s="15">
        <v>45371</v>
      </c>
      <c r="E4449" s="197" t="s">
        <v>267</v>
      </c>
      <c r="F4449">
        <v>6213</v>
      </c>
    </row>
    <row r="4450" spans="1:6" x14ac:dyDescent="0.25">
      <c r="A4450">
        <v>8122</v>
      </c>
      <c r="B4450" s="15">
        <v>45372</v>
      </c>
      <c r="E4450" s="160" t="s">
        <v>267</v>
      </c>
      <c r="F4450">
        <v>6214</v>
      </c>
    </row>
    <row r="4451" spans="1:6" x14ac:dyDescent="0.25">
      <c r="A4451">
        <v>8122</v>
      </c>
      <c r="B4451" s="15">
        <v>45373</v>
      </c>
      <c r="E4451" s="160" t="s">
        <v>264</v>
      </c>
      <c r="F4451">
        <v>6215</v>
      </c>
    </row>
    <row r="4452" spans="1:6" x14ac:dyDescent="0.25">
      <c r="A4452">
        <v>8122</v>
      </c>
      <c r="B4452" s="15">
        <v>45374</v>
      </c>
      <c r="E4452" s="160" t="s">
        <v>175</v>
      </c>
      <c r="F4452">
        <v>6216</v>
      </c>
    </row>
    <row r="4453" spans="1:6" x14ac:dyDescent="0.25">
      <c r="A4453">
        <v>8122</v>
      </c>
      <c r="B4453" s="15">
        <v>45375</v>
      </c>
      <c r="E4453" s="157"/>
      <c r="F4453">
        <v>6217</v>
      </c>
    </row>
    <row r="4454" spans="1:6" x14ac:dyDescent="0.25">
      <c r="A4454">
        <v>8122</v>
      </c>
      <c r="B4454" s="15">
        <v>45376</v>
      </c>
      <c r="E4454" s="117" t="s">
        <v>2</v>
      </c>
      <c r="F4454">
        <v>6218</v>
      </c>
    </row>
    <row r="4455" spans="1:6" x14ac:dyDescent="0.25">
      <c r="A4455">
        <v>8122</v>
      </c>
      <c r="B4455" s="15">
        <v>45377</v>
      </c>
      <c r="E4455" s="122" t="s">
        <v>2</v>
      </c>
      <c r="F4455">
        <v>6219</v>
      </c>
    </row>
    <row r="4456" spans="1:6" x14ac:dyDescent="0.25">
      <c r="A4456">
        <v>8122</v>
      </c>
      <c r="B4456" s="15">
        <v>45378</v>
      </c>
      <c r="E4456" s="117" t="s">
        <v>2</v>
      </c>
      <c r="F4456">
        <v>6220</v>
      </c>
    </row>
    <row r="4457" spans="1:6" x14ac:dyDescent="0.25">
      <c r="A4457">
        <v>8122</v>
      </c>
      <c r="B4457" s="15">
        <v>45379</v>
      </c>
      <c r="E4457" s="122" t="s">
        <v>2</v>
      </c>
      <c r="F4457">
        <v>6221</v>
      </c>
    </row>
    <row r="4458" spans="1:6" x14ac:dyDescent="0.25">
      <c r="A4458">
        <v>8122</v>
      </c>
      <c r="B4458" s="15">
        <v>45380</v>
      </c>
      <c r="E4458" s="122" t="s">
        <v>2</v>
      </c>
      <c r="F4458">
        <v>6222</v>
      </c>
    </row>
    <row r="4459" spans="1:6" x14ac:dyDescent="0.25">
      <c r="A4459">
        <v>8122</v>
      </c>
      <c r="B4459" s="15">
        <v>45381</v>
      </c>
      <c r="E4459" s="158"/>
      <c r="F4459">
        <v>6223</v>
      </c>
    </row>
    <row r="4460" spans="1:6" x14ac:dyDescent="0.25">
      <c r="A4460">
        <v>8122</v>
      </c>
      <c r="B4460" s="15">
        <v>45382</v>
      </c>
      <c r="E4460" s="157"/>
      <c r="F4460">
        <v>6224</v>
      </c>
    </row>
    <row r="4461" spans="1:6" x14ac:dyDescent="0.25">
      <c r="A4461">
        <v>8122</v>
      </c>
      <c r="B4461" s="15">
        <v>45383</v>
      </c>
      <c r="E4461" s="119"/>
      <c r="F4461">
        <v>7009</v>
      </c>
    </row>
    <row r="4462" spans="1:6" x14ac:dyDescent="0.25">
      <c r="A4462">
        <v>8122</v>
      </c>
      <c r="B4462" s="15">
        <v>45384</v>
      </c>
      <c r="E4462" s="197" t="s">
        <v>264</v>
      </c>
      <c r="F4462">
        <v>7010</v>
      </c>
    </row>
    <row r="4463" spans="1:6" x14ac:dyDescent="0.25">
      <c r="A4463">
        <v>8122</v>
      </c>
      <c r="B4463" s="15">
        <v>45385</v>
      </c>
      <c r="E4463" s="197" t="s">
        <v>267</v>
      </c>
      <c r="F4463">
        <v>7011</v>
      </c>
    </row>
    <row r="4464" spans="1:6" x14ac:dyDescent="0.25">
      <c r="A4464">
        <v>8122</v>
      </c>
      <c r="B4464" s="15">
        <v>45386</v>
      </c>
      <c r="E4464" s="160" t="s">
        <v>267</v>
      </c>
      <c r="F4464">
        <v>7012</v>
      </c>
    </row>
    <row r="4465" spans="1:6" x14ac:dyDescent="0.25">
      <c r="A4465">
        <v>8122</v>
      </c>
      <c r="B4465" s="15">
        <v>45387</v>
      </c>
      <c r="E4465" s="160" t="s">
        <v>264</v>
      </c>
      <c r="F4465">
        <v>7013</v>
      </c>
    </row>
    <row r="4466" spans="1:6" x14ac:dyDescent="0.25">
      <c r="A4466">
        <v>8122</v>
      </c>
      <c r="B4466" s="15">
        <v>45388</v>
      </c>
      <c r="E4466" s="160" t="s">
        <v>175</v>
      </c>
      <c r="F4466">
        <v>7014</v>
      </c>
    </row>
    <row r="4467" spans="1:6" x14ac:dyDescent="0.25">
      <c r="A4467">
        <v>8122</v>
      </c>
      <c r="B4467" s="15">
        <v>45389</v>
      </c>
      <c r="E4467" s="157"/>
      <c r="F4467">
        <v>7015</v>
      </c>
    </row>
    <row r="4468" spans="1:6" x14ac:dyDescent="0.25">
      <c r="A4468">
        <v>8122</v>
      </c>
      <c r="B4468" s="15">
        <v>45390</v>
      </c>
      <c r="E4468" s="160" t="s">
        <v>265</v>
      </c>
      <c r="F4468">
        <v>7016</v>
      </c>
    </row>
    <row r="4469" spans="1:6" x14ac:dyDescent="0.25">
      <c r="A4469">
        <v>8122</v>
      </c>
      <c r="B4469" s="15">
        <v>45391</v>
      </c>
      <c r="E4469" s="197" t="s">
        <v>267</v>
      </c>
      <c r="F4469">
        <v>7017</v>
      </c>
    </row>
    <row r="4470" spans="1:6" x14ac:dyDescent="0.25">
      <c r="A4470">
        <v>8122</v>
      </c>
      <c r="B4470" s="15">
        <v>45392</v>
      </c>
      <c r="E4470" s="197" t="s">
        <v>264</v>
      </c>
      <c r="F4470">
        <v>7018</v>
      </c>
    </row>
    <row r="4471" spans="1:6" x14ac:dyDescent="0.25">
      <c r="A4471">
        <v>8122</v>
      </c>
      <c r="B4471" s="15">
        <v>45393</v>
      </c>
      <c r="E4471" s="160" t="s">
        <v>267</v>
      </c>
      <c r="F4471">
        <v>7019</v>
      </c>
    </row>
    <row r="4472" spans="1:6" x14ac:dyDescent="0.25">
      <c r="A4472">
        <v>8122</v>
      </c>
      <c r="B4472" s="15">
        <v>45394</v>
      </c>
      <c r="E4472" s="160" t="s">
        <v>267</v>
      </c>
      <c r="F4472">
        <v>7020</v>
      </c>
    </row>
    <row r="4473" spans="1:6" x14ac:dyDescent="0.25">
      <c r="A4473">
        <v>8122</v>
      </c>
      <c r="B4473" s="15">
        <v>45395</v>
      </c>
      <c r="E4473" s="158"/>
      <c r="F4473">
        <v>7021</v>
      </c>
    </row>
    <row r="4474" spans="1:6" x14ac:dyDescent="0.25">
      <c r="A4474">
        <v>8122</v>
      </c>
      <c r="B4474" s="15">
        <v>45396</v>
      </c>
      <c r="E4474" s="157"/>
      <c r="F4474">
        <v>7022</v>
      </c>
    </row>
    <row r="4475" spans="1:6" x14ac:dyDescent="0.25">
      <c r="A4475">
        <v>8122</v>
      </c>
      <c r="B4475" s="15">
        <v>45397</v>
      </c>
      <c r="E4475" s="155"/>
      <c r="F4475">
        <v>7023</v>
      </c>
    </row>
    <row r="4476" spans="1:6" x14ac:dyDescent="0.25">
      <c r="A4476">
        <v>8122</v>
      </c>
      <c r="B4476" s="15">
        <v>45398</v>
      </c>
      <c r="E4476" s="197" t="s">
        <v>264</v>
      </c>
      <c r="F4476">
        <v>7024</v>
      </c>
    </row>
    <row r="4477" spans="1:6" x14ac:dyDescent="0.25">
      <c r="A4477">
        <v>8122</v>
      </c>
      <c r="B4477" s="15">
        <v>45399</v>
      </c>
      <c r="E4477" s="197" t="s">
        <v>267</v>
      </c>
      <c r="F4477">
        <v>7025</v>
      </c>
    </row>
    <row r="4478" spans="1:6" x14ac:dyDescent="0.25">
      <c r="A4478">
        <v>8122</v>
      </c>
      <c r="B4478" s="15">
        <v>45400</v>
      </c>
      <c r="E4478" s="160" t="s">
        <v>267</v>
      </c>
      <c r="F4478">
        <v>7026</v>
      </c>
    </row>
    <row r="4479" spans="1:6" x14ac:dyDescent="0.25">
      <c r="A4479">
        <v>8122</v>
      </c>
      <c r="B4479" s="15">
        <v>45401</v>
      </c>
      <c r="E4479" s="160" t="s">
        <v>264</v>
      </c>
      <c r="F4479">
        <v>7027</v>
      </c>
    </row>
    <row r="4480" spans="1:6" x14ac:dyDescent="0.25">
      <c r="A4480">
        <v>8122</v>
      </c>
      <c r="B4480" s="15">
        <v>45402</v>
      </c>
      <c r="E4480" s="160" t="s">
        <v>175</v>
      </c>
      <c r="F4480">
        <v>7028</v>
      </c>
    </row>
    <row r="4481" spans="1:6" x14ac:dyDescent="0.25">
      <c r="A4481">
        <v>8122</v>
      </c>
      <c r="B4481" s="15">
        <v>45403</v>
      </c>
      <c r="E4481" s="157"/>
      <c r="F4481">
        <v>7029</v>
      </c>
    </row>
    <row r="4482" spans="1:6" x14ac:dyDescent="0.25">
      <c r="A4482">
        <v>8122</v>
      </c>
      <c r="B4482" s="15">
        <v>45404</v>
      </c>
      <c r="E4482" s="125" t="s">
        <v>2</v>
      </c>
      <c r="F4482">
        <v>7030</v>
      </c>
    </row>
    <row r="4483" spans="1:6" x14ac:dyDescent="0.25">
      <c r="A4483">
        <v>8122</v>
      </c>
      <c r="B4483" s="15">
        <v>45405</v>
      </c>
      <c r="E4483" s="122" t="s">
        <v>2</v>
      </c>
      <c r="F4483">
        <v>7031</v>
      </c>
    </row>
    <row r="4484" spans="1:6" x14ac:dyDescent="0.25">
      <c r="A4484">
        <v>8122</v>
      </c>
      <c r="B4484" s="15">
        <v>45406</v>
      </c>
      <c r="E4484" s="125" t="s">
        <v>2</v>
      </c>
      <c r="F4484">
        <v>7032</v>
      </c>
    </row>
    <row r="4485" spans="1:6" x14ac:dyDescent="0.25">
      <c r="A4485">
        <v>8122</v>
      </c>
      <c r="B4485" s="15">
        <v>45407</v>
      </c>
      <c r="E4485" s="122" t="s">
        <v>2</v>
      </c>
      <c r="F4485">
        <v>7033</v>
      </c>
    </row>
    <row r="4486" spans="1:6" x14ac:dyDescent="0.25">
      <c r="A4486">
        <v>8122</v>
      </c>
      <c r="B4486" s="15">
        <v>45408</v>
      </c>
      <c r="E4486" s="122" t="s">
        <v>2</v>
      </c>
      <c r="F4486">
        <v>7034</v>
      </c>
    </row>
    <row r="4487" spans="1:6" x14ac:dyDescent="0.25">
      <c r="A4487">
        <v>8122</v>
      </c>
      <c r="B4487" s="15">
        <v>45409</v>
      </c>
      <c r="E4487" s="158"/>
      <c r="F4487">
        <v>7035</v>
      </c>
    </row>
    <row r="4488" spans="1:6" x14ac:dyDescent="0.25">
      <c r="A4488">
        <v>8122</v>
      </c>
      <c r="B4488" s="15">
        <v>45410</v>
      </c>
      <c r="E4488" s="157"/>
      <c r="F4488">
        <v>7036</v>
      </c>
    </row>
    <row r="4489" spans="1:6" x14ac:dyDescent="0.25">
      <c r="A4489">
        <v>8122</v>
      </c>
      <c r="B4489" s="15">
        <v>45411</v>
      </c>
      <c r="E4489" s="155"/>
      <c r="F4489">
        <v>7037</v>
      </c>
    </row>
    <row r="4490" spans="1:6" x14ac:dyDescent="0.25">
      <c r="A4490">
        <v>8122</v>
      </c>
      <c r="B4490" s="15">
        <v>45412</v>
      </c>
      <c r="E4490" s="160" t="s">
        <v>264</v>
      </c>
      <c r="F4490">
        <v>7038</v>
      </c>
    </row>
    <row r="4491" spans="1:6" x14ac:dyDescent="0.25">
      <c r="A4491">
        <v>8122</v>
      </c>
      <c r="B4491" s="15">
        <v>45413</v>
      </c>
      <c r="E4491" s="158"/>
      <c r="F4491">
        <v>7039</v>
      </c>
    </row>
    <row r="4492" spans="1:6" x14ac:dyDescent="0.25">
      <c r="A4492">
        <v>8122</v>
      </c>
      <c r="B4492" s="15">
        <v>45414</v>
      </c>
      <c r="E4492" s="160" t="s">
        <v>267</v>
      </c>
      <c r="F4492">
        <v>7040</v>
      </c>
    </row>
    <row r="4493" spans="1:6" x14ac:dyDescent="0.25">
      <c r="A4493">
        <v>8122</v>
      </c>
      <c r="B4493" s="15">
        <v>45415</v>
      </c>
      <c r="E4493" s="160" t="s">
        <v>264</v>
      </c>
      <c r="F4493">
        <v>7041</v>
      </c>
    </row>
    <row r="4494" spans="1:6" x14ac:dyDescent="0.25">
      <c r="A4494">
        <v>8122</v>
      </c>
      <c r="B4494" s="15">
        <v>45416</v>
      </c>
      <c r="E4494" s="160" t="s">
        <v>175</v>
      </c>
      <c r="F4494">
        <v>7042</v>
      </c>
    </row>
    <row r="4495" spans="1:6" x14ac:dyDescent="0.25">
      <c r="A4495">
        <v>8122</v>
      </c>
      <c r="B4495" s="15">
        <v>45417</v>
      </c>
      <c r="E4495" s="157"/>
      <c r="F4495">
        <v>7043</v>
      </c>
    </row>
    <row r="4496" spans="1:6" x14ac:dyDescent="0.25">
      <c r="A4496">
        <v>8123</v>
      </c>
      <c r="B4496" s="15">
        <v>45264</v>
      </c>
      <c r="E4496" s="117" t="s">
        <v>2</v>
      </c>
      <c r="F4496">
        <v>3726</v>
      </c>
    </row>
    <row r="4497" spans="1:6" x14ac:dyDescent="0.25">
      <c r="A4497">
        <v>8123</v>
      </c>
      <c r="B4497" s="15">
        <v>45265</v>
      </c>
      <c r="E4497" s="120" t="s">
        <v>2</v>
      </c>
      <c r="F4497">
        <v>3727</v>
      </c>
    </row>
    <row r="4498" spans="1:6" x14ac:dyDescent="0.25">
      <c r="A4498">
        <v>8123</v>
      </c>
      <c r="B4498" s="15">
        <v>45266</v>
      </c>
      <c r="E4498" s="158"/>
      <c r="F4498">
        <v>3728</v>
      </c>
    </row>
    <row r="4499" spans="1:6" x14ac:dyDescent="0.25">
      <c r="A4499">
        <v>8123</v>
      </c>
      <c r="B4499" s="15">
        <v>45267</v>
      </c>
      <c r="E4499" s="117" t="s">
        <v>2</v>
      </c>
      <c r="F4499">
        <v>3729</v>
      </c>
    </row>
    <row r="4500" spans="1:6" x14ac:dyDescent="0.25">
      <c r="A4500">
        <v>8123</v>
      </c>
      <c r="B4500" s="15">
        <v>45268</v>
      </c>
      <c r="E4500" s="120" t="s">
        <v>2</v>
      </c>
      <c r="F4500">
        <v>3730</v>
      </c>
    </row>
    <row r="4501" spans="1:6" x14ac:dyDescent="0.25">
      <c r="A4501">
        <v>8123</v>
      </c>
      <c r="B4501" s="15">
        <v>45269</v>
      </c>
      <c r="E4501" s="121" t="s">
        <v>2</v>
      </c>
      <c r="F4501">
        <v>3731</v>
      </c>
    </row>
    <row r="4502" spans="1:6" x14ac:dyDescent="0.25">
      <c r="A4502">
        <v>8123</v>
      </c>
      <c r="B4502" s="15">
        <v>45270</v>
      </c>
      <c r="E4502" s="157"/>
      <c r="F4502">
        <v>3732</v>
      </c>
    </row>
    <row r="4503" spans="1:6" x14ac:dyDescent="0.25">
      <c r="A4503">
        <v>8123</v>
      </c>
      <c r="B4503" s="15">
        <v>45271</v>
      </c>
      <c r="E4503" s="119"/>
      <c r="F4503">
        <v>3733</v>
      </c>
    </row>
    <row r="4504" spans="1:6" x14ac:dyDescent="0.25">
      <c r="A4504">
        <v>8123</v>
      </c>
      <c r="B4504" s="15">
        <v>45272</v>
      </c>
      <c r="E4504" s="160" t="s">
        <v>263</v>
      </c>
      <c r="F4504">
        <v>3734</v>
      </c>
    </row>
    <row r="4505" spans="1:6" x14ac:dyDescent="0.25">
      <c r="A4505">
        <v>8123</v>
      </c>
      <c r="B4505" s="15">
        <v>45273</v>
      </c>
      <c r="E4505" s="201" t="s">
        <v>263</v>
      </c>
      <c r="F4505">
        <v>3735</v>
      </c>
    </row>
    <row r="4506" spans="1:6" x14ac:dyDescent="0.25">
      <c r="A4506">
        <v>8123</v>
      </c>
      <c r="B4506" s="15">
        <v>45274</v>
      </c>
      <c r="E4506" s="159" t="s">
        <v>268</v>
      </c>
      <c r="F4506">
        <v>3736</v>
      </c>
    </row>
    <row r="4507" spans="1:6" x14ac:dyDescent="0.25">
      <c r="A4507">
        <v>8123</v>
      </c>
      <c r="B4507" s="15">
        <v>45275</v>
      </c>
      <c r="E4507" s="197" t="s">
        <v>263</v>
      </c>
      <c r="F4507">
        <v>3737</v>
      </c>
    </row>
    <row r="4508" spans="1:6" x14ac:dyDescent="0.25">
      <c r="A4508">
        <v>8123</v>
      </c>
      <c r="B4508" s="15">
        <v>45276</v>
      </c>
      <c r="E4508" s="157"/>
      <c r="F4508">
        <v>3738</v>
      </c>
    </row>
    <row r="4509" spans="1:6" x14ac:dyDescent="0.25">
      <c r="A4509">
        <v>8123</v>
      </c>
      <c r="B4509" s="15">
        <v>45277</v>
      </c>
      <c r="E4509" s="157"/>
      <c r="F4509">
        <v>3739</v>
      </c>
    </row>
    <row r="4510" spans="1:6" x14ac:dyDescent="0.25">
      <c r="A4510">
        <v>8123</v>
      </c>
      <c r="B4510" s="15">
        <v>45278</v>
      </c>
      <c r="E4510" s="160" t="s">
        <v>263</v>
      </c>
      <c r="F4510">
        <v>3740</v>
      </c>
    </row>
    <row r="4511" spans="1:6" x14ac:dyDescent="0.25">
      <c r="A4511">
        <v>8123</v>
      </c>
      <c r="B4511" s="15">
        <v>45279</v>
      </c>
      <c r="E4511" s="159" t="s">
        <v>268</v>
      </c>
      <c r="F4511">
        <v>3741</v>
      </c>
    </row>
    <row r="4512" spans="1:6" x14ac:dyDescent="0.25">
      <c r="A4512">
        <v>8123</v>
      </c>
      <c r="B4512" s="15">
        <v>45280</v>
      </c>
      <c r="E4512" s="158"/>
      <c r="F4512">
        <v>3742</v>
      </c>
    </row>
    <row r="4513" spans="1:6" x14ac:dyDescent="0.25">
      <c r="A4513">
        <v>8123</v>
      </c>
      <c r="B4513" s="15">
        <v>45281</v>
      </c>
      <c r="E4513" s="197" t="s">
        <v>263</v>
      </c>
      <c r="F4513">
        <v>3743</v>
      </c>
    </row>
    <row r="4514" spans="1:6" x14ac:dyDescent="0.25">
      <c r="A4514">
        <v>8123</v>
      </c>
      <c r="B4514" s="15">
        <v>45282</v>
      </c>
      <c r="E4514" s="197" t="s">
        <v>175</v>
      </c>
      <c r="F4514">
        <v>3744</v>
      </c>
    </row>
    <row r="4515" spans="1:6" x14ac:dyDescent="0.25">
      <c r="A4515">
        <v>8123</v>
      </c>
      <c r="B4515" s="15">
        <v>45283</v>
      </c>
      <c r="E4515" s="160" t="s">
        <v>175</v>
      </c>
      <c r="F4515">
        <v>3745</v>
      </c>
    </row>
    <row r="4516" spans="1:6" x14ac:dyDescent="0.25">
      <c r="A4516">
        <v>8123</v>
      </c>
      <c r="B4516" s="15">
        <v>45284</v>
      </c>
      <c r="E4516" s="157"/>
      <c r="F4516">
        <v>3746</v>
      </c>
    </row>
    <row r="4517" spans="1:6" x14ac:dyDescent="0.25">
      <c r="A4517">
        <v>8123</v>
      </c>
      <c r="B4517" s="15">
        <v>45285</v>
      </c>
      <c r="E4517" s="119"/>
      <c r="F4517">
        <v>3747</v>
      </c>
    </row>
    <row r="4518" spans="1:6" x14ac:dyDescent="0.25">
      <c r="A4518">
        <v>8123</v>
      </c>
      <c r="B4518" s="15">
        <v>45286</v>
      </c>
      <c r="E4518" s="202" t="s">
        <v>163</v>
      </c>
      <c r="F4518">
        <v>3748</v>
      </c>
    </row>
    <row r="4519" spans="1:6" x14ac:dyDescent="0.25">
      <c r="A4519">
        <v>8123</v>
      </c>
      <c r="B4519" s="15">
        <v>45287</v>
      </c>
      <c r="E4519" s="160" t="s">
        <v>263</v>
      </c>
      <c r="F4519">
        <v>3749</v>
      </c>
    </row>
    <row r="4520" spans="1:6" x14ac:dyDescent="0.25">
      <c r="A4520">
        <v>8123</v>
      </c>
      <c r="B4520" s="15">
        <v>45288</v>
      </c>
      <c r="E4520" s="159" t="s">
        <v>268</v>
      </c>
      <c r="F4520">
        <v>3750</v>
      </c>
    </row>
    <row r="4521" spans="1:6" x14ac:dyDescent="0.25">
      <c r="A4521">
        <v>8123</v>
      </c>
      <c r="B4521" s="15">
        <v>45289</v>
      </c>
      <c r="E4521" s="197" t="s">
        <v>175</v>
      </c>
      <c r="F4521">
        <v>3751</v>
      </c>
    </row>
    <row r="4522" spans="1:6" x14ac:dyDescent="0.25">
      <c r="A4522">
        <v>8123</v>
      </c>
      <c r="B4522" s="15">
        <v>45290</v>
      </c>
      <c r="E4522" s="157"/>
      <c r="F4522">
        <v>3752</v>
      </c>
    </row>
    <row r="4523" spans="1:6" x14ac:dyDescent="0.25">
      <c r="A4523">
        <v>8123</v>
      </c>
      <c r="B4523" s="15">
        <v>45291</v>
      </c>
      <c r="E4523" s="157"/>
      <c r="F4523">
        <v>3753</v>
      </c>
    </row>
    <row r="4524" spans="1:6" x14ac:dyDescent="0.25">
      <c r="A4524">
        <v>8123</v>
      </c>
      <c r="B4524" s="15">
        <v>45292</v>
      </c>
      <c r="E4524" s="119"/>
      <c r="F4524">
        <v>4489</v>
      </c>
    </row>
    <row r="4525" spans="1:6" x14ac:dyDescent="0.25">
      <c r="A4525">
        <v>8123</v>
      </c>
      <c r="B4525" s="15">
        <v>45293</v>
      </c>
      <c r="E4525" s="120" t="s">
        <v>2</v>
      </c>
      <c r="F4525">
        <v>4490</v>
      </c>
    </row>
    <row r="4526" spans="1:6" x14ac:dyDescent="0.25">
      <c r="A4526">
        <v>8123</v>
      </c>
      <c r="B4526" s="15">
        <v>45294</v>
      </c>
      <c r="E4526" s="158"/>
      <c r="F4526">
        <v>4491</v>
      </c>
    </row>
    <row r="4527" spans="1:6" x14ac:dyDescent="0.25">
      <c r="A4527">
        <v>8123</v>
      </c>
      <c r="B4527" s="15">
        <v>45295</v>
      </c>
      <c r="E4527" s="117" t="s">
        <v>2</v>
      </c>
      <c r="F4527">
        <v>4492</v>
      </c>
    </row>
    <row r="4528" spans="1:6" x14ac:dyDescent="0.25">
      <c r="A4528">
        <v>8123</v>
      </c>
      <c r="B4528" s="15">
        <v>45296</v>
      </c>
      <c r="E4528" s="120" t="s">
        <v>2</v>
      </c>
      <c r="F4528">
        <v>4493</v>
      </c>
    </row>
    <row r="4529" spans="1:6" x14ac:dyDescent="0.25">
      <c r="A4529">
        <v>8123</v>
      </c>
      <c r="B4529" s="15">
        <v>45297</v>
      </c>
      <c r="E4529" s="121" t="s">
        <v>2</v>
      </c>
      <c r="F4529">
        <v>4494</v>
      </c>
    </row>
    <row r="4530" spans="1:6" x14ac:dyDescent="0.25">
      <c r="A4530">
        <v>8123</v>
      </c>
      <c r="B4530" s="15">
        <v>45298</v>
      </c>
      <c r="E4530" s="157"/>
      <c r="F4530">
        <v>4495</v>
      </c>
    </row>
    <row r="4531" spans="1:6" x14ac:dyDescent="0.25">
      <c r="A4531">
        <v>8123</v>
      </c>
      <c r="B4531" s="15">
        <v>45299</v>
      </c>
      <c r="E4531" s="119"/>
      <c r="F4531">
        <v>4496</v>
      </c>
    </row>
    <row r="4532" spans="1:6" x14ac:dyDescent="0.25">
      <c r="A4532">
        <v>8123</v>
      </c>
      <c r="B4532" s="15">
        <v>45300</v>
      </c>
      <c r="E4532" s="197" t="s">
        <v>263</v>
      </c>
      <c r="F4532">
        <v>4497</v>
      </c>
    </row>
    <row r="4533" spans="1:6" x14ac:dyDescent="0.25">
      <c r="A4533">
        <v>8123</v>
      </c>
      <c r="B4533" s="15">
        <v>45301</v>
      </c>
      <c r="E4533" s="160" t="s">
        <v>263</v>
      </c>
      <c r="F4533">
        <v>4498</v>
      </c>
    </row>
    <row r="4534" spans="1:6" x14ac:dyDescent="0.25">
      <c r="A4534">
        <v>8123</v>
      </c>
      <c r="B4534" s="15">
        <v>45302</v>
      </c>
      <c r="E4534" s="159" t="s">
        <v>268</v>
      </c>
      <c r="F4534">
        <v>4499</v>
      </c>
    </row>
    <row r="4535" spans="1:6" x14ac:dyDescent="0.25">
      <c r="A4535">
        <v>8123</v>
      </c>
      <c r="B4535" s="15">
        <v>45303</v>
      </c>
      <c r="E4535" s="197" t="s">
        <v>263</v>
      </c>
      <c r="F4535">
        <v>4500</v>
      </c>
    </row>
    <row r="4536" spans="1:6" x14ac:dyDescent="0.25">
      <c r="A4536">
        <v>8123</v>
      </c>
      <c r="B4536" s="15">
        <v>45304</v>
      </c>
      <c r="E4536" s="157"/>
      <c r="F4536">
        <v>4501</v>
      </c>
    </row>
    <row r="4537" spans="1:6" x14ac:dyDescent="0.25">
      <c r="A4537">
        <v>8123</v>
      </c>
      <c r="B4537" s="15">
        <v>45305</v>
      </c>
      <c r="E4537" s="157"/>
      <c r="F4537">
        <v>4502</v>
      </c>
    </row>
    <row r="4538" spans="1:6" x14ac:dyDescent="0.25">
      <c r="A4538">
        <v>8123</v>
      </c>
      <c r="B4538" s="15">
        <v>45306</v>
      </c>
      <c r="E4538" s="160" t="s">
        <v>263</v>
      </c>
      <c r="F4538">
        <v>4503</v>
      </c>
    </row>
    <row r="4539" spans="1:6" x14ac:dyDescent="0.25">
      <c r="A4539">
        <v>8123</v>
      </c>
      <c r="B4539" s="15">
        <v>45307</v>
      </c>
      <c r="E4539" s="197" t="s">
        <v>268</v>
      </c>
      <c r="F4539">
        <v>4504</v>
      </c>
    </row>
    <row r="4540" spans="1:6" x14ac:dyDescent="0.25">
      <c r="A4540">
        <v>8123</v>
      </c>
      <c r="B4540" s="15">
        <v>45308</v>
      </c>
      <c r="E4540" s="158"/>
      <c r="F4540">
        <v>4505</v>
      </c>
    </row>
    <row r="4541" spans="1:6" x14ac:dyDescent="0.25">
      <c r="A4541">
        <v>8123</v>
      </c>
      <c r="B4541" s="15">
        <v>45309</v>
      </c>
      <c r="E4541" s="159" t="s">
        <v>263</v>
      </c>
      <c r="F4541">
        <v>4506</v>
      </c>
    </row>
    <row r="4542" spans="1:6" x14ac:dyDescent="0.25">
      <c r="A4542">
        <v>8123</v>
      </c>
      <c r="B4542" s="15">
        <v>45310</v>
      </c>
      <c r="E4542" s="197" t="s">
        <v>268</v>
      </c>
      <c r="F4542">
        <v>4507</v>
      </c>
    </row>
    <row r="4543" spans="1:6" x14ac:dyDescent="0.25">
      <c r="A4543">
        <v>8123</v>
      </c>
      <c r="B4543" s="15">
        <v>45311</v>
      </c>
      <c r="E4543" s="160" t="s">
        <v>175</v>
      </c>
      <c r="F4543">
        <v>4508</v>
      </c>
    </row>
    <row r="4544" spans="1:6" x14ac:dyDescent="0.25">
      <c r="A4544">
        <v>8123</v>
      </c>
      <c r="B4544" s="15">
        <v>45312</v>
      </c>
      <c r="E4544" s="157"/>
      <c r="F4544">
        <v>4509</v>
      </c>
    </row>
    <row r="4545" spans="1:6" x14ac:dyDescent="0.25">
      <c r="A4545">
        <v>8123</v>
      </c>
      <c r="B4545" s="15">
        <v>45313</v>
      </c>
      <c r="E4545" s="119"/>
      <c r="F4545">
        <v>4510</v>
      </c>
    </row>
    <row r="4546" spans="1:6" x14ac:dyDescent="0.25">
      <c r="A4546">
        <v>8123</v>
      </c>
      <c r="B4546" s="15">
        <v>45314</v>
      </c>
      <c r="E4546" s="197" t="s">
        <v>263</v>
      </c>
      <c r="F4546">
        <v>4511</v>
      </c>
    </row>
    <row r="4547" spans="1:6" x14ac:dyDescent="0.25">
      <c r="A4547">
        <v>8123</v>
      </c>
      <c r="B4547" s="15">
        <v>45315</v>
      </c>
      <c r="E4547" s="160" t="s">
        <v>263</v>
      </c>
      <c r="F4547">
        <v>4512</v>
      </c>
    </row>
    <row r="4548" spans="1:6" x14ac:dyDescent="0.25">
      <c r="A4548">
        <v>8123</v>
      </c>
      <c r="B4548" s="15">
        <v>45316</v>
      </c>
      <c r="E4548" s="159" t="s">
        <v>268</v>
      </c>
      <c r="F4548">
        <v>4513</v>
      </c>
    </row>
    <row r="4549" spans="1:6" x14ac:dyDescent="0.25">
      <c r="A4549">
        <v>8123</v>
      </c>
      <c r="B4549" s="15">
        <v>45317</v>
      </c>
      <c r="E4549" s="197" t="s">
        <v>263</v>
      </c>
      <c r="F4549">
        <v>4514</v>
      </c>
    </row>
    <row r="4550" spans="1:6" x14ac:dyDescent="0.25">
      <c r="A4550">
        <v>8123</v>
      </c>
      <c r="B4550" s="15">
        <v>45318</v>
      </c>
      <c r="E4550" s="157"/>
      <c r="F4550">
        <v>4515</v>
      </c>
    </row>
    <row r="4551" spans="1:6" x14ac:dyDescent="0.25">
      <c r="A4551">
        <v>8123</v>
      </c>
      <c r="B4551" s="15">
        <v>45319</v>
      </c>
      <c r="E4551" s="157"/>
      <c r="F4551">
        <v>4516</v>
      </c>
    </row>
    <row r="4552" spans="1:6" x14ac:dyDescent="0.25">
      <c r="A4552">
        <v>8123</v>
      </c>
      <c r="B4552" s="15">
        <v>45320</v>
      </c>
      <c r="E4552" s="160" t="s">
        <v>263</v>
      </c>
      <c r="F4552">
        <v>4517</v>
      </c>
    </row>
    <row r="4553" spans="1:6" x14ac:dyDescent="0.25">
      <c r="A4553">
        <v>8123</v>
      </c>
      <c r="B4553" s="15">
        <v>45321</v>
      </c>
      <c r="E4553" s="197" t="s">
        <v>268</v>
      </c>
      <c r="F4553">
        <v>4518</v>
      </c>
    </row>
    <row r="4554" spans="1:6" x14ac:dyDescent="0.25">
      <c r="A4554">
        <v>8123</v>
      </c>
      <c r="B4554" s="15">
        <v>45322</v>
      </c>
      <c r="E4554" s="158"/>
      <c r="F4554">
        <v>4519</v>
      </c>
    </row>
    <row r="4555" spans="1:6" x14ac:dyDescent="0.25">
      <c r="A4555">
        <v>8123</v>
      </c>
      <c r="B4555" s="15">
        <v>45323</v>
      </c>
      <c r="E4555" s="159" t="s">
        <v>263</v>
      </c>
      <c r="F4555">
        <v>4520</v>
      </c>
    </row>
    <row r="4556" spans="1:6" x14ac:dyDescent="0.25">
      <c r="A4556">
        <v>8123</v>
      </c>
      <c r="B4556" s="15">
        <v>45324</v>
      </c>
      <c r="E4556" s="197" t="s">
        <v>268</v>
      </c>
      <c r="F4556">
        <v>4521</v>
      </c>
    </row>
    <row r="4557" spans="1:6" x14ac:dyDescent="0.25">
      <c r="A4557">
        <v>8123</v>
      </c>
      <c r="B4557" s="15">
        <v>45325</v>
      </c>
      <c r="E4557" s="160" t="s">
        <v>175</v>
      </c>
      <c r="F4557">
        <v>4522</v>
      </c>
    </row>
    <row r="4558" spans="1:6" x14ac:dyDescent="0.25">
      <c r="A4558">
        <v>8123</v>
      </c>
      <c r="B4558" s="15">
        <v>45326</v>
      </c>
      <c r="E4558" s="157"/>
      <c r="F4558">
        <v>4523</v>
      </c>
    </row>
    <row r="4559" spans="1:6" x14ac:dyDescent="0.25">
      <c r="A4559">
        <v>8123</v>
      </c>
      <c r="B4559" s="15">
        <v>45327</v>
      </c>
      <c r="E4559" s="119"/>
      <c r="F4559">
        <v>5301</v>
      </c>
    </row>
    <row r="4560" spans="1:6" x14ac:dyDescent="0.25">
      <c r="A4560">
        <v>8123</v>
      </c>
      <c r="B4560" s="15">
        <v>45328</v>
      </c>
      <c r="E4560" s="197" t="s">
        <v>263</v>
      </c>
      <c r="F4560">
        <v>5302</v>
      </c>
    </row>
    <row r="4561" spans="1:6" x14ac:dyDescent="0.25">
      <c r="A4561">
        <v>8123</v>
      </c>
      <c r="B4561" s="15">
        <v>45329</v>
      </c>
      <c r="E4561" s="160" t="s">
        <v>263</v>
      </c>
      <c r="F4561">
        <v>5303</v>
      </c>
    </row>
    <row r="4562" spans="1:6" x14ac:dyDescent="0.25">
      <c r="A4562">
        <v>8123</v>
      </c>
      <c r="B4562" s="15">
        <v>45330</v>
      </c>
      <c r="E4562" s="159" t="s">
        <v>268</v>
      </c>
      <c r="F4562">
        <v>5304</v>
      </c>
    </row>
    <row r="4563" spans="1:6" x14ac:dyDescent="0.25">
      <c r="A4563">
        <v>8123</v>
      </c>
      <c r="B4563" s="15">
        <v>45331</v>
      </c>
      <c r="E4563" s="197" t="s">
        <v>263</v>
      </c>
      <c r="F4563">
        <v>5305</v>
      </c>
    </row>
    <row r="4564" spans="1:6" x14ac:dyDescent="0.25">
      <c r="A4564">
        <v>8123</v>
      </c>
      <c r="B4564" s="15">
        <v>45332</v>
      </c>
      <c r="E4564" s="157"/>
      <c r="F4564">
        <v>5306</v>
      </c>
    </row>
    <row r="4565" spans="1:6" x14ac:dyDescent="0.25">
      <c r="A4565">
        <v>8123</v>
      </c>
      <c r="B4565" s="15">
        <v>45333</v>
      </c>
      <c r="E4565" s="157"/>
      <c r="F4565">
        <v>5307</v>
      </c>
    </row>
    <row r="4566" spans="1:6" x14ac:dyDescent="0.25">
      <c r="A4566">
        <v>8123</v>
      </c>
      <c r="B4566" s="15">
        <v>45334</v>
      </c>
      <c r="E4566" s="160" t="s">
        <v>263</v>
      </c>
      <c r="F4566">
        <v>5308</v>
      </c>
    </row>
    <row r="4567" spans="1:6" x14ac:dyDescent="0.25">
      <c r="A4567">
        <v>8123</v>
      </c>
      <c r="B4567" s="15">
        <v>45335</v>
      </c>
      <c r="E4567" s="197" t="s">
        <v>268</v>
      </c>
      <c r="F4567">
        <v>5309</v>
      </c>
    </row>
    <row r="4568" spans="1:6" x14ac:dyDescent="0.25">
      <c r="A4568">
        <v>8123</v>
      </c>
      <c r="B4568" s="15">
        <v>45336</v>
      </c>
      <c r="E4568" s="158"/>
      <c r="F4568">
        <v>5310</v>
      </c>
    </row>
    <row r="4569" spans="1:6" x14ac:dyDescent="0.25">
      <c r="A4569">
        <v>8123</v>
      </c>
      <c r="B4569" s="15">
        <v>45337</v>
      </c>
      <c r="E4569" s="159" t="s">
        <v>263</v>
      </c>
      <c r="F4569">
        <v>5311</v>
      </c>
    </row>
    <row r="4570" spans="1:6" x14ac:dyDescent="0.25">
      <c r="A4570">
        <v>8123</v>
      </c>
      <c r="B4570" s="15">
        <v>45338</v>
      </c>
      <c r="E4570" s="197" t="s">
        <v>268</v>
      </c>
      <c r="F4570">
        <v>5312</v>
      </c>
    </row>
    <row r="4571" spans="1:6" x14ac:dyDescent="0.25">
      <c r="A4571">
        <v>8123</v>
      </c>
      <c r="B4571" s="15">
        <v>45339</v>
      </c>
      <c r="E4571" s="160" t="s">
        <v>175</v>
      </c>
      <c r="F4571">
        <v>5313</v>
      </c>
    </row>
    <row r="4572" spans="1:6" x14ac:dyDescent="0.25">
      <c r="A4572">
        <v>8123</v>
      </c>
      <c r="B4572" s="15">
        <v>45340</v>
      </c>
      <c r="E4572" s="157"/>
      <c r="F4572">
        <v>5314</v>
      </c>
    </row>
    <row r="4573" spans="1:6" x14ac:dyDescent="0.25">
      <c r="A4573">
        <v>8123</v>
      </c>
      <c r="B4573" s="15">
        <v>45341</v>
      </c>
      <c r="E4573" s="119"/>
      <c r="F4573">
        <v>5315</v>
      </c>
    </row>
    <row r="4574" spans="1:6" x14ac:dyDescent="0.25">
      <c r="A4574">
        <v>8123</v>
      </c>
      <c r="B4574" s="15">
        <v>45342</v>
      </c>
      <c r="E4574" s="197" t="s">
        <v>263</v>
      </c>
      <c r="F4574">
        <v>5316</v>
      </c>
    </row>
    <row r="4575" spans="1:6" x14ac:dyDescent="0.25">
      <c r="A4575">
        <v>8123</v>
      </c>
      <c r="B4575" s="15">
        <v>45343</v>
      </c>
      <c r="E4575" s="160" t="s">
        <v>263</v>
      </c>
      <c r="F4575">
        <v>5317</v>
      </c>
    </row>
    <row r="4576" spans="1:6" x14ac:dyDescent="0.25">
      <c r="A4576">
        <v>8123</v>
      </c>
      <c r="B4576" s="15">
        <v>45344</v>
      </c>
      <c r="E4576" s="159" t="s">
        <v>268</v>
      </c>
      <c r="F4576">
        <v>5318</v>
      </c>
    </row>
    <row r="4577" spans="1:6" x14ac:dyDescent="0.25">
      <c r="A4577">
        <v>8123</v>
      </c>
      <c r="B4577" s="15">
        <v>45345</v>
      </c>
      <c r="E4577" s="197" t="s">
        <v>263</v>
      </c>
      <c r="F4577">
        <v>5319</v>
      </c>
    </row>
    <row r="4578" spans="1:6" x14ac:dyDescent="0.25">
      <c r="A4578">
        <v>8123</v>
      </c>
      <c r="B4578" s="15">
        <v>45346</v>
      </c>
      <c r="E4578" s="157"/>
      <c r="F4578">
        <v>5320</v>
      </c>
    </row>
    <row r="4579" spans="1:6" x14ac:dyDescent="0.25">
      <c r="A4579">
        <v>8123</v>
      </c>
      <c r="B4579" s="15">
        <v>45347</v>
      </c>
      <c r="E4579" s="157"/>
      <c r="F4579">
        <v>5321</v>
      </c>
    </row>
    <row r="4580" spans="1:6" x14ac:dyDescent="0.25">
      <c r="A4580">
        <v>8123</v>
      </c>
      <c r="B4580" s="15">
        <v>45348</v>
      </c>
      <c r="E4580" s="117" t="s">
        <v>2</v>
      </c>
      <c r="F4580">
        <v>5322</v>
      </c>
    </row>
    <row r="4581" spans="1:6" x14ac:dyDescent="0.25">
      <c r="A4581">
        <v>8123</v>
      </c>
      <c r="B4581" s="15">
        <v>45349</v>
      </c>
      <c r="E4581" s="120" t="s">
        <v>2</v>
      </c>
      <c r="F4581">
        <v>5323</v>
      </c>
    </row>
    <row r="4582" spans="1:6" x14ac:dyDescent="0.25">
      <c r="A4582">
        <v>8123</v>
      </c>
      <c r="B4582" s="15">
        <v>45350</v>
      </c>
      <c r="E4582" s="158"/>
      <c r="F4582">
        <v>5324</v>
      </c>
    </row>
    <row r="4583" spans="1:6" x14ac:dyDescent="0.25">
      <c r="A4583">
        <v>8123</v>
      </c>
      <c r="B4583" s="15">
        <v>45351</v>
      </c>
      <c r="E4583" s="117" t="s">
        <v>2</v>
      </c>
      <c r="F4583">
        <v>5325</v>
      </c>
    </row>
    <row r="4584" spans="1:6" x14ac:dyDescent="0.25">
      <c r="A4584">
        <v>8123</v>
      </c>
      <c r="B4584" s="15">
        <v>45352</v>
      </c>
      <c r="E4584" s="120" t="s">
        <v>2</v>
      </c>
      <c r="F4584">
        <v>5326</v>
      </c>
    </row>
    <row r="4585" spans="1:6" x14ac:dyDescent="0.25">
      <c r="A4585">
        <v>8123</v>
      </c>
      <c r="B4585" s="15">
        <v>45353</v>
      </c>
      <c r="E4585" s="121" t="s">
        <v>2</v>
      </c>
      <c r="F4585">
        <v>5327</v>
      </c>
    </row>
    <row r="4586" spans="1:6" x14ac:dyDescent="0.25">
      <c r="A4586">
        <v>8123</v>
      </c>
      <c r="B4586" s="15">
        <v>45354</v>
      </c>
      <c r="E4586" s="157"/>
      <c r="F4586">
        <v>5328</v>
      </c>
    </row>
    <row r="4587" spans="1:6" x14ac:dyDescent="0.25">
      <c r="A4587">
        <v>8123</v>
      </c>
      <c r="B4587" s="15">
        <v>45355</v>
      </c>
      <c r="E4587" s="119"/>
      <c r="F4587">
        <v>6001</v>
      </c>
    </row>
    <row r="4588" spans="1:6" x14ac:dyDescent="0.25">
      <c r="A4588">
        <v>8123</v>
      </c>
      <c r="B4588" s="15">
        <v>45356</v>
      </c>
      <c r="E4588" s="197" t="s">
        <v>263</v>
      </c>
      <c r="F4588">
        <v>6002</v>
      </c>
    </row>
    <row r="4589" spans="1:6" x14ac:dyDescent="0.25">
      <c r="A4589">
        <v>8123</v>
      </c>
      <c r="B4589" s="15">
        <v>45357</v>
      </c>
      <c r="E4589" s="160" t="s">
        <v>263</v>
      </c>
      <c r="F4589">
        <v>6003</v>
      </c>
    </row>
    <row r="4590" spans="1:6" x14ac:dyDescent="0.25">
      <c r="A4590">
        <v>8123</v>
      </c>
      <c r="B4590" s="15">
        <v>45358</v>
      </c>
      <c r="E4590" s="159" t="s">
        <v>268</v>
      </c>
      <c r="F4590">
        <v>6004</v>
      </c>
    </row>
    <row r="4591" spans="1:6" x14ac:dyDescent="0.25">
      <c r="A4591">
        <v>8123</v>
      </c>
      <c r="B4591" s="15">
        <v>45359</v>
      </c>
      <c r="E4591" s="197" t="s">
        <v>263</v>
      </c>
      <c r="F4591">
        <v>6005</v>
      </c>
    </row>
    <row r="4592" spans="1:6" x14ac:dyDescent="0.25">
      <c r="A4592">
        <v>8123</v>
      </c>
      <c r="B4592" s="15">
        <v>45360</v>
      </c>
      <c r="E4592" s="157"/>
      <c r="F4592">
        <v>6006</v>
      </c>
    </row>
    <row r="4593" spans="1:6" x14ac:dyDescent="0.25">
      <c r="A4593">
        <v>8123</v>
      </c>
      <c r="B4593" s="15">
        <v>45361</v>
      </c>
      <c r="E4593" s="157"/>
      <c r="F4593">
        <v>6007</v>
      </c>
    </row>
    <row r="4594" spans="1:6" x14ac:dyDescent="0.25">
      <c r="A4594">
        <v>8123</v>
      </c>
      <c r="B4594" s="15">
        <v>45362</v>
      </c>
      <c r="E4594" s="160" t="s">
        <v>263</v>
      </c>
      <c r="F4594">
        <v>6008</v>
      </c>
    </row>
    <row r="4595" spans="1:6" x14ac:dyDescent="0.25">
      <c r="A4595">
        <v>8123</v>
      </c>
      <c r="B4595" s="15">
        <v>45363</v>
      </c>
      <c r="E4595" s="197" t="s">
        <v>268</v>
      </c>
      <c r="F4595">
        <v>6009</v>
      </c>
    </row>
    <row r="4596" spans="1:6" x14ac:dyDescent="0.25">
      <c r="A4596">
        <v>8123</v>
      </c>
      <c r="B4596" s="15">
        <v>45364</v>
      </c>
      <c r="E4596" s="158"/>
      <c r="F4596">
        <v>6010</v>
      </c>
    </row>
    <row r="4597" spans="1:6" x14ac:dyDescent="0.25">
      <c r="A4597">
        <v>8123</v>
      </c>
      <c r="B4597" s="15">
        <v>45365</v>
      </c>
      <c r="E4597" s="159" t="s">
        <v>263</v>
      </c>
      <c r="F4597">
        <v>6011</v>
      </c>
    </row>
    <row r="4598" spans="1:6" x14ac:dyDescent="0.25">
      <c r="A4598">
        <v>8123</v>
      </c>
      <c r="B4598" s="15">
        <v>45366</v>
      </c>
      <c r="E4598" s="197" t="s">
        <v>268</v>
      </c>
      <c r="F4598">
        <v>6012</v>
      </c>
    </row>
    <row r="4599" spans="1:6" x14ac:dyDescent="0.25">
      <c r="A4599">
        <v>8123</v>
      </c>
      <c r="B4599" s="15">
        <v>45367</v>
      </c>
      <c r="E4599" s="160" t="s">
        <v>175</v>
      </c>
      <c r="F4599">
        <v>6013</v>
      </c>
    </row>
    <row r="4600" spans="1:6" x14ac:dyDescent="0.25">
      <c r="A4600">
        <v>8123</v>
      </c>
      <c r="B4600" s="15">
        <v>45368</v>
      </c>
      <c r="E4600" s="157"/>
      <c r="F4600">
        <v>6014</v>
      </c>
    </row>
    <row r="4601" spans="1:6" x14ac:dyDescent="0.25">
      <c r="A4601">
        <v>8123</v>
      </c>
      <c r="B4601" s="15">
        <v>45369</v>
      </c>
      <c r="E4601" s="119"/>
      <c r="F4601">
        <v>6015</v>
      </c>
    </row>
    <row r="4602" spans="1:6" x14ac:dyDescent="0.25">
      <c r="A4602">
        <v>8123</v>
      </c>
      <c r="B4602" s="15">
        <v>45370</v>
      </c>
      <c r="E4602" s="125" t="s">
        <v>2</v>
      </c>
      <c r="F4602">
        <v>6016</v>
      </c>
    </row>
    <row r="4603" spans="1:6" x14ac:dyDescent="0.25">
      <c r="A4603">
        <v>8123</v>
      </c>
      <c r="B4603" s="15">
        <v>45371</v>
      </c>
      <c r="E4603" s="160" t="s">
        <v>263</v>
      </c>
      <c r="F4603">
        <v>6017</v>
      </c>
    </row>
    <row r="4604" spans="1:6" x14ac:dyDescent="0.25">
      <c r="A4604">
        <v>8123</v>
      </c>
      <c r="B4604" s="15">
        <v>45372</v>
      </c>
      <c r="E4604" s="159" t="s">
        <v>268</v>
      </c>
      <c r="F4604">
        <v>6018</v>
      </c>
    </row>
    <row r="4605" spans="1:6" x14ac:dyDescent="0.25">
      <c r="A4605">
        <v>8123</v>
      </c>
      <c r="B4605" s="15">
        <v>45373</v>
      </c>
      <c r="E4605" s="197" t="s">
        <v>263</v>
      </c>
      <c r="F4605">
        <v>6019</v>
      </c>
    </row>
    <row r="4606" spans="1:6" x14ac:dyDescent="0.25">
      <c r="A4606">
        <v>8123</v>
      </c>
      <c r="B4606" s="15">
        <v>45374</v>
      </c>
      <c r="E4606" s="157"/>
      <c r="F4606">
        <v>6020</v>
      </c>
    </row>
    <row r="4607" spans="1:6" x14ac:dyDescent="0.25">
      <c r="A4607">
        <v>8123</v>
      </c>
      <c r="B4607" s="15">
        <v>45375</v>
      </c>
      <c r="E4607" s="157"/>
      <c r="F4607">
        <v>6021</v>
      </c>
    </row>
    <row r="4608" spans="1:6" x14ac:dyDescent="0.25">
      <c r="A4608">
        <v>8123</v>
      </c>
      <c r="B4608" s="15">
        <v>45376</v>
      </c>
      <c r="E4608" s="160" t="s">
        <v>263</v>
      </c>
      <c r="F4608">
        <v>6022</v>
      </c>
    </row>
    <row r="4609" spans="1:6" x14ac:dyDescent="0.25">
      <c r="A4609">
        <v>8123</v>
      </c>
      <c r="B4609" s="15">
        <v>45377</v>
      </c>
      <c r="E4609" s="197" t="s">
        <v>268</v>
      </c>
      <c r="F4609">
        <v>6023</v>
      </c>
    </row>
    <row r="4610" spans="1:6" x14ac:dyDescent="0.25">
      <c r="A4610">
        <v>8123</v>
      </c>
      <c r="B4610" s="15">
        <v>45378</v>
      </c>
      <c r="E4610" s="158"/>
      <c r="F4610">
        <v>6024</v>
      </c>
    </row>
    <row r="4611" spans="1:6" x14ac:dyDescent="0.25">
      <c r="A4611">
        <v>8123</v>
      </c>
      <c r="B4611" s="15">
        <v>45379</v>
      </c>
      <c r="E4611" s="159" t="s">
        <v>263</v>
      </c>
      <c r="F4611">
        <v>6025</v>
      </c>
    </row>
    <row r="4612" spans="1:6" x14ac:dyDescent="0.25">
      <c r="A4612">
        <v>8123</v>
      </c>
      <c r="B4612" s="15">
        <v>45380</v>
      </c>
      <c r="E4612" s="197" t="s">
        <v>268</v>
      </c>
      <c r="F4612">
        <v>6026</v>
      </c>
    </row>
    <row r="4613" spans="1:6" x14ac:dyDescent="0.25">
      <c r="A4613">
        <v>8123</v>
      </c>
      <c r="B4613" s="15">
        <v>45381</v>
      </c>
      <c r="E4613" s="160" t="s">
        <v>175</v>
      </c>
      <c r="F4613">
        <v>6027</v>
      </c>
    </row>
    <row r="4614" spans="1:6" x14ac:dyDescent="0.25">
      <c r="A4614">
        <v>8123</v>
      </c>
      <c r="B4614" s="15">
        <v>45382</v>
      </c>
      <c r="E4614" s="157"/>
      <c r="F4614">
        <v>6028</v>
      </c>
    </row>
    <row r="4615" spans="1:6" x14ac:dyDescent="0.25">
      <c r="A4615">
        <v>8123</v>
      </c>
      <c r="B4615" s="15">
        <v>45383</v>
      </c>
      <c r="E4615" s="119"/>
      <c r="F4615">
        <v>6764</v>
      </c>
    </row>
    <row r="4616" spans="1:6" x14ac:dyDescent="0.25">
      <c r="A4616">
        <v>8123</v>
      </c>
      <c r="B4616" s="15">
        <v>45384</v>
      </c>
      <c r="E4616" s="202" t="s">
        <v>163</v>
      </c>
      <c r="F4616">
        <v>6765</v>
      </c>
    </row>
    <row r="4617" spans="1:6" x14ac:dyDescent="0.25">
      <c r="A4617">
        <v>8123</v>
      </c>
      <c r="B4617" s="15">
        <v>45385</v>
      </c>
      <c r="E4617" s="160" t="s">
        <v>263</v>
      </c>
      <c r="F4617">
        <v>6766</v>
      </c>
    </row>
    <row r="4618" spans="1:6" x14ac:dyDescent="0.25">
      <c r="A4618">
        <v>8123</v>
      </c>
      <c r="B4618" s="15">
        <v>45386</v>
      </c>
      <c r="E4618" s="159" t="s">
        <v>268</v>
      </c>
      <c r="F4618">
        <v>6767</v>
      </c>
    </row>
    <row r="4619" spans="1:6" x14ac:dyDescent="0.25">
      <c r="A4619">
        <v>8123</v>
      </c>
      <c r="B4619" s="15">
        <v>45387</v>
      </c>
      <c r="E4619" s="197" t="s">
        <v>263</v>
      </c>
      <c r="F4619">
        <v>6768</v>
      </c>
    </row>
    <row r="4620" spans="1:6" x14ac:dyDescent="0.25">
      <c r="A4620">
        <v>8123</v>
      </c>
      <c r="B4620" s="15">
        <v>45388</v>
      </c>
      <c r="E4620" s="157"/>
      <c r="F4620">
        <v>6769</v>
      </c>
    </row>
    <row r="4621" spans="1:6" x14ac:dyDescent="0.25">
      <c r="A4621">
        <v>8123</v>
      </c>
      <c r="B4621" s="15">
        <v>45389</v>
      </c>
      <c r="E4621" s="157"/>
      <c r="F4621">
        <v>6770</v>
      </c>
    </row>
    <row r="4622" spans="1:6" x14ac:dyDescent="0.25">
      <c r="A4622">
        <v>8123</v>
      </c>
      <c r="B4622" s="15">
        <v>45390</v>
      </c>
      <c r="E4622" s="160" t="s">
        <v>263</v>
      </c>
      <c r="F4622">
        <v>6771</v>
      </c>
    </row>
    <row r="4623" spans="1:6" x14ac:dyDescent="0.25">
      <c r="A4623">
        <v>8123</v>
      </c>
      <c r="B4623" s="15">
        <v>45391</v>
      </c>
      <c r="E4623" s="197" t="s">
        <v>268</v>
      </c>
      <c r="F4623">
        <v>6772</v>
      </c>
    </row>
    <row r="4624" spans="1:6" x14ac:dyDescent="0.25">
      <c r="A4624">
        <v>8123</v>
      </c>
      <c r="B4624" s="15">
        <v>45392</v>
      </c>
      <c r="E4624" s="158"/>
      <c r="F4624">
        <v>6773</v>
      </c>
    </row>
    <row r="4625" spans="1:6" x14ac:dyDescent="0.25">
      <c r="A4625">
        <v>8123</v>
      </c>
      <c r="B4625" s="15">
        <v>45393</v>
      </c>
      <c r="E4625" s="159" t="s">
        <v>263</v>
      </c>
      <c r="F4625">
        <v>6774</v>
      </c>
    </row>
    <row r="4626" spans="1:6" x14ac:dyDescent="0.25">
      <c r="A4626">
        <v>8123</v>
      </c>
      <c r="B4626" s="15">
        <v>45394</v>
      </c>
      <c r="E4626" s="197" t="s">
        <v>268</v>
      </c>
      <c r="F4626">
        <v>6775</v>
      </c>
    </row>
    <row r="4627" spans="1:6" x14ac:dyDescent="0.25">
      <c r="A4627">
        <v>8123</v>
      </c>
      <c r="B4627" s="15">
        <v>45395</v>
      </c>
      <c r="E4627" s="160" t="s">
        <v>175</v>
      </c>
      <c r="F4627">
        <v>6776</v>
      </c>
    </row>
    <row r="4628" spans="1:6" x14ac:dyDescent="0.25">
      <c r="A4628">
        <v>8123</v>
      </c>
      <c r="B4628" s="15">
        <v>45396</v>
      </c>
      <c r="E4628" s="157"/>
      <c r="F4628">
        <v>6777</v>
      </c>
    </row>
    <row r="4629" spans="1:6" x14ac:dyDescent="0.25">
      <c r="A4629">
        <v>8123</v>
      </c>
      <c r="B4629" s="15">
        <v>45397</v>
      </c>
      <c r="E4629" s="119"/>
      <c r="F4629">
        <v>6778</v>
      </c>
    </row>
    <row r="4630" spans="1:6" x14ac:dyDescent="0.25">
      <c r="A4630">
        <v>8123</v>
      </c>
      <c r="B4630" s="15">
        <v>45398</v>
      </c>
      <c r="E4630" s="197" t="s">
        <v>263</v>
      </c>
      <c r="F4630">
        <v>6779</v>
      </c>
    </row>
    <row r="4631" spans="1:6" x14ac:dyDescent="0.25">
      <c r="A4631">
        <v>8123</v>
      </c>
      <c r="B4631" s="15">
        <v>45399</v>
      </c>
      <c r="E4631" s="160" t="s">
        <v>263</v>
      </c>
      <c r="F4631">
        <v>6780</v>
      </c>
    </row>
    <row r="4632" spans="1:6" x14ac:dyDescent="0.25">
      <c r="A4632">
        <v>8123</v>
      </c>
      <c r="B4632" s="15">
        <v>45400</v>
      </c>
      <c r="E4632" s="159" t="s">
        <v>268</v>
      </c>
      <c r="F4632">
        <v>6781</v>
      </c>
    </row>
    <row r="4633" spans="1:6" x14ac:dyDescent="0.25">
      <c r="A4633">
        <v>8123</v>
      </c>
      <c r="B4633" s="15">
        <v>45401</v>
      </c>
      <c r="E4633" s="197" t="s">
        <v>263</v>
      </c>
      <c r="F4633">
        <v>6782</v>
      </c>
    </row>
    <row r="4634" spans="1:6" x14ac:dyDescent="0.25">
      <c r="A4634">
        <v>8123</v>
      </c>
      <c r="B4634" s="15">
        <v>45402</v>
      </c>
      <c r="E4634" s="157"/>
      <c r="F4634">
        <v>6783</v>
      </c>
    </row>
    <row r="4635" spans="1:6" x14ac:dyDescent="0.25">
      <c r="A4635">
        <v>8123</v>
      </c>
      <c r="B4635" s="15">
        <v>45403</v>
      </c>
      <c r="E4635" s="157"/>
      <c r="F4635">
        <v>6784</v>
      </c>
    </row>
    <row r="4636" spans="1:6" x14ac:dyDescent="0.25">
      <c r="A4636">
        <v>8123</v>
      </c>
      <c r="B4636" s="15">
        <v>45404</v>
      </c>
      <c r="E4636" s="125" t="s">
        <v>2</v>
      </c>
      <c r="F4636">
        <v>6785</v>
      </c>
    </row>
    <row r="4637" spans="1:6" x14ac:dyDescent="0.25">
      <c r="A4637">
        <v>8123</v>
      </c>
      <c r="B4637" s="15">
        <v>45405</v>
      </c>
      <c r="E4637" s="122" t="s">
        <v>2</v>
      </c>
      <c r="F4637">
        <v>6786</v>
      </c>
    </row>
    <row r="4638" spans="1:6" x14ac:dyDescent="0.25">
      <c r="A4638">
        <v>8123</v>
      </c>
      <c r="B4638" s="15">
        <v>45406</v>
      </c>
      <c r="E4638" s="158"/>
      <c r="F4638">
        <v>6787</v>
      </c>
    </row>
    <row r="4639" spans="1:6" x14ac:dyDescent="0.25">
      <c r="A4639">
        <v>8123</v>
      </c>
      <c r="B4639" s="15">
        <v>45407</v>
      </c>
      <c r="E4639" s="125" t="s">
        <v>2</v>
      </c>
      <c r="F4639">
        <v>6788</v>
      </c>
    </row>
    <row r="4640" spans="1:6" x14ac:dyDescent="0.25">
      <c r="A4640">
        <v>8123</v>
      </c>
      <c r="B4640" s="15">
        <v>45408</v>
      </c>
      <c r="E4640" s="122" t="s">
        <v>2</v>
      </c>
      <c r="F4640">
        <v>6789</v>
      </c>
    </row>
    <row r="4641" spans="1:6" x14ac:dyDescent="0.25">
      <c r="A4641">
        <v>8123</v>
      </c>
      <c r="B4641" s="15">
        <v>45409</v>
      </c>
      <c r="E4641" s="126" t="s">
        <v>2</v>
      </c>
      <c r="F4641">
        <v>6790</v>
      </c>
    </row>
    <row r="4642" spans="1:6" x14ac:dyDescent="0.25">
      <c r="A4642">
        <v>8123</v>
      </c>
      <c r="B4642" s="15">
        <v>45410</v>
      </c>
      <c r="E4642" s="157"/>
      <c r="F4642">
        <v>6791</v>
      </c>
    </row>
    <row r="4643" spans="1:6" x14ac:dyDescent="0.25">
      <c r="A4643">
        <v>8123</v>
      </c>
      <c r="B4643" s="15">
        <v>45411</v>
      </c>
      <c r="E4643" s="119"/>
      <c r="F4643">
        <v>6792</v>
      </c>
    </row>
    <row r="4644" spans="1:6" x14ac:dyDescent="0.25">
      <c r="A4644">
        <v>8123</v>
      </c>
      <c r="B4644" s="15">
        <v>45412</v>
      </c>
      <c r="E4644" s="159" t="s">
        <v>263</v>
      </c>
      <c r="F4644">
        <v>6793</v>
      </c>
    </row>
    <row r="4645" spans="1:6" x14ac:dyDescent="0.25">
      <c r="A4645">
        <v>8123</v>
      </c>
      <c r="B4645" s="15">
        <v>45413</v>
      </c>
      <c r="E4645" s="158"/>
      <c r="F4645">
        <v>6794</v>
      </c>
    </row>
    <row r="4646" spans="1:6" x14ac:dyDescent="0.25">
      <c r="A4646">
        <v>8123</v>
      </c>
      <c r="B4646" s="15">
        <v>45414</v>
      </c>
      <c r="E4646" s="159" t="s">
        <v>268</v>
      </c>
      <c r="F4646">
        <v>6795</v>
      </c>
    </row>
    <row r="4647" spans="1:6" x14ac:dyDescent="0.25">
      <c r="A4647">
        <v>8123</v>
      </c>
      <c r="B4647" s="15">
        <v>45415</v>
      </c>
      <c r="E4647" s="197" t="s">
        <v>263</v>
      </c>
      <c r="F4647">
        <v>6796</v>
      </c>
    </row>
    <row r="4648" spans="1:6" x14ac:dyDescent="0.25">
      <c r="A4648">
        <v>8123</v>
      </c>
      <c r="B4648" s="15">
        <v>45416</v>
      </c>
      <c r="E4648" s="157"/>
      <c r="F4648">
        <v>6797</v>
      </c>
    </row>
    <row r="4649" spans="1:6" x14ac:dyDescent="0.25">
      <c r="A4649">
        <v>8123</v>
      </c>
      <c r="B4649" s="15">
        <v>45417</v>
      </c>
      <c r="E4649" s="157"/>
      <c r="F4649">
        <v>6798</v>
      </c>
    </row>
    <row r="4650" spans="1:6" x14ac:dyDescent="0.25">
      <c r="A4650">
        <v>8124</v>
      </c>
      <c r="B4650" s="15">
        <v>45264</v>
      </c>
      <c r="E4650" s="123" t="s">
        <v>130</v>
      </c>
      <c r="F4650">
        <v>3754</v>
      </c>
    </row>
    <row r="4651" spans="1:6" x14ac:dyDescent="0.25">
      <c r="A4651">
        <v>8124</v>
      </c>
      <c r="B4651" s="15">
        <v>45265</v>
      </c>
      <c r="E4651" s="160" t="s">
        <v>266</v>
      </c>
      <c r="F4651">
        <v>3755</v>
      </c>
    </row>
    <row r="4652" spans="1:6" x14ac:dyDescent="0.25">
      <c r="A4652">
        <v>8124</v>
      </c>
      <c r="B4652" s="15">
        <v>45266</v>
      </c>
      <c r="E4652" s="160" t="s">
        <v>269</v>
      </c>
      <c r="F4652">
        <v>3756</v>
      </c>
    </row>
    <row r="4653" spans="1:6" x14ac:dyDescent="0.25">
      <c r="A4653">
        <v>8124</v>
      </c>
      <c r="B4653" s="15">
        <v>45267</v>
      </c>
      <c r="E4653" s="158"/>
      <c r="F4653">
        <v>3757</v>
      </c>
    </row>
    <row r="4654" spans="1:6" x14ac:dyDescent="0.25">
      <c r="A4654">
        <v>8124</v>
      </c>
      <c r="B4654" s="15">
        <v>45268</v>
      </c>
      <c r="E4654" s="158"/>
      <c r="F4654">
        <v>3758</v>
      </c>
    </row>
    <row r="4655" spans="1:6" x14ac:dyDescent="0.25">
      <c r="A4655">
        <v>8124</v>
      </c>
      <c r="B4655" s="15">
        <v>45269</v>
      </c>
      <c r="E4655" s="158"/>
      <c r="F4655">
        <v>3759</v>
      </c>
    </row>
    <row r="4656" spans="1:6" x14ac:dyDescent="0.25">
      <c r="A4656">
        <v>8124</v>
      </c>
      <c r="B4656" s="15">
        <v>45270</v>
      </c>
      <c r="E4656" s="157"/>
      <c r="F4656">
        <v>3760</v>
      </c>
    </row>
    <row r="4657" spans="1:6" x14ac:dyDescent="0.25">
      <c r="A4657">
        <v>8124</v>
      </c>
      <c r="B4657" s="15">
        <v>45271</v>
      </c>
      <c r="E4657" s="123" t="s">
        <v>130</v>
      </c>
      <c r="F4657">
        <v>3761</v>
      </c>
    </row>
    <row r="4658" spans="1:6" x14ac:dyDescent="0.25">
      <c r="A4658">
        <v>8124</v>
      </c>
      <c r="B4658" s="15">
        <v>45272</v>
      </c>
      <c r="E4658" s="160" t="s">
        <v>266</v>
      </c>
      <c r="F4658">
        <v>3762</v>
      </c>
    </row>
    <row r="4659" spans="1:6" x14ac:dyDescent="0.25">
      <c r="A4659">
        <v>8124</v>
      </c>
      <c r="B4659" s="15">
        <v>45273</v>
      </c>
      <c r="E4659" s="160" t="s">
        <v>269</v>
      </c>
      <c r="F4659">
        <v>3763</v>
      </c>
    </row>
    <row r="4660" spans="1:6" x14ac:dyDescent="0.25">
      <c r="A4660">
        <v>8124</v>
      </c>
      <c r="B4660" s="15">
        <v>45274</v>
      </c>
      <c r="E4660" s="158"/>
      <c r="F4660">
        <v>3764</v>
      </c>
    </row>
    <row r="4661" spans="1:6" x14ac:dyDescent="0.25">
      <c r="A4661">
        <v>8124</v>
      </c>
      <c r="B4661" s="15">
        <v>45275</v>
      </c>
      <c r="E4661" s="158"/>
      <c r="F4661">
        <v>3765</v>
      </c>
    </row>
    <row r="4662" spans="1:6" x14ac:dyDescent="0.25">
      <c r="A4662">
        <v>8124</v>
      </c>
      <c r="B4662" s="15">
        <v>45276</v>
      </c>
      <c r="E4662" s="158"/>
      <c r="F4662">
        <v>3766</v>
      </c>
    </row>
    <row r="4663" spans="1:6" x14ac:dyDescent="0.25">
      <c r="A4663">
        <v>8124</v>
      </c>
      <c r="B4663" s="15">
        <v>45277</v>
      </c>
      <c r="E4663" s="157"/>
      <c r="F4663">
        <v>3767</v>
      </c>
    </row>
    <row r="4664" spans="1:6" x14ac:dyDescent="0.25">
      <c r="A4664">
        <v>8124</v>
      </c>
      <c r="B4664" s="15">
        <v>45278</v>
      </c>
      <c r="E4664" s="123" t="s">
        <v>130</v>
      </c>
      <c r="F4664">
        <v>3768</v>
      </c>
    </row>
    <row r="4665" spans="1:6" x14ac:dyDescent="0.25">
      <c r="A4665">
        <v>8124</v>
      </c>
      <c r="B4665" s="15">
        <v>45279</v>
      </c>
      <c r="E4665" s="160" t="s">
        <v>266</v>
      </c>
      <c r="F4665">
        <v>3769</v>
      </c>
    </row>
    <row r="4666" spans="1:6" x14ac:dyDescent="0.25">
      <c r="A4666">
        <v>8124</v>
      </c>
      <c r="B4666" s="15">
        <v>45280</v>
      </c>
      <c r="E4666" s="160" t="s">
        <v>269</v>
      </c>
      <c r="F4666">
        <v>3770</v>
      </c>
    </row>
    <row r="4667" spans="1:6" x14ac:dyDescent="0.25">
      <c r="A4667">
        <v>8124</v>
      </c>
      <c r="B4667" s="15">
        <v>45281</v>
      </c>
      <c r="E4667" s="158"/>
      <c r="F4667">
        <v>3771</v>
      </c>
    </row>
    <row r="4668" spans="1:6" x14ac:dyDescent="0.25">
      <c r="A4668">
        <v>8124</v>
      </c>
      <c r="B4668" s="15">
        <v>45282</v>
      </c>
      <c r="E4668" s="158"/>
      <c r="F4668">
        <v>3772</v>
      </c>
    </row>
    <row r="4669" spans="1:6" x14ac:dyDescent="0.25">
      <c r="A4669">
        <v>8124</v>
      </c>
      <c r="B4669" s="15">
        <v>45283</v>
      </c>
      <c r="E4669" s="158"/>
      <c r="F4669">
        <v>3773</v>
      </c>
    </row>
    <row r="4670" spans="1:6" x14ac:dyDescent="0.25">
      <c r="A4670">
        <v>8124</v>
      </c>
      <c r="B4670" s="15">
        <v>45284</v>
      </c>
      <c r="E4670" s="157"/>
      <c r="F4670">
        <v>3774</v>
      </c>
    </row>
    <row r="4671" spans="1:6" x14ac:dyDescent="0.25">
      <c r="A4671">
        <v>8124</v>
      </c>
      <c r="B4671" s="15">
        <v>45285</v>
      </c>
      <c r="E4671" s="119"/>
      <c r="F4671">
        <v>3775</v>
      </c>
    </row>
    <row r="4672" spans="1:6" x14ac:dyDescent="0.25">
      <c r="A4672">
        <v>8124</v>
      </c>
      <c r="B4672" s="15">
        <v>45286</v>
      </c>
      <c r="E4672" s="160" t="s">
        <v>266</v>
      </c>
      <c r="F4672">
        <v>3776</v>
      </c>
    </row>
    <row r="4673" spans="1:6" x14ac:dyDescent="0.25">
      <c r="A4673">
        <v>8124</v>
      </c>
      <c r="B4673" s="15">
        <v>45287</v>
      </c>
      <c r="E4673" s="160" t="s">
        <v>269</v>
      </c>
      <c r="F4673">
        <v>3777</v>
      </c>
    </row>
    <row r="4674" spans="1:6" x14ac:dyDescent="0.25">
      <c r="A4674">
        <v>8124</v>
      </c>
      <c r="B4674" s="15">
        <v>45288</v>
      </c>
      <c r="E4674" s="158"/>
      <c r="F4674">
        <v>3778</v>
      </c>
    </row>
    <row r="4675" spans="1:6" x14ac:dyDescent="0.25">
      <c r="A4675">
        <v>8124</v>
      </c>
      <c r="B4675" s="15">
        <v>45289</v>
      </c>
      <c r="E4675" s="158"/>
      <c r="F4675">
        <v>3779</v>
      </c>
    </row>
    <row r="4676" spans="1:6" x14ac:dyDescent="0.25">
      <c r="A4676">
        <v>8124</v>
      </c>
      <c r="B4676" s="15">
        <v>45290</v>
      </c>
      <c r="E4676" s="158"/>
      <c r="F4676">
        <v>3780</v>
      </c>
    </row>
    <row r="4677" spans="1:6" x14ac:dyDescent="0.25">
      <c r="A4677">
        <v>8124</v>
      </c>
      <c r="B4677" s="15">
        <v>45291</v>
      </c>
      <c r="E4677" s="157"/>
      <c r="F4677">
        <v>3781</v>
      </c>
    </row>
    <row r="4678" spans="1:6" x14ac:dyDescent="0.25">
      <c r="A4678">
        <v>8124</v>
      </c>
      <c r="B4678" s="15">
        <v>45292</v>
      </c>
      <c r="E4678" s="119"/>
      <c r="F4678">
        <v>4524</v>
      </c>
    </row>
    <row r="4679" spans="1:6" x14ac:dyDescent="0.25">
      <c r="A4679">
        <v>8124</v>
      </c>
      <c r="B4679" s="15">
        <v>45293</v>
      </c>
      <c r="E4679" s="122" t="s">
        <v>2</v>
      </c>
      <c r="F4679">
        <v>4525</v>
      </c>
    </row>
    <row r="4680" spans="1:6" x14ac:dyDescent="0.25">
      <c r="A4680">
        <v>8124</v>
      </c>
      <c r="B4680" s="15">
        <v>45294</v>
      </c>
      <c r="E4680" s="122" t="s">
        <v>2</v>
      </c>
      <c r="F4680">
        <v>4526</v>
      </c>
    </row>
    <row r="4681" spans="1:6" x14ac:dyDescent="0.25">
      <c r="A4681">
        <v>8124</v>
      </c>
      <c r="B4681" s="15">
        <v>45295</v>
      </c>
      <c r="E4681" s="158"/>
      <c r="F4681">
        <v>4527</v>
      </c>
    </row>
    <row r="4682" spans="1:6" x14ac:dyDescent="0.25">
      <c r="A4682">
        <v>8124</v>
      </c>
      <c r="B4682" s="15">
        <v>45296</v>
      </c>
      <c r="E4682" s="158"/>
      <c r="F4682">
        <v>4528</v>
      </c>
    </row>
    <row r="4683" spans="1:6" x14ac:dyDescent="0.25">
      <c r="A4683">
        <v>8124</v>
      </c>
      <c r="B4683" s="15">
        <v>45297</v>
      </c>
      <c r="E4683" s="158"/>
      <c r="F4683">
        <v>4529</v>
      </c>
    </row>
    <row r="4684" spans="1:6" x14ac:dyDescent="0.25">
      <c r="A4684">
        <v>8124</v>
      </c>
      <c r="B4684" s="15">
        <v>45298</v>
      </c>
      <c r="E4684" s="158"/>
      <c r="F4684">
        <v>4530</v>
      </c>
    </row>
    <row r="4685" spans="1:6" x14ac:dyDescent="0.25">
      <c r="A4685">
        <v>8124</v>
      </c>
      <c r="B4685" s="15">
        <v>45299</v>
      </c>
      <c r="E4685" s="160" t="s">
        <v>271</v>
      </c>
      <c r="F4685">
        <v>4531</v>
      </c>
    </row>
    <row r="4686" spans="1:6" x14ac:dyDescent="0.25">
      <c r="A4686">
        <v>8124</v>
      </c>
      <c r="B4686" s="15">
        <v>45300</v>
      </c>
      <c r="E4686" s="160" t="s">
        <v>272</v>
      </c>
      <c r="F4686">
        <v>4532</v>
      </c>
    </row>
    <row r="4687" spans="1:6" x14ac:dyDescent="0.25">
      <c r="A4687">
        <v>8124</v>
      </c>
      <c r="B4687" s="15">
        <v>45301</v>
      </c>
      <c r="E4687" s="160" t="s">
        <v>273</v>
      </c>
      <c r="F4687">
        <v>4533</v>
      </c>
    </row>
    <row r="4688" spans="1:6" x14ac:dyDescent="0.25">
      <c r="A4688">
        <v>8124</v>
      </c>
      <c r="B4688" s="15">
        <v>45302</v>
      </c>
      <c r="E4688" s="158"/>
      <c r="F4688">
        <v>4534</v>
      </c>
    </row>
    <row r="4689" spans="1:6" x14ac:dyDescent="0.25">
      <c r="A4689">
        <v>8124</v>
      </c>
      <c r="B4689" s="15">
        <v>45303</v>
      </c>
      <c r="E4689" s="158"/>
      <c r="F4689">
        <v>4535</v>
      </c>
    </row>
    <row r="4690" spans="1:6" x14ac:dyDescent="0.25">
      <c r="A4690">
        <v>8124</v>
      </c>
      <c r="B4690" s="15">
        <v>45304</v>
      </c>
      <c r="E4690" s="160" t="s">
        <v>175</v>
      </c>
      <c r="F4690">
        <v>4536</v>
      </c>
    </row>
    <row r="4691" spans="1:6" x14ac:dyDescent="0.25">
      <c r="A4691">
        <v>8124</v>
      </c>
      <c r="B4691" s="15">
        <v>45305</v>
      </c>
      <c r="E4691" s="157"/>
      <c r="F4691">
        <v>4537</v>
      </c>
    </row>
    <row r="4692" spans="1:6" x14ac:dyDescent="0.25">
      <c r="A4692">
        <v>8124</v>
      </c>
      <c r="B4692" s="15">
        <v>45306</v>
      </c>
      <c r="E4692" s="160" t="s">
        <v>274</v>
      </c>
      <c r="F4692">
        <v>4538</v>
      </c>
    </row>
    <row r="4693" spans="1:6" x14ac:dyDescent="0.25">
      <c r="A4693">
        <v>8124</v>
      </c>
      <c r="B4693" s="15">
        <v>45307</v>
      </c>
      <c r="E4693" s="160" t="s">
        <v>266</v>
      </c>
      <c r="F4693">
        <v>4539</v>
      </c>
    </row>
    <row r="4694" spans="1:6" x14ac:dyDescent="0.25">
      <c r="A4694">
        <v>8124</v>
      </c>
      <c r="B4694" s="15">
        <v>45308</v>
      </c>
      <c r="E4694" s="122" t="s">
        <v>2</v>
      </c>
      <c r="F4694">
        <v>4540</v>
      </c>
    </row>
    <row r="4695" spans="1:6" x14ac:dyDescent="0.25">
      <c r="A4695">
        <v>8124</v>
      </c>
      <c r="B4695" s="15">
        <v>45309</v>
      </c>
      <c r="E4695" s="158"/>
      <c r="F4695">
        <v>4541</v>
      </c>
    </row>
    <row r="4696" spans="1:6" x14ac:dyDescent="0.25">
      <c r="A4696">
        <v>8124</v>
      </c>
      <c r="B4696" s="15">
        <v>45310</v>
      </c>
      <c r="E4696" s="158"/>
      <c r="F4696">
        <v>4542</v>
      </c>
    </row>
    <row r="4697" spans="1:6" x14ac:dyDescent="0.25">
      <c r="A4697">
        <v>8124</v>
      </c>
      <c r="B4697" s="15">
        <v>45311</v>
      </c>
      <c r="E4697" s="158"/>
      <c r="F4697">
        <v>4543</v>
      </c>
    </row>
    <row r="4698" spans="1:6" x14ac:dyDescent="0.25">
      <c r="A4698">
        <v>8124</v>
      </c>
      <c r="B4698" s="15">
        <v>45312</v>
      </c>
      <c r="E4698" s="157"/>
      <c r="F4698">
        <v>4544</v>
      </c>
    </row>
    <row r="4699" spans="1:6" x14ac:dyDescent="0.25">
      <c r="A4699">
        <v>8124</v>
      </c>
      <c r="B4699" s="15">
        <v>45313</v>
      </c>
      <c r="E4699" s="122" t="s">
        <v>2</v>
      </c>
      <c r="F4699">
        <v>4545</v>
      </c>
    </row>
    <row r="4700" spans="1:6" x14ac:dyDescent="0.25">
      <c r="A4700">
        <v>8124</v>
      </c>
      <c r="B4700" s="15">
        <v>45314</v>
      </c>
      <c r="E4700" s="122" t="s">
        <v>2</v>
      </c>
      <c r="F4700">
        <v>4546</v>
      </c>
    </row>
    <row r="4701" spans="1:6" x14ac:dyDescent="0.25">
      <c r="A4701">
        <v>8124</v>
      </c>
      <c r="B4701" s="15">
        <v>45315</v>
      </c>
      <c r="E4701" s="122" t="s">
        <v>2</v>
      </c>
      <c r="F4701">
        <v>4547</v>
      </c>
    </row>
    <row r="4702" spans="1:6" x14ac:dyDescent="0.25">
      <c r="A4702">
        <v>8124</v>
      </c>
      <c r="B4702" s="15">
        <v>45316</v>
      </c>
      <c r="E4702" s="158"/>
      <c r="F4702">
        <v>4548</v>
      </c>
    </row>
    <row r="4703" spans="1:6" x14ac:dyDescent="0.25">
      <c r="A4703">
        <v>8124</v>
      </c>
      <c r="B4703" s="15">
        <v>45317</v>
      </c>
      <c r="E4703" s="158"/>
      <c r="F4703">
        <v>4549</v>
      </c>
    </row>
    <row r="4704" spans="1:6" x14ac:dyDescent="0.25">
      <c r="A4704">
        <v>8124</v>
      </c>
      <c r="B4704" s="15">
        <v>45318</v>
      </c>
      <c r="E4704" s="126" t="s">
        <v>2</v>
      </c>
      <c r="F4704">
        <v>4550</v>
      </c>
    </row>
    <row r="4705" spans="1:6" x14ac:dyDescent="0.25">
      <c r="A4705">
        <v>8124</v>
      </c>
      <c r="B4705" s="15">
        <v>45319</v>
      </c>
      <c r="E4705" s="157"/>
      <c r="F4705">
        <v>4551</v>
      </c>
    </row>
    <row r="4706" spans="1:6" x14ac:dyDescent="0.25">
      <c r="A4706">
        <v>8124</v>
      </c>
      <c r="B4706" s="15">
        <v>45320</v>
      </c>
      <c r="E4706" s="160" t="s">
        <v>274</v>
      </c>
      <c r="F4706">
        <v>4552</v>
      </c>
    </row>
    <row r="4707" spans="1:6" x14ac:dyDescent="0.25">
      <c r="A4707">
        <v>8124</v>
      </c>
      <c r="B4707" s="15">
        <v>45321</v>
      </c>
      <c r="E4707" s="160" t="s">
        <v>266</v>
      </c>
      <c r="F4707">
        <v>4553</v>
      </c>
    </row>
    <row r="4708" spans="1:6" x14ac:dyDescent="0.25">
      <c r="A4708">
        <v>8124</v>
      </c>
      <c r="B4708" s="15">
        <v>45322</v>
      </c>
      <c r="E4708" s="160" t="s">
        <v>269</v>
      </c>
      <c r="F4708">
        <v>4554</v>
      </c>
    </row>
    <row r="4709" spans="1:6" x14ac:dyDescent="0.25">
      <c r="A4709">
        <v>8124</v>
      </c>
      <c r="B4709" s="15">
        <v>45323</v>
      </c>
      <c r="E4709" s="158"/>
      <c r="F4709">
        <v>4555</v>
      </c>
    </row>
    <row r="4710" spans="1:6" x14ac:dyDescent="0.25">
      <c r="A4710">
        <v>8124</v>
      </c>
      <c r="B4710" s="15">
        <v>45324</v>
      </c>
      <c r="E4710" s="158"/>
      <c r="F4710">
        <v>4556</v>
      </c>
    </row>
    <row r="4711" spans="1:6" x14ac:dyDescent="0.25">
      <c r="A4711">
        <v>8124</v>
      </c>
      <c r="B4711" s="15">
        <v>45325</v>
      </c>
      <c r="E4711" s="157"/>
      <c r="F4711">
        <v>4557</v>
      </c>
    </row>
    <row r="4712" spans="1:6" x14ac:dyDescent="0.25">
      <c r="A4712">
        <v>8124</v>
      </c>
      <c r="B4712" s="15">
        <v>45326</v>
      </c>
      <c r="E4712" s="157"/>
      <c r="F4712">
        <v>4558</v>
      </c>
    </row>
    <row r="4713" spans="1:6" x14ac:dyDescent="0.25">
      <c r="A4713">
        <v>8124</v>
      </c>
      <c r="B4713" s="15">
        <v>45327</v>
      </c>
      <c r="E4713" s="160" t="s">
        <v>271</v>
      </c>
      <c r="F4713">
        <v>5329</v>
      </c>
    </row>
    <row r="4714" spans="1:6" x14ac:dyDescent="0.25">
      <c r="A4714">
        <v>8124</v>
      </c>
      <c r="B4714" s="15">
        <v>45328</v>
      </c>
      <c r="E4714" s="160" t="s">
        <v>272</v>
      </c>
      <c r="F4714">
        <v>5330</v>
      </c>
    </row>
    <row r="4715" spans="1:6" x14ac:dyDescent="0.25">
      <c r="A4715">
        <v>8124</v>
      </c>
      <c r="B4715" s="15">
        <v>45329</v>
      </c>
      <c r="E4715" s="160" t="s">
        <v>273</v>
      </c>
      <c r="F4715">
        <v>5331</v>
      </c>
    </row>
    <row r="4716" spans="1:6" x14ac:dyDescent="0.25">
      <c r="A4716">
        <v>8124</v>
      </c>
      <c r="B4716" s="15">
        <v>45330</v>
      </c>
      <c r="E4716" s="158"/>
      <c r="F4716">
        <v>5332</v>
      </c>
    </row>
    <row r="4717" spans="1:6" x14ac:dyDescent="0.25">
      <c r="A4717">
        <v>8124</v>
      </c>
      <c r="B4717" s="15">
        <v>45331</v>
      </c>
      <c r="E4717" s="158"/>
      <c r="F4717">
        <v>5333</v>
      </c>
    </row>
    <row r="4718" spans="1:6" x14ac:dyDescent="0.25">
      <c r="A4718">
        <v>8124</v>
      </c>
      <c r="B4718" s="15">
        <v>45332</v>
      </c>
      <c r="E4718" s="160" t="s">
        <v>175</v>
      </c>
      <c r="F4718">
        <v>5334</v>
      </c>
    </row>
    <row r="4719" spans="1:6" x14ac:dyDescent="0.25">
      <c r="A4719">
        <v>8124</v>
      </c>
      <c r="B4719" s="15">
        <v>45333</v>
      </c>
      <c r="E4719" s="157"/>
      <c r="F4719">
        <v>5335</v>
      </c>
    </row>
    <row r="4720" spans="1:6" x14ac:dyDescent="0.25">
      <c r="A4720">
        <v>8124</v>
      </c>
      <c r="B4720" s="15">
        <v>45334</v>
      </c>
      <c r="E4720" s="160" t="s">
        <v>269</v>
      </c>
      <c r="F4720">
        <v>5336</v>
      </c>
    </row>
    <row r="4721" spans="1:6" x14ac:dyDescent="0.25">
      <c r="A4721">
        <v>8124</v>
      </c>
      <c r="B4721" s="15">
        <v>45335</v>
      </c>
      <c r="E4721" s="160" t="s">
        <v>266</v>
      </c>
      <c r="F4721">
        <v>5337</v>
      </c>
    </row>
    <row r="4722" spans="1:6" x14ac:dyDescent="0.25">
      <c r="A4722">
        <v>8124</v>
      </c>
      <c r="B4722" s="15">
        <v>45336</v>
      </c>
      <c r="E4722" s="160" t="s">
        <v>269</v>
      </c>
      <c r="F4722">
        <v>5338</v>
      </c>
    </row>
    <row r="4723" spans="1:6" x14ac:dyDescent="0.25">
      <c r="A4723">
        <v>8124</v>
      </c>
      <c r="B4723" s="15">
        <v>45337</v>
      </c>
      <c r="E4723" s="158"/>
      <c r="F4723">
        <v>5339</v>
      </c>
    </row>
    <row r="4724" spans="1:6" x14ac:dyDescent="0.25">
      <c r="A4724">
        <v>8124</v>
      </c>
      <c r="B4724" s="15">
        <v>45338</v>
      </c>
      <c r="E4724" s="158"/>
      <c r="F4724">
        <v>5340</v>
      </c>
    </row>
    <row r="4725" spans="1:6" x14ac:dyDescent="0.25">
      <c r="A4725">
        <v>8124</v>
      </c>
      <c r="B4725" s="15">
        <v>45339</v>
      </c>
      <c r="E4725" s="158"/>
      <c r="F4725">
        <v>5341</v>
      </c>
    </row>
    <row r="4726" spans="1:6" x14ac:dyDescent="0.25">
      <c r="A4726">
        <v>8124</v>
      </c>
      <c r="B4726" s="15">
        <v>45340</v>
      </c>
      <c r="E4726" s="158"/>
      <c r="F4726">
        <v>5342</v>
      </c>
    </row>
    <row r="4727" spans="1:6" x14ac:dyDescent="0.25">
      <c r="A4727">
        <v>8124</v>
      </c>
      <c r="B4727" s="15">
        <v>45341</v>
      </c>
      <c r="E4727" s="160" t="s">
        <v>271</v>
      </c>
      <c r="F4727">
        <v>5343</v>
      </c>
    </row>
    <row r="4728" spans="1:6" x14ac:dyDescent="0.25">
      <c r="A4728">
        <v>8124</v>
      </c>
      <c r="B4728" s="15">
        <v>45342</v>
      </c>
      <c r="E4728" s="160" t="s">
        <v>272</v>
      </c>
      <c r="F4728">
        <v>5344</v>
      </c>
    </row>
    <row r="4729" spans="1:6" x14ac:dyDescent="0.25">
      <c r="A4729">
        <v>8124</v>
      </c>
      <c r="B4729" s="15">
        <v>45343</v>
      </c>
      <c r="E4729" s="160" t="s">
        <v>273</v>
      </c>
      <c r="F4729">
        <v>5345</v>
      </c>
    </row>
    <row r="4730" spans="1:6" x14ac:dyDescent="0.25">
      <c r="A4730">
        <v>8124</v>
      </c>
      <c r="B4730" s="15">
        <v>45344</v>
      </c>
      <c r="E4730" s="158"/>
      <c r="F4730">
        <v>5346</v>
      </c>
    </row>
    <row r="4731" spans="1:6" x14ac:dyDescent="0.25">
      <c r="A4731">
        <v>8124</v>
      </c>
      <c r="B4731" s="15">
        <v>45345</v>
      </c>
      <c r="E4731" s="158"/>
      <c r="F4731">
        <v>5347</v>
      </c>
    </row>
    <row r="4732" spans="1:6" x14ac:dyDescent="0.25">
      <c r="A4732">
        <v>8124</v>
      </c>
      <c r="B4732" s="15">
        <v>45346</v>
      </c>
      <c r="E4732" s="160" t="s">
        <v>175</v>
      </c>
      <c r="F4732">
        <v>5348</v>
      </c>
    </row>
    <row r="4733" spans="1:6" x14ac:dyDescent="0.25">
      <c r="A4733">
        <v>8124</v>
      </c>
      <c r="B4733" s="15">
        <v>45347</v>
      </c>
      <c r="E4733" s="157"/>
      <c r="F4733">
        <v>5349</v>
      </c>
    </row>
    <row r="4734" spans="1:6" x14ac:dyDescent="0.25">
      <c r="A4734">
        <v>8124</v>
      </c>
      <c r="B4734" s="15">
        <v>45348</v>
      </c>
      <c r="E4734" s="160" t="s">
        <v>269</v>
      </c>
      <c r="F4734">
        <v>5350</v>
      </c>
    </row>
    <row r="4735" spans="1:6" x14ac:dyDescent="0.25">
      <c r="A4735">
        <v>8124</v>
      </c>
      <c r="B4735" s="15">
        <v>45349</v>
      </c>
      <c r="E4735" s="160" t="s">
        <v>266</v>
      </c>
      <c r="F4735">
        <v>5351</v>
      </c>
    </row>
    <row r="4736" spans="1:6" x14ac:dyDescent="0.25">
      <c r="A4736">
        <v>8124</v>
      </c>
      <c r="B4736" s="15">
        <v>45350</v>
      </c>
      <c r="E4736" s="160" t="s">
        <v>269</v>
      </c>
      <c r="F4736">
        <v>5352</v>
      </c>
    </row>
    <row r="4737" spans="1:6" x14ac:dyDescent="0.25">
      <c r="A4737">
        <v>8124</v>
      </c>
      <c r="B4737" s="15">
        <v>45351</v>
      </c>
      <c r="E4737" s="158"/>
      <c r="F4737">
        <v>5353</v>
      </c>
    </row>
    <row r="4738" spans="1:6" x14ac:dyDescent="0.25">
      <c r="A4738">
        <v>8124</v>
      </c>
      <c r="B4738" s="15">
        <v>45352</v>
      </c>
      <c r="E4738" s="158"/>
      <c r="F4738">
        <v>5354</v>
      </c>
    </row>
    <row r="4739" spans="1:6" x14ac:dyDescent="0.25">
      <c r="A4739">
        <v>8124</v>
      </c>
      <c r="B4739" s="15">
        <v>45353</v>
      </c>
      <c r="E4739" s="157"/>
      <c r="F4739">
        <v>5355</v>
      </c>
    </row>
    <row r="4740" spans="1:6" x14ac:dyDescent="0.25">
      <c r="A4740">
        <v>8124</v>
      </c>
      <c r="B4740" s="15">
        <v>45354</v>
      </c>
      <c r="E4740" s="157"/>
      <c r="F4740">
        <v>5356</v>
      </c>
    </row>
    <row r="4741" spans="1:6" x14ac:dyDescent="0.25">
      <c r="A4741">
        <v>8124</v>
      </c>
      <c r="B4741" s="15">
        <v>45355</v>
      </c>
      <c r="E4741" s="160" t="s">
        <v>271</v>
      </c>
      <c r="F4741">
        <v>6029</v>
      </c>
    </row>
    <row r="4742" spans="1:6" x14ac:dyDescent="0.25">
      <c r="A4742">
        <v>8124</v>
      </c>
      <c r="B4742" s="15">
        <v>45356</v>
      </c>
      <c r="E4742" s="160" t="s">
        <v>272</v>
      </c>
      <c r="F4742">
        <v>6030</v>
      </c>
    </row>
    <row r="4743" spans="1:6" x14ac:dyDescent="0.25">
      <c r="A4743">
        <v>8124</v>
      </c>
      <c r="B4743" s="15">
        <v>45357</v>
      </c>
      <c r="E4743" s="160" t="s">
        <v>273</v>
      </c>
      <c r="F4743">
        <v>6031</v>
      </c>
    </row>
    <row r="4744" spans="1:6" x14ac:dyDescent="0.25">
      <c r="A4744">
        <v>8124</v>
      </c>
      <c r="B4744" s="15">
        <v>45358</v>
      </c>
      <c r="E4744" s="158"/>
      <c r="F4744">
        <v>6032</v>
      </c>
    </row>
    <row r="4745" spans="1:6" x14ac:dyDescent="0.25">
      <c r="A4745">
        <v>8124</v>
      </c>
      <c r="B4745" s="15">
        <v>45359</v>
      </c>
      <c r="E4745" s="158"/>
      <c r="F4745">
        <v>6033</v>
      </c>
    </row>
    <row r="4746" spans="1:6" x14ac:dyDescent="0.25">
      <c r="A4746">
        <v>8124</v>
      </c>
      <c r="B4746" s="15">
        <v>45360</v>
      </c>
      <c r="E4746" s="160" t="s">
        <v>175</v>
      </c>
      <c r="F4746">
        <v>6034</v>
      </c>
    </row>
    <row r="4747" spans="1:6" x14ac:dyDescent="0.25">
      <c r="A4747">
        <v>8124</v>
      </c>
      <c r="B4747" s="15">
        <v>45361</v>
      </c>
      <c r="E4747" s="157"/>
      <c r="F4747">
        <v>6035</v>
      </c>
    </row>
    <row r="4748" spans="1:6" x14ac:dyDescent="0.25">
      <c r="A4748">
        <v>8124</v>
      </c>
      <c r="B4748" s="15">
        <v>45362</v>
      </c>
      <c r="E4748" s="160" t="s">
        <v>269</v>
      </c>
      <c r="F4748">
        <v>6036</v>
      </c>
    </row>
    <row r="4749" spans="1:6" x14ac:dyDescent="0.25">
      <c r="A4749">
        <v>8124</v>
      </c>
      <c r="B4749" s="15">
        <v>45363</v>
      </c>
      <c r="E4749" s="160" t="s">
        <v>266</v>
      </c>
      <c r="F4749">
        <v>6037</v>
      </c>
    </row>
    <row r="4750" spans="1:6" x14ac:dyDescent="0.25">
      <c r="A4750">
        <v>8124</v>
      </c>
      <c r="B4750" s="15">
        <v>45364</v>
      </c>
      <c r="E4750" s="120" t="s">
        <v>2</v>
      </c>
      <c r="F4750">
        <v>6038</v>
      </c>
    </row>
    <row r="4751" spans="1:6" x14ac:dyDescent="0.25">
      <c r="A4751">
        <v>8124</v>
      </c>
      <c r="B4751" s="15">
        <v>45365</v>
      </c>
      <c r="E4751" s="158"/>
      <c r="F4751">
        <v>6039</v>
      </c>
    </row>
    <row r="4752" spans="1:6" x14ac:dyDescent="0.25">
      <c r="A4752">
        <v>8124</v>
      </c>
      <c r="B4752" s="15">
        <v>45366</v>
      </c>
      <c r="E4752" s="158"/>
      <c r="F4752">
        <v>6040</v>
      </c>
    </row>
    <row r="4753" spans="1:6" x14ac:dyDescent="0.25">
      <c r="A4753">
        <v>8124</v>
      </c>
      <c r="B4753" s="15">
        <v>45367</v>
      </c>
      <c r="E4753" s="157"/>
      <c r="F4753">
        <v>6041</v>
      </c>
    </row>
    <row r="4754" spans="1:6" x14ac:dyDescent="0.25">
      <c r="A4754">
        <v>8124</v>
      </c>
      <c r="B4754" s="15">
        <v>45368</v>
      </c>
      <c r="E4754" s="157"/>
      <c r="F4754">
        <v>6042</v>
      </c>
    </row>
    <row r="4755" spans="1:6" x14ac:dyDescent="0.25">
      <c r="A4755">
        <v>8124</v>
      </c>
      <c r="B4755" s="15">
        <v>45369</v>
      </c>
      <c r="E4755" s="160" t="s">
        <v>271</v>
      </c>
      <c r="F4755">
        <v>6043</v>
      </c>
    </row>
    <row r="4756" spans="1:6" x14ac:dyDescent="0.25">
      <c r="A4756">
        <v>8124</v>
      </c>
      <c r="B4756" s="15">
        <v>45370</v>
      </c>
      <c r="E4756" s="160" t="s">
        <v>272</v>
      </c>
      <c r="F4756">
        <v>6044</v>
      </c>
    </row>
    <row r="4757" spans="1:6" x14ac:dyDescent="0.25">
      <c r="A4757">
        <v>8124</v>
      </c>
      <c r="B4757" s="15">
        <v>45371</v>
      </c>
      <c r="E4757" s="160" t="s">
        <v>273</v>
      </c>
      <c r="F4757">
        <v>6045</v>
      </c>
    </row>
    <row r="4758" spans="1:6" x14ac:dyDescent="0.25">
      <c r="A4758">
        <v>8124</v>
      </c>
      <c r="B4758" s="15">
        <v>45372</v>
      </c>
      <c r="E4758" s="158"/>
      <c r="F4758">
        <v>6046</v>
      </c>
    </row>
    <row r="4759" spans="1:6" x14ac:dyDescent="0.25">
      <c r="A4759">
        <v>8124</v>
      </c>
      <c r="B4759" s="15">
        <v>45373</v>
      </c>
      <c r="E4759" s="158"/>
      <c r="F4759">
        <v>6047</v>
      </c>
    </row>
    <row r="4760" spans="1:6" x14ac:dyDescent="0.25">
      <c r="A4760">
        <v>8124</v>
      </c>
      <c r="B4760" s="15">
        <v>45374</v>
      </c>
      <c r="E4760" s="160" t="s">
        <v>175</v>
      </c>
      <c r="F4760">
        <v>6048</v>
      </c>
    </row>
    <row r="4761" spans="1:6" x14ac:dyDescent="0.25">
      <c r="A4761">
        <v>8124</v>
      </c>
      <c r="B4761" s="15">
        <v>45375</v>
      </c>
      <c r="E4761" s="157"/>
      <c r="F4761">
        <v>6049</v>
      </c>
    </row>
    <row r="4762" spans="1:6" x14ac:dyDescent="0.25">
      <c r="A4762">
        <v>8124</v>
      </c>
      <c r="B4762" s="15">
        <v>45376</v>
      </c>
      <c r="E4762" s="160" t="s">
        <v>269</v>
      </c>
      <c r="F4762">
        <v>6050</v>
      </c>
    </row>
    <row r="4763" spans="1:6" x14ac:dyDescent="0.25">
      <c r="A4763">
        <v>8124</v>
      </c>
      <c r="B4763" s="15">
        <v>45377</v>
      </c>
      <c r="E4763" s="160" t="s">
        <v>266</v>
      </c>
      <c r="F4763">
        <v>6051</v>
      </c>
    </row>
    <row r="4764" spans="1:6" x14ac:dyDescent="0.25">
      <c r="A4764">
        <v>8124</v>
      </c>
      <c r="B4764" s="15">
        <v>45378</v>
      </c>
      <c r="E4764" s="160" t="s">
        <v>269</v>
      </c>
      <c r="F4764">
        <v>6052</v>
      </c>
    </row>
    <row r="4765" spans="1:6" x14ac:dyDescent="0.25">
      <c r="A4765">
        <v>8124</v>
      </c>
      <c r="B4765" s="15">
        <v>45379</v>
      </c>
      <c r="E4765" s="158"/>
      <c r="F4765">
        <v>6053</v>
      </c>
    </row>
    <row r="4766" spans="1:6" x14ac:dyDescent="0.25">
      <c r="A4766">
        <v>8124</v>
      </c>
      <c r="B4766" s="15">
        <v>45380</v>
      </c>
      <c r="E4766" s="158"/>
      <c r="F4766">
        <v>6054</v>
      </c>
    </row>
    <row r="4767" spans="1:6" x14ac:dyDescent="0.25">
      <c r="A4767">
        <v>8124</v>
      </c>
      <c r="B4767" s="15">
        <v>45381</v>
      </c>
      <c r="E4767" s="157"/>
      <c r="F4767">
        <v>6055</v>
      </c>
    </row>
    <row r="4768" spans="1:6" x14ac:dyDescent="0.25">
      <c r="A4768">
        <v>8124</v>
      </c>
      <c r="B4768" s="15">
        <v>45382</v>
      </c>
      <c r="E4768" s="157"/>
      <c r="F4768">
        <v>6056</v>
      </c>
    </row>
    <row r="4769" spans="1:6" x14ac:dyDescent="0.25">
      <c r="A4769">
        <v>8124</v>
      </c>
      <c r="B4769" s="15">
        <v>45383</v>
      </c>
      <c r="E4769" s="119"/>
      <c r="F4769">
        <v>6799</v>
      </c>
    </row>
    <row r="4770" spans="1:6" x14ac:dyDescent="0.25">
      <c r="A4770">
        <v>8124</v>
      </c>
      <c r="B4770" s="15">
        <v>45384</v>
      </c>
      <c r="E4770" s="160" t="s">
        <v>272</v>
      </c>
      <c r="F4770">
        <v>6800</v>
      </c>
    </row>
    <row r="4771" spans="1:6" x14ac:dyDescent="0.25">
      <c r="A4771">
        <v>8124</v>
      </c>
      <c r="B4771" s="15">
        <v>45385</v>
      </c>
      <c r="E4771" s="160" t="s">
        <v>273</v>
      </c>
      <c r="F4771">
        <v>6801</v>
      </c>
    </row>
    <row r="4772" spans="1:6" x14ac:dyDescent="0.25">
      <c r="A4772">
        <v>8124</v>
      </c>
      <c r="B4772" s="15">
        <v>45386</v>
      </c>
      <c r="E4772" s="158"/>
      <c r="F4772">
        <v>6802</v>
      </c>
    </row>
    <row r="4773" spans="1:6" x14ac:dyDescent="0.25">
      <c r="A4773">
        <v>8124</v>
      </c>
      <c r="B4773" s="15">
        <v>45387</v>
      </c>
      <c r="E4773" s="158"/>
      <c r="F4773">
        <v>6803</v>
      </c>
    </row>
    <row r="4774" spans="1:6" x14ac:dyDescent="0.25">
      <c r="A4774">
        <v>8124</v>
      </c>
      <c r="B4774" s="15">
        <v>45388</v>
      </c>
      <c r="E4774" s="160" t="s">
        <v>175</v>
      </c>
      <c r="F4774">
        <v>6804</v>
      </c>
    </row>
    <row r="4775" spans="1:6" x14ac:dyDescent="0.25">
      <c r="A4775">
        <v>8124</v>
      </c>
      <c r="B4775" s="15">
        <v>45389</v>
      </c>
      <c r="E4775" s="157"/>
      <c r="F4775">
        <v>6805</v>
      </c>
    </row>
    <row r="4776" spans="1:6" x14ac:dyDescent="0.25">
      <c r="A4776">
        <v>8124</v>
      </c>
      <c r="B4776" s="15">
        <v>45390</v>
      </c>
      <c r="E4776" s="160" t="s">
        <v>269</v>
      </c>
      <c r="F4776">
        <v>6806</v>
      </c>
    </row>
    <row r="4777" spans="1:6" x14ac:dyDescent="0.25">
      <c r="A4777">
        <v>8124</v>
      </c>
      <c r="B4777" s="15">
        <v>45391</v>
      </c>
      <c r="E4777" s="160" t="s">
        <v>266</v>
      </c>
      <c r="F4777">
        <v>6807</v>
      </c>
    </row>
    <row r="4778" spans="1:6" x14ac:dyDescent="0.25">
      <c r="A4778">
        <v>8124</v>
      </c>
      <c r="B4778" s="15">
        <v>45392</v>
      </c>
      <c r="E4778" s="160" t="s">
        <v>269</v>
      </c>
      <c r="F4778">
        <v>6808</v>
      </c>
    </row>
    <row r="4779" spans="1:6" x14ac:dyDescent="0.25">
      <c r="A4779">
        <v>8124</v>
      </c>
      <c r="B4779" s="15">
        <v>45393</v>
      </c>
      <c r="E4779" s="158"/>
      <c r="F4779">
        <v>6809</v>
      </c>
    </row>
    <row r="4780" spans="1:6" x14ac:dyDescent="0.25">
      <c r="A4780">
        <v>8124</v>
      </c>
      <c r="B4780" s="15">
        <v>45394</v>
      </c>
      <c r="E4780" s="158"/>
      <c r="F4780">
        <v>6810</v>
      </c>
    </row>
    <row r="4781" spans="1:6" x14ac:dyDescent="0.25">
      <c r="A4781">
        <v>8124</v>
      </c>
      <c r="B4781" s="15">
        <v>45395</v>
      </c>
      <c r="E4781" s="158"/>
      <c r="F4781">
        <v>6811</v>
      </c>
    </row>
    <row r="4782" spans="1:6" x14ac:dyDescent="0.25">
      <c r="A4782">
        <v>8124</v>
      </c>
      <c r="B4782" s="15">
        <v>45396</v>
      </c>
      <c r="E4782" s="157"/>
      <c r="F4782">
        <v>6812</v>
      </c>
    </row>
    <row r="4783" spans="1:6" x14ac:dyDescent="0.25">
      <c r="A4783">
        <v>8124</v>
      </c>
      <c r="B4783" s="15">
        <v>45397</v>
      </c>
      <c r="E4783" s="160" t="s">
        <v>271</v>
      </c>
      <c r="F4783">
        <v>6813</v>
      </c>
    </row>
    <row r="4784" spans="1:6" x14ac:dyDescent="0.25">
      <c r="A4784">
        <v>8124</v>
      </c>
      <c r="B4784" s="15">
        <v>45398</v>
      </c>
      <c r="E4784" s="160" t="s">
        <v>272</v>
      </c>
      <c r="F4784">
        <v>6814</v>
      </c>
    </row>
    <row r="4785" spans="1:6" x14ac:dyDescent="0.25">
      <c r="A4785">
        <v>8124</v>
      </c>
      <c r="B4785" s="15">
        <v>45399</v>
      </c>
      <c r="E4785" s="160" t="s">
        <v>273</v>
      </c>
      <c r="F4785">
        <v>6815</v>
      </c>
    </row>
    <row r="4786" spans="1:6" x14ac:dyDescent="0.25">
      <c r="A4786">
        <v>8124</v>
      </c>
      <c r="B4786" s="15">
        <v>45400</v>
      </c>
      <c r="E4786" s="158"/>
      <c r="F4786">
        <v>6816</v>
      </c>
    </row>
    <row r="4787" spans="1:6" x14ac:dyDescent="0.25">
      <c r="A4787">
        <v>8124</v>
      </c>
      <c r="B4787" s="15">
        <v>45401</v>
      </c>
      <c r="E4787" s="158"/>
      <c r="F4787">
        <v>6817</v>
      </c>
    </row>
    <row r="4788" spans="1:6" x14ac:dyDescent="0.25">
      <c r="A4788">
        <v>8124</v>
      </c>
      <c r="B4788" s="15">
        <v>45402</v>
      </c>
      <c r="E4788" s="160" t="s">
        <v>175</v>
      </c>
      <c r="F4788">
        <v>6818</v>
      </c>
    </row>
    <row r="4789" spans="1:6" x14ac:dyDescent="0.25">
      <c r="A4789">
        <v>8124</v>
      </c>
      <c r="B4789" s="15">
        <v>45403</v>
      </c>
      <c r="E4789" s="157"/>
      <c r="F4789">
        <v>6819</v>
      </c>
    </row>
    <row r="4790" spans="1:6" x14ac:dyDescent="0.25">
      <c r="A4790">
        <v>8124</v>
      </c>
      <c r="B4790" s="15">
        <v>45404</v>
      </c>
      <c r="E4790" s="160" t="s">
        <v>269</v>
      </c>
      <c r="F4790">
        <v>6820</v>
      </c>
    </row>
    <row r="4791" spans="1:6" x14ac:dyDescent="0.25">
      <c r="A4791">
        <v>8124</v>
      </c>
      <c r="B4791" s="15">
        <v>45405</v>
      </c>
      <c r="E4791" s="160" t="s">
        <v>266</v>
      </c>
      <c r="F4791">
        <v>6821</v>
      </c>
    </row>
    <row r="4792" spans="1:6" x14ac:dyDescent="0.25">
      <c r="A4792">
        <v>8124</v>
      </c>
      <c r="B4792" s="15">
        <v>45406</v>
      </c>
      <c r="E4792" s="160" t="s">
        <v>269</v>
      </c>
      <c r="F4792">
        <v>6822</v>
      </c>
    </row>
    <row r="4793" spans="1:6" x14ac:dyDescent="0.25">
      <c r="A4793">
        <v>8124</v>
      </c>
      <c r="B4793" s="15">
        <v>45407</v>
      </c>
      <c r="E4793" s="158"/>
      <c r="F4793">
        <v>6823</v>
      </c>
    </row>
    <row r="4794" spans="1:6" x14ac:dyDescent="0.25">
      <c r="A4794">
        <v>8124</v>
      </c>
      <c r="B4794" s="15">
        <v>45408</v>
      </c>
      <c r="E4794" s="158"/>
      <c r="F4794">
        <v>6824</v>
      </c>
    </row>
    <row r="4795" spans="1:6" x14ac:dyDescent="0.25">
      <c r="A4795">
        <v>8124</v>
      </c>
      <c r="B4795" s="15">
        <v>45409</v>
      </c>
      <c r="E4795" s="157"/>
      <c r="F4795">
        <v>6825</v>
      </c>
    </row>
    <row r="4796" spans="1:6" x14ac:dyDescent="0.25">
      <c r="A4796">
        <v>8124</v>
      </c>
      <c r="B4796" s="15">
        <v>45410</v>
      </c>
      <c r="E4796" s="157"/>
      <c r="F4796">
        <v>6826</v>
      </c>
    </row>
    <row r="4797" spans="1:6" x14ac:dyDescent="0.25">
      <c r="A4797">
        <v>8124</v>
      </c>
      <c r="B4797" s="15">
        <v>45411</v>
      </c>
      <c r="E4797" s="160" t="s">
        <v>271</v>
      </c>
      <c r="F4797">
        <v>6827</v>
      </c>
    </row>
    <row r="4798" spans="1:6" x14ac:dyDescent="0.25">
      <c r="A4798">
        <v>8124</v>
      </c>
      <c r="B4798" s="15">
        <v>45412</v>
      </c>
      <c r="E4798" s="160" t="s">
        <v>272</v>
      </c>
      <c r="F4798">
        <v>6828</v>
      </c>
    </row>
    <row r="4799" spans="1:6" x14ac:dyDescent="0.25">
      <c r="A4799">
        <v>8124</v>
      </c>
      <c r="B4799" s="15">
        <v>45413</v>
      </c>
      <c r="E4799" s="158"/>
      <c r="F4799">
        <v>6829</v>
      </c>
    </row>
    <row r="4800" spans="1:6" x14ac:dyDescent="0.25">
      <c r="A4800">
        <v>8124</v>
      </c>
      <c r="B4800" s="15">
        <v>45414</v>
      </c>
      <c r="E4800" s="158"/>
      <c r="F4800">
        <v>6830</v>
      </c>
    </row>
    <row r="4801" spans="1:6" x14ac:dyDescent="0.25">
      <c r="A4801">
        <v>8124</v>
      </c>
      <c r="B4801" s="15">
        <v>45415</v>
      </c>
      <c r="E4801" s="158"/>
      <c r="F4801">
        <v>6831</v>
      </c>
    </row>
    <row r="4802" spans="1:6" x14ac:dyDescent="0.25">
      <c r="A4802">
        <v>8124</v>
      </c>
      <c r="B4802" s="15">
        <v>45416</v>
      </c>
      <c r="E4802" s="121" t="s">
        <v>2</v>
      </c>
      <c r="F4802">
        <v>6832</v>
      </c>
    </row>
    <row r="4803" spans="1:6" x14ac:dyDescent="0.25">
      <c r="A4803">
        <v>8124</v>
      </c>
      <c r="B4803" s="15">
        <v>45417</v>
      </c>
      <c r="E4803" s="157"/>
      <c r="F4803">
        <v>6833</v>
      </c>
    </row>
    <row r="4804" spans="1:6" x14ac:dyDescent="0.25">
      <c r="A4804">
        <v>8217</v>
      </c>
      <c r="B4804" s="15">
        <v>45264</v>
      </c>
      <c r="E4804" s="120" t="s">
        <v>1</v>
      </c>
      <c r="F4804">
        <v>4062</v>
      </c>
    </row>
    <row r="4805" spans="1:6" x14ac:dyDescent="0.25">
      <c r="A4805">
        <v>8217</v>
      </c>
      <c r="B4805" s="15">
        <v>45265</v>
      </c>
      <c r="E4805" s="120" t="s">
        <v>1</v>
      </c>
      <c r="F4805">
        <v>4063</v>
      </c>
    </row>
    <row r="4806" spans="1:6" x14ac:dyDescent="0.25">
      <c r="A4806">
        <v>8217</v>
      </c>
      <c r="B4806" s="15">
        <v>45266</v>
      </c>
      <c r="E4806" s="119"/>
      <c r="F4806">
        <v>4064</v>
      </c>
    </row>
    <row r="4807" spans="1:6" x14ac:dyDescent="0.25">
      <c r="A4807">
        <v>8217</v>
      </c>
      <c r="B4807" s="15">
        <v>45267</v>
      </c>
      <c r="E4807" s="120" t="s">
        <v>1</v>
      </c>
      <c r="F4807">
        <v>4065</v>
      </c>
    </row>
    <row r="4808" spans="1:6" x14ac:dyDescent="0.25">
      <c r="A4808">
        <v>8217</v>
      </c>
      <c r="B4808" s="15">
        <v>45268</v>
      </c>
      <c r="E4808" s="119"/>
      <c r="F4808">
        <v>4066</v>
      </c>
    </row>
    <row r="4809" spans="1:6" x14ac:dyDescent="0.25">
      <c r="A4809">
        <v>8217</v>
      </c>
      <c r="B4809" s="15">
        <v>45269</v>
      </c>
      <c r="E4809" s="119"/>
      <c r="F4809">
        <v>4067</v>
      </c>
    </row>
    <row r="4810" spans="1:6" x14ac:dyDescent="0.25">
      <c r="A4810">
        <v>8217</v>
      </c>
      <c r="B4810" s="15">
        <v>45270</v>
      </c>
      <c r="E4810" s="119"/>
      <c r="F4810">
        <v>4068</v>
      </c>
    </row>
    <row r="4811" spans="1:6" x14ac:dyDescent="0.25">
      <c r="A4811">
        <v>8217</v>
      </c>
      <c r="B4811" s="15">
        <v>45271</v>
      </c>
      <c r="E4811" s="120" t="s">
        <v>1</v>
      </c>
      <c r="F4811">
        <v>4069</v>
      </c>
    </row>
    <row r="4812" spans="1:6" x14ac:dyDescent="0.25">
      <c r="A4812">
        <v>8217</v>
      </c>
      <c r="B4812" s="15">
        <v>45272</v>
      </c>
      <c r="E4812" s="120" t="s">
        <v>1</v>
      </c>
      <c r="F4812">
        <v>4070</v>
      </c>
    </row>
    <row r="4813" spans="1:6" x14ac:dyDescent="0.25">
      <c r="A4813">
        <v>8217</v>
      </c>
      <c r="B4813" s="15">
        <v>45273</v>
      </c>
      <c r="E4813" s="119"/>
      <c r="F4813">
        <v>4071</v>
      </c>
    </row>
    <row r="4814" spans="1:6" x14ac:dyDescent="0.25">
      <c r="A4814">
        <v>8217</v>
      </c>
      <c r="B4814" s="15">
        <v>45274</v>
      </c>
      <c r="E4814" s="120" t="s">
        <v>1</v>
      </c>
      <c r="F4814">
        <v>4072</v>
      </c>
    </row>
    <row r="4815" spans="1:6" x14ac:dyDescent="0.25">
      <c r="A4815">
        <v>8217</v>
      </c>
      <c r="B4815" s="15">
        <v>45275</v>
      </c>
      <c r="E4815" s="119"/>
      <c r="F4815">
        <v>4073</v>
      </c>
    </row>
    <row r="4816" spans="1:6" x14ac:dyDescent="0.25">
      <c r="A4816">
        <v>8217</v>
      </c>
      <c r="B4816" s="15">
        <v>45276</v>
      </c>
      <c r="E4816" s="119"/>
      <c r="F4816">
        <v>4074</v>
      </c>
    </row>
    <row r="4817" spans="1:6" x14ac:dyDescent="0.25">
      <c r="A4817">
        <v>8217</v>
      </c>
      <c r="B4817" s="15">
        <v>45277</v>
      </c>
      <c r="E4817" s="119"/>
      <c r="F4817">
        <v>4075</v>
      </c>
    </row>
    <row r="4818" spans="1:6" x14ac:dyDescent="0.25">
      <c r="A4818">
        <v>8217</v>
      </c>
      <c r="B4818" s="15">
        <v>45278</v>
      </c>
      <c r="E4818" s="120" t="s">
        <v>1</v>
      </c>
      <c r="F4818">
        <v>4076</v>
      </c>
    </row>
    <row r="4819" spans="1:6" x14ac:dyDescent="0.25">
      <c r="A4819">
        <v>8217</v>
      </c>
      <c r="B4819" s="15">
        <v>45279</v>
      </c>
      <c r="E4819" s="160" t="s">
        <v>266</v>
      </c>
      <c r="F4819">
        <v>4077</v>
      </c>
    </row>
    <row r="4820" spans="1:6" x14ac:dyDescent="0.25">
      <c r="A4820">
        <v>8217</v>
      </c>
      <c r="B4820" s="15">
        <v>45280</v>
      </c>
      <c r="E4820" s="119"/>
      <c r="F4820">
        <v>4078</v>
      </c>
    </row>
    <row r="4821" spans="1:6" x14ac:dyDescent="0.25">
      <c r="A4821">
        <v>8217</v>
      </c>
      <c r="B4821" s="15">
        <v>45281</v>
      </c>
      <c r="E4821" s="197" t="s">
        <v>266</v>
      </c>
      <c r="F4821">
        <v>4079</v>
      </c>
    </row>
    <row r="4822" spans="1:6" x14ac:dyDescent="0.25">
      <c r="A4822">
        <v>8217</v>
      </c>
      <c r="B4822" s="15">
        <v>45282</v>
      </c>
      <c r="E4822" s="119"/>
      <c r="F4822">
        <v>4080</v>
      </c>
    </row>
    <row r="4823" spans="1:6" x14ac:dyDescent="0.25">
      <c r="A4823">
        <v>8217</v>
      </c>
      <c r="B4823" s="15">
        <v>45283</v>
      </c>
      <c r="E4823" s="119"/>
      <c r="F4823">
        <v>4081</v>
      </c>
    </row>
    <row r="4824" spans="1:6" x14ac:dyDescent="0.25">
      <c r="A4824">
        <v>8217</v>
      </c>
      <c r="B4824" s="15">
        <v>45284</v>
      </c>
      <c r="E4824" s="119"/>
      <c r="F4824">
        <v>4082</v>
      </c>
    </row>
    <row r="4825" spans="1:6" x14ac:dyDescent="0.25">
      <c r="A4825">
        <v>8217</v>
      </c>
      <c r="B4825" s="15">
        <v>45285</v>
      </c>
      <c r="E4825" s="155"/>
      <c r="F4825">
        <v>4083</v>
      </c>
    </row>
    <row r="4826" spans="1:6" x14ac:dyDescent="0.25">
      <c r="A4826">
        <v>8217</v>
      </c>
      <c r="B4826" s="15">
        <v>45286</v>
      </c>
      <c r="E4826" s="120" t="s">
        <v>2</v>
      </c>
      <c r="F4826">
        <v>4084</v>
      </c>
    </row>
    <row r="4827" spans="1:6" x14ac:dyDescent="0.25">
      <c r="A4827">
        <v>8217</v>
      </c>
      <c r="B4827" s="15">
        <v>45287</v>
      </c>
      <c r="E4827" s="119"/>
      <c r="F4827">
        <v>4085</v>
      </c>
    </row>
    <row r="4828" spans="1:6" x14ac:dyDescent="0.25">
      <c r="A4828">
        <v>8217</v>
      </c>
      <c r="B4828" s="15">
        <v>45288</v>
      </c>
      <c r="E4828" s="120" t="s">
        <v>2</v>
      </c>
      <c r="F4828">
        <v>4086</v>
      </c>
    </row>
    <row r="4829" spans="1:6" x14ac:dyDescent="0.25">
      <c r="A4829">
        <v>8217</v>
      </c>
      <c r="B4829" s="15">
        <v>45289</v>
      </c>
      <c r="E4829" s="119"/>
      <c r="F4829">
        <v>4087</v>
      </c>
    </row>
    <row r="4830" spans="1:6" x14ac:dyDescent="0.25">
      <c r="A4830">
        <v>8217</v>
      </c>
      <c r="B4830" s="15">
        <v>45290</v>
      </c>
      <c r="E4830" s="119"/>
      <c r="F4830">
        <v>4088</v>
      </c>
    </row>
    <row r="4831" spans="1:6" x14ac:dyDescent="0.25">
      <c r="A4831">
        <v>8217</v>
      </c>
      <c r="B4831" s="15">
        <v>45291</v>
      </c>
      <c r="E4831" s="119"/>
      <c r="F4831">
        <v>4089</v>
      </c>
    </row>
    <row r="4832" spans="1:6" x14ac:dyDescent="0.25">
      <c r="A4832">
        <v>8217</v>
      </c>
      <c r="B4832" s="15">
        <v>45292</v>
      </c>
      <c r="E4832" s="119"/>
      <c r="F4832">
        <v>4909</v>
      </c>
    </row>
    <row r="4833" spans="1:6" x14ac:dyDescent="0.25">
      <c r="A4833">
        <v>8217</v>
      </c>
      <c r="B4833" s="15">
        <v>45293</v>
      </c>
      <c r="E4833" s="160" t="s">
        <v>266</v>
      </c>
      <c r="F4833">
        <v>4910</v>
      </c>
    </row>
    <row r="4834" spans="1:6" x14ac:dyDescent="0.25">
      <c r="A4834">
        <v>8217</v>
      </c>
      <c r="B4834" s="15">
        <v>45294</v>
      </c>
      <c r="E4834" s="119"/>
      <c r="F4834">
        <v>4911</v>
      </c>
    </row>
    <row r="4835" spans="1:6" x14ac:dyDescent="0.25">
      <c r="A4835">
        <v>8217</v>
      </c>
      <c r="B4835" s="15">
        <v>45295</v>
      </c>
      <c r="E4835" s="197" t="s">
        <v>266</v>
      </c>
      <c r="F4835">
        <v>4912</v>
      </c>
    </row>
    <row r="4836" spans="1:6" x14ac:dyDescent="0.25">
      <c r="A4836">
        <v>8217</v>
      </c>
      <c r="B4836" s="15">
        <v>45296</v>
      </c>
      <c r="E4836" s="119"/>
      <c r="F4836">
        <v>4913</v>
      </c>
    </row>
    <row r="4837" spans="1:6" x14ac:dyDescent="0.25">
      <c r="A4837">
        <v>8217</v>
      </c>
      <c r="B4837" s="15">
        <v>45297</v>
      </c>
      <c r="E4837" s="119"/>
      <c r="F4837">
        <v>4914</v>
      </c>
    </row>
    <row r="4838" spans="1:6" x14ac:dyDescent="0.25">
      <c r="A4838">
        <v>8217</v>
      </c>
      <c r="B4838" s="15">
        <v>45298</v>
      </c>
      <c r="E4838" s="119"/>
      <c r="F4838">
        <v>4915</v>
      </c>
    </row>
    <row r="4839" spans="1:6" x14ac:dyDescent="0.25">
      <c r="A4839">
        <v>8217</v>
      </c>
      <c r="B4839" s="15">
        <v>45299</v>
      </c>
      <c r="E4839" s="160" t="s">
        <v>266</v>
      </c>
      <c r="F4839">
        <v>4916</v>
      </c>
    </row>
    <row r="4840" spans="1:6" x14ac:dyDescent="0.25">
      <c r="A4840">
        <v>8217</v>
      </c>
      <c r="B4840" s="15">
        <v>45300</v>
      </c>
      <c r="E4840" s="160" t="s">
        <v>266</v>
      </c>
      <c r="F4840">
        <v>4917</v>
      </c>
    </row>
    <row r="4841" spans="1:6" x14ac:dyDescent="0.25">
      <c r="A4841">
        <v>8217</v>
      </c>
      <c r="B4841" s="15">
        <v>45301</v>
      </c>
      <c r="E4841" s="119"/>
      <c r="F4841">
        <v>4918</v>
      </c>
    </row>
    <row r="4842" spans="1:6" x14ac:dyDescent="0.25">
      <c r="A4842">
        <v>8217</v>
      </c>
      <c r="B4842" s="15">
        <v>45302</v>
      </c>
      <c r="E4842" s="197" t="s">
        <v>266</v>
      </c>
      <c r="F4842">
        <v>4919</v>
      </c>
    </row>
    <row r="4843" spans="1:6" x14ac:dyDescent="0.25">
      <c r="A4843">
        <v>8217</v>
      </c>
      <c r="B4843" s="15">
        <v>45303</v>
      </c>
      <c r="E4843" s="119"/>
      <c r="F4843">
        <v>4920</v>
      </c>
    </row>
    <row r="4844" spans="1:6" x14ac:dyDescent="0.25">
      <c r="A4844">
        <v>8217</v>
      </c>
      <c r="B4844" s="15">
        <v>45304</v>
      </c>
      <c r="E4844" s="119"/>
      <c r="F4844">
        <v>4921</v>
      </c>
    </row>
    <row r="4845" spans="1:6" x14ac:dyDescent="0.25">
      <c r="A4845">
        <v>8217</v>
      </c>
      <c r="B4845" s="15">
        <v>45305</v>
      </c>
      <c r="E4845" s="119"/>
      <c r="F4845">
        <v>4922</v>
      </c>
    </row>
    <row r="4846" spans="1:6" x14ac:dyDescent="0.25">
      <c r="A4846">
        <v>8217</v>
      </c>
      <c r="B4846" s="15">
        <v>45306</v>
      </c>
      <c r="E4846" s="160" t="s">
        <v>266</v>
      </c>
      <c r="F4846">
        <v>4923</v>
      </c>
    </row>
    <row r="4847" spans="1:6" x14ac:dyDescent="0.25">
      <c r="A4847">
        <v>8217</v>
      </c>
      <c r="B4847" s="15">
        <v>45307</v>
      </c>
      <c r="E4847" s="160" t="s">
        <v>266</v>
      </c>
      <c r="F4847">
        <v>4924</v>
      </c>
    </row>
    <row r="4848" spans="1:6" x14ac:dyDescent="0.25">
      <c r="A4848">
        <v>8217</v>
      </c>
      <c r="B4848" s="15">
        <v>45308</v>
      </c>
      <c r="E4848" s="119"/>
      <c r="F4848">
        <v>4925</v>
      </c>
    </row>
    <row r="4849" spans="1:6" x14ac:dyDescent="0.25">
      <c r="A4849">
        <v>8217</v>
      </c>
      <c r="B4849" s="15">
        <v>45309</v>
      </c>
      <c r="E4849" s="197" t="s">
        <v>266</v>
      </c>
      <c r="F4849">
        <v>4926</v>
      </c>
    </row>
    <row r="4850" spans="1:6" x14ac:dyDescent="0.25">
      <c r="A4850">
        <v>8217</v>
      </c>
      <c r="B4850" s="15">
        <v>45310</v>
      </c>
      <c r="E4850" s="119"/>
      <c r="F4850">
        <v>4927</v>
      </c>
    </row>
    <row r="4851" spans="1:6" x14ac:dyDescent="0.25">
      <c r="A4851">
        <v>8217</v>
      </c>
      <c r="B4851" s="15">
        <v>45311</v>
      </c>
      <c r="E4851" s="119"/>
      <c r="F4851">
        <v>4928</v>
      </c>
    </row>
    <row r="4852" spans="1:6" x14ac:dyDescent="0.25">
      <c r="A4852">
        <v>8217</v>
      </c>
      <c r="B4852" s="15">
        <v>45312</v>
      </c>
      <c r="E4852" s="119"/>
      <c r="F4852">
        <v>4929</v>
      </c>
    </row>
    <row r="4853" spans="1:6" x14ac:dyDescent="0.25">
      <c r="A4853">
        <v>8217</v>
      </c>
      <c r="B4853" s="15">
        <v>45313</v>
      </c>
      <c r="E4853" s="160" t="s">
        <v>266</v>
      </c>
      <c r="F4853">
        <v>4930</v>
      </c>
    </row>
    <row r="4854" spans="1:6" x14ac:dyDescent="0.25">
      <c r="A4854">
        <v>8217</v>
      </c>
      <c r="B4854" s="15">
        <v>45314</v>
      </c>
      <c r="E4854" s="160" t="s">
        <v>266</v>
      </c>
      <c r="F4854">
        <v>4931</v>
      </c>
    </row>
    <row r="4855" spans="1:6" x14ac:dyDescent="0.25">
      <c r="A4855">
        <v>8217</v>
      </c>
      <c r="B4855" s="15">
        <v>45315</v>
      </c>
      <c r="E4855" s="119"/>
      <c r="F4855">
        <v>4932</v>
      </c>
    </row>
    <row r="4856" spans="1:6" x14ac:dyDescent="0.25">
      <c r="A4856">
        <v>8217</v>
      </c>
      <c r="B4856" s="15">
        <v>45316</v>
      </c>
      <c r="E4856" s="120" t="s">
        <v>2</v>
      </c>
      <c r="F4856">
        <v>4933</v>
      </c>
    </row>
    <row r="4857" spans="1:6" x14ac:dyDescent="0.25">
      <c r="A4857">
        <v>8217</v>
      </c>
      <c r="B4857" s="15">
        <v>45317</v>
      </c>
      <c r="E4857" s="119"/>
      <c r="F4857">
        <v>4934</v>
      </c>
    </row>
    <row r="4858" spans="1:6" x14ac:dyDescent="0.25">
      <c r="A4858">
        <v>8217</v>
      </c>
      <c r="B4858" s="15">
        <v>45318</v>
      </c>
      <c r="E4858" s="119"/>
      <c r="F4858">
        <v>4935</v>
      </c>
    </row>
    <row r="4859" spans="1:6" x14ac:dyDescent="0.25">
      <c r="A4859">
        <v>8217</v>
      </c>
      <c r="B4859" s="15">
        <v>45319</v>
      </c>
      <c r="E4859" s="119"/>
      <c r="F4859">
        <v>4936</v>
      </c>
    </row>
    <row r="4860" spans="1:6" x14ac:dyDescent="0.25">
      <c r="A4860">
        <v>8217</v>
      </c>
      <c r="B4860" s="15">
        <v>45320</v>
      </c>
      <c r="E4860" s="160" t="s">
        <v>266</v>
      </c>
      <c r="F4860">
        <v>4937</v>
      </c>
    </row>
    <row r="4861" spans="1:6" x14ac:dyDescent="0.25">
      <c r="A4861">
        <v>8217</v>
      </c>
      <c r="B4861" s="15">
        <v>45321</v>
      </c>
      <c r="E4861" s="160" t="s">
        <v>266</v>
      </c>
      <c r="F4861">
        <v>4938</v>
      </c>
    </row>
    <row r="4862" spans="1:6" x14ac:dyDescent="0.25">
      <c r="A4862">
        <v>8217</v>
      </c>
      <c r="B4862" s="15">
        <v>45322</v>
      </c>
      <c r="E4862" s="119"/>
      <c r="F4862">
        <v>4939</v>
      </c>
    </row>
    <row r="4863" spans="1:6" x14ac:dyDescent="0.25">
      <c r="A4863">
        <v>8217</v>
      </c>
      <c r="B4863" s="15">
        <v>45323</v>
      </c>
      <c r="E4863" s="197" t="s">
        <v>266</v>
      </c>
      <c r="F4863">
        <v>4940</v>
      </c>
    </row>
    <row r="4864" spans="1:6" x14ac:dyDescent="0.25">
      <c r="A4864">
        <v>8217</v>
      </c>
      <c r="B4864" s="15">
        <v>45324</v>
      </c>
      <c r="E4864" s="119"/>
      <c r="F4864">
        <v>4941</v>
      </c>
    </row>
    <row r="4865" spans="1:6" x14ac:dyDescent="0.25">
      <c r="A4865">
        <v>8217</v>
      </c>
      <c r="B4865" s="15">
        <v>45325</v>
      </c>
      <c r="E4865" s="119"/>
      <c r="F4865">
        <v>4942</v>
      </c>
    </row>
    <row r="4866" spans="1:6" x14ac:dyDescent="0.25">
      <c r="A4866">
        <v>8217</v>
      </c>
      <c r="B4866" s="15">
        <v>45326</v>
      </c>
      <c r="E4866" s="119"/>
      <c r="F4866">
        <v>4943</v>
      </c>
    </row>
    <row r="4867" spans="1:6" x14ac:dyDescent="0.25">
      <c r="A4867">
        <v>8217</v>
      </c>
      <c r="B4867" s="15">
        <v>45327</v>
      </c>
      <c r="E4867" s="160" t="s">
        <v>266</v>
      </c>
      <c r="F4867">
        <v>5637</v>
      </c>
    </row>
    <row r="4868" spans="1:6" x14ac:dyDescent="0.25">
      <c r="A4868">
        <v>8217</v>
      </c>
      <c r="B4868" s="15">
        <v>45328</v>
      </c>
      <c r="E4868" s="160" t="s">
        <v>266</v>
      </c>
      <c r="F4868">
        <v>5638</v>
      </c>
    </row>
    <row r="4869" spans="1:6" x14ac:dyDescent="0.25">
      <c r="A4869">
        <v>8217</v>
      </c>
      <c r="B4869" s="15">
        <v>45329</v>
      </c>
      <c r="E4869" s="119"/>
      <c r="F4869">
        <v>5639</v>
      </c>
    </row>
    <row r="4870" spans="1:6" x14ac:dyDescent="0.25">
      <c r="A4870">
        <v>8217</v>
      </c>
      <c r="B4870" s="15">
        <v>45330</v>
      </c>
      <c r="E4870" s="197" t="s">
        <v>266</v>
      </c>
      <c r="F4870">
        <v>5640</v>
      </c>
    </row>
    <row r="4871" spans="1:6" x14ac:dyDescent="0.25">
      <c r="A4871">
        <v>8217</v>
      </c>
      <c r="B4871" s="15">
        <v>45331</v>
      </c>
      <c r="E4871" s="119"/>
      <c r="F4871">
        <v>5641</v>
      </c>
    </row>
    <row r="4872" spans="1:6" x14ac:dyDescent="0.25">
      <c r="A4872">
        <v>8217</v>
      </c>
      <c r="B4872" s="15">
        <v>45332</v>
      </c>
      <c r="E4872" s="119"/>
      <c r="F4872">
        <v>5642</v>
      </c>
    </row>
    <row r="4873" spans="1:6" x14ac:dyDescent="0.25">
      <c r="A4873">
        <v>8217</v>
      </c>
      <c r="B4873" s="15">
        <v>45333</v>
      </c>
      <c r="E4873" s="119"/>
      <c r="F4873">
        <v>5643</v>
      </c>
    </row>
    <row r="4874" spans="1:6" x14ac:dyDescent="0.25">
      <c r="A4874">
        <v>8217</v>
      </c>
      <c r="B4874" s="15">
        <v>45334</v>
      </c>
      <c r="E4874" s="160" t="s">
        <v>266</v>
      </c>
      <c r="F4874">
        <v>5644</v>
      </c>
    </row>
    <row r="4875" spans="1:6" x14ac:dyDescent="0.25">
      <c r="A4875">
        <v>8217</v>
      </c>
      <c r="B4875" s="15">
        <v>45335</v>
      </c>
      <c r="E4875" s="160" t="s">
        <v>266</v>
      </c>
      <c r="F4875">
        <v>5645</v>
      </c>
    </row>
    <row r="4876" spans="1:6" x14ac:dyDescent="0.25">
      <c r="A4876">
        <v>8217</v>
      </c>
      <c r="B4876" s="15">
        <v>45336</v>
      </c>
      <c r="E4876" s="119"/>
      <c r="F4876">
        <v>5646</v>
      </c>
    </row>
    <row r="4877" spans="1:6" x14ac:dyDescent="0.25">
      <c r="A4877">
        <v>8217</v>
      </c>
      <c r="B4877" s="15">
        <v>45337</v>
      </c>
      <c r="E4877" s="197" t="s">
        <v>266</v>
      </c>
      <c r="F4877">
        <v>5647</v>
      </c>
    </row>
    <row r="4878" spans="1:6" x14ac:dyDescent="0.25">
      <c r="A4878">
        <v>8217</v>
      </c>
      <c r="B4878" s="15">
        <v>45338</v>
      </c>
      <c r="E4878" s="119"/>
      <c r="F4878">
        <v>5648</v>
      </c>
    </row>
    <row r="4879" spans="1:6" x14ac:dyDescent="0.25">
      <c r="A4879">
        <v>8217</v>
      </c>
      <c r="B4879" s="15">
        <v>45339</v>
      </c>
      <c r="E4879" s="119"/>
      <c r="F4879">
        <v>5649</v>
      </c>
    </row>
    <row r="4880" spans="1:6" x14ac:dyDescent="0.25">
      <c r="A4880">
        <v>8217</v>
      </c>
      <c r="B4880" s="15">
        <v>45340</v>
      </c>
      <c r="E4880" s="119"/>
      <c r="F4880">
        <v>5650</v>
      </c>
    </row>
    <row r="4881" spans="1:6" x14ac:dyDescent="0.25">
      <c r="A4881">
        <v>8217</v>
      </c>
      <c r="B4881" s="15">
        <v>45341</v>
      </c>
      <c r="E4881" s="160" t="s">
        <v>266</v>
      </c>
      <c r="F4881">
        <v>5651</v>
      </c>
    </row>
    <row r="4882" spans="1:6" x14ac:dyDescent="0.25">
      <c r="A4882">
        <v>8217</v>
      </c>
      <c r="B4882" s="15">
        <v>45342</v>
      </c>
      <c r="E4882" s="160" t="s">
        <v>266</v>
      </c>
      <c r="F4882">
        <v>5652</v>
      </c>
    </row>
    <row r="4883" spans="1:6" x14ac:dyDescent="0.25">
      <c r="A4883">
        <v>8217</v>
      </c>
      <c r="B4883" s="15">
        <v>45343</v>
      </c>
      <c r="E4883" s="119"/>
      <c r="F4883">
        <v>5653</v>
      </c>
    </row>
    <row r="4884" spans="1:6" x14ac:dyDescent="0.25">
      <c r="A4884">
        <v>8217</v>
      </c>
      <c r="B4884" s="15">
        <v>45344</v>
      </c>
      <c r="E4884" s="197" t="s">
        <v>266</v>
      </c>
      <c r="F4884">
        <v>5654</v>
      </c>
    </row>
    <row r="4885" spans="1:6" x14ac:dyDescent="0.25">
      <c r="A4885">
        <v>8217</v>
      </c>
      <c r="B4885" s="15">
        <v>45345</v>
      </c>
      <c r="E4885" s="119"/>
      <c r="F4885">
        <v>5655</v>
      </c>
    </row>
    <row r="4886" spans="1:6" x14ac:dyDescent="0.25">
      <c r="A4886">
        <v>8217</v>
      </c>
      <c r="B4886" s="15">
        <v>45346</v>
      </c>
      <c r="E4886" s="119"/>
      <c r="F4886">
        <v>5656</v>
      </c>
    </row>
    <row r="4887" spans="1:6" x14ac:dyDescent="0.25">
      <c r="A4887">
        <v>8217</v>
      </c>
      <c r="B4887" s="15">
        <v>45347</v>
      </c>
      <c r="E4887" s="119"/>
      <c r="F4887">
        <v>5657</v>
      </c>
    </row>
    <row r="4888" spans="1:6" x14ac:dyDescent="0.25">
      <c r="A4888">
        <v>8217</v>
      </c>
      <c r="B4888" s="15">
        <v>45348</v>
      </c>
      <c r="E4888" s="120" t="s">
        <v>2</v>
      </c>
      <c r="F4888">
        <v>5658</v>
      </c>
    </row>
    <row r="4889" spans="1:6" x14ac:dyDescent="0.25">
      <c r="A4889">
        <v>8217</v>
      </c>
      <c r="B4889" s="15">
        <v>45349</v>
      </c>
      <c r="E4889" s="120" t="s">
        <v>2</v>
      </c>
      <c r="F4889">
        <v>5659</v>
      </c>
    </row>
    <row r="4890" spans="1:6" x14ac:dyDescent="0.25">
      <c r="A4890">
        <v>8217</v>
      </c>
      <c r="B4890" s="15">
        <v>45350</v>
      </c>
      <c r="E4890" s="119"/>
      <c r="F4890">
        <v>5660</v>
      </c>
    </row>
    <row r="4891" spans="1:6" x14ac:dyDescent="0.25">
      <c r="A4891">
        <v>8217</v>
      </c>
      <c r="B4891" s="15">
        <v>45351</v>
      </c>
      <c r="E4891" s="120" t="s">
        <v>2</v>
      </c>
      <c r="F4891">
        <v>5661</v>
      </c>
    </row>
    <row r="4892" spans="1:6" x14ac:dyDescent="0.25">
      <c r="A4892">
        <v>8217</v>
      </c>
      <c r="B4892" s="15">
        <v>45352</v>
      </c>
      <c r="E4892" s="119"/>
      <c r="F4892">
        <v>5662</v>
      </c>
    </row>
    <row r="4893" spans="1:6" x14ac:dyDescent="0.25">
      <c r="A4893">
        <v>8217</v>
      </c>
      <c r="B4893" s="15">
        <v>45353</v>
      </c>
      <c r="E4893" s="119"/>
      <c r="F4893">
        <v>5663</v>
      </c>
    </row>
    <row r="4894" spans="1:6" x14ac:dyDescent="0.25">
      <c r="A4894">
        <v>8217</v>
      </c>
      <c r="B4894" s="15">
        <v>45354</v>
      </c>
      <c r="E4894" s="119"/>
      <c r="F4894">
        <v>5664</v>
      </c>
    </row>
    <row r="4895" spans="1:6" x14ac:dyDescent="0.25">
      <c r="A4895">
        <v>8217</v>
      </c>
      <c r="B4895" s="15">
        <v>45355</v>
      </c>
      <c r="E4895" s="120" t="s">
        <v>2</v>
      </c>
      <c r="F4895">
        <v>6337</v>
      </c>
    </row>
    <row r="4896" spans="1:6" x14ac:dyDescent="0.25">
      <c r="A4896">
        <v>8217</v>
      </c>
      <c r="B4896" s="15">
        <v>45356</v>
      </c>
      <c r="E4896" s="120" t="s">
        <v>2</v>
      </c>
      <c r="F4896">
        <v>6338</v>
      </c>
    </row>
    <row r="4897" spans="1:6" x14ac:dyDescent="0.25">
      <c r="A4897">
        <v>8217</v>
      </c>
      <c r="B4897" s="15">
        <v>45357</v>
      </c>
      <c r="E4897" s="119"/>
      <c r="F4897">
        <v>6339</v>
      </c>
    </row>
    <row r="4898" spans="1:6" x14ac:dyDescent="0.25">
      <c r="A4898">
        <v>8217</v>
      </c>
      <c r="B4898" s="15">
        <v>45358</v>
      </c>
      <c r="E4898" s="120" t="s">
        <v>2</v>
      </c>
      <c r="F4898">
        <v>6340</v>
      </c>
    </row>
    <row r="4899" spans="1:6" x14ac:dyDescent="0.25">
      <c r="A4899">
        <v>8217</v>
      </c>
      <c r="B4899" s="15">
        <v>45359</v>
      </c>
      <c r="E4899" s="119"/>
      <c r="F4899">
        <v>6341</v>
      </c>
    </row>
    <row r="4900" spans="1:6" x14ac:dyDescent="0.25">
      <c r="A4900">
        <v>8217</v>
      </c>
      <c r="B4900" s="15">
        <v>45360</v>
      </c>
      <c r="E4900" s="119"/>
      <c r="F4900">
        <v>6342</v>
      </c>
    </row>
    <row r="4901" spans="1:6" x14ac:dyDescent="0.25">
      <c r="A4901">
        <v>8217</v>
      </c>
      <c r="B4901" s="15">
        <v>45361</v>
      </c>
      <c r="E4901" s="119"/>
      <c r="F4901">
        <v>6343</v>
      </c>
    </row>
    <row r="4902" spans="1:6" x14ac:dyDescent="0.25">
      <c r="A4902">
        <v>8217</v>
      </c>
      <c r="B4902" s="15">
        <v>45362</v>
      </c>
      <c r="E4902" s="160" t="s">
        <v>266</v>
      </c>
      <c r="F4902">
        <v>6344</v>
      </c>
    </row>
    <row r="4903" spans="1:6" x14ac:dyDescent="0.25">
      <c r="A4903">
        <v>8217</v>
      </c>
      <c r="B4903" s="15">
        <v>45363</v>
      </c>
      <c r="E4903" s="160" t="s">
        <v>266</v>
      </c>
      <c r="F4903">
        <v>6345</v>
      </c>
    </row>
    <row r="4904" spans="1:6" x14ac:dyDescent="0.25">
      <c r="A4904">
        <v>8217</v>
      </c>
      <c r="B4904" s="15">
        <v>45364</v>
      </c>
      <c r="E4904" s="119"/>
      <c r="F4904">
        <v>6346</v>
      </c>
    </row>
    <row r="4905" spans="1:6" x14ac:dyDescent="0.25">
      <c r="A4905">
        <v>8217</v>
      </c>
      <c r="B4905" s="15">
        <v>45365</v>
      </c>
      <c r="E4905" s="197" t="s">
        <v>266</v>
      </c>
      <c r="F4905">
        <v>6347</v>
      </c>
    </row>
    <row r="4906" spans="1:6" x14ac:dyDescent="0.25">
      <c r="A4906">
        <v>8217</v>
      </c>
      <c r="B4906" s="15">
        <v>45366</v>
      </c>
      <c r="E4906" s="119"/>
      <c r="F4906">
        <v>6348</v>
      </c>
    </row>
    <row r="4907" spans="1:6" x14ac:dyDescent="0.25">
      <c r="A4907">
        <v>8217</v>
      </c>
      <c r="B4907" s="15">
        <v>45367</v>
      </c>
      <c r="E4907" s="119"/>
      <c r="F4907">
        <v>6349</v>
      </c>
    </row>
    <row r="4908" spans="1:6" x14ac:dyDescent="0.25">
      <c r="A4908">
        <v>8217</v>
      </c>
      <c r="B4908" s="15">
        <v>45368</v>
      </c>
      <c r="E4908" s="119"/>
      <c r="F4908">
        <v>6350</v>
      </c>
    </row>
    <row r="4909" spans="1:6" x14ac:dyDescent="0.25">
      <c r="A4909">
        <v>8217</v>
      </c>
      <c r="B4909" s="15">
        <v>45369</v>
      </c>
      <c r="E4909" s="160" t="s">
        <v>266</v>
      </c>
      <c r="F4909">
        <v>6351</v>
      </c>
    </row>
    <row r="4910" spans="1:6" x14ac:dyDescent="0.25">
      <c r="A4910">
        <v>8217</v>
      </c>
      <c r="B4910" s="15">
        <v>45370</v>
      </c>
      <c r="E4910" s="160" t="s">
        <v>266</v>
      </c>
      <c r="F4910">
        <v>6352</v>
      </c>
    </row>
    <row r="4911" spans="1:6" x14ac:dyDescent="0.25">
      <c r="A4911">
        <v>8217</v>
      </c>
      <c r="B4911" s="15">
        <v>45371</v>
      </c>
      <c r="E4911" s="119"/>
      <c r="F4911">
        <v>6353</v>
      </c>
    </row>
    <row r="4912" spans="1:6" x14ac:dyDescent="0.25">
      <c r="A4912">
        <v>8217</v>
      </c>
      <c r="B4912" s="15">
        <v>45372</v>
      </c>
      <c r="E4912" s="197" t="s">
        <v>266</v>
      </c>
      <c r="F4912">
        <v>6354</v>
      </c>
    </row>
    <row r="4913" spans="1:6" x14ac:dyDescent="0.25">
      <c r="A4913">
        <v>8217</v>
      </c>
      <c r="B4913" s="15">
        <v>45373</v>
      </c>
      <c r="E4913" s="119"/>
      <c r="F4913">
        <v>6355</v>
      </c>
    </row>
    <row r="4914" spans="1:6" x14ac:dyDescent="0.25">
      <c r="A4914">
        <v>8217</v>
      </c>
      <c r="B4914" s="15">
        <v>45374</v>
      </c>
      <c r="E4914" s="119"/>
      <c r="F4914">
        <v>6356</v>
      </c>
    </row>
    <row r="4915" spans="1:6" x14ac:dyDescent="0.25">
      <c r="A4915">
        <v>8217</v>
      </c>
      <c r="B4915" s="15">
        <v>45375</v>
      </c>
      <c r="E4915" s="119"/>
      <c r="F4915">
        <v>6357</v>
      </c>
    </row>
    <row r="4916" spans="1:6" x14ac:dyDescent="0.25">
      <c r="A4916">
        <v>8217</v>
      </c>
      <c r="B4916" s="15">
        <v>45376</v>
      </c>
      <c r="E4916" s="160" t="s">
        <v>266</v>
      </c>
      <c r="F4916">
        <v>6358</v>
      </c>
    </row>
    <row r="4917" spans="1:6" x14ac:dyDescent="0.25">
      <c r="A4917">
        <v>8217</v>
      </c>
      <c r="B4917" s="15">
        <v>45377</v>
      </c>
      <c r="E4917" s="160" t="s">
        <v>266</v>
      </c>
      <c r="F4917">
        <v>6359</v>
      </c>
    </row>
    <row r="4918" spans="1:6" x14ac:dyDescent="0.25">
      <c r="A4918">
        <v>8217</v>
      </c>
      <c r="B4918" s="15">
        <v>45378</v>
      </c>
      <c r="E4918" s="119"/>
      <c r="F4918">
        <v>6360</v>
      </c>
    </row>
    <row r="4919" spans="1:6" x14ac:dyDescent="0.25">
      <c r="A4919">
        <v>8217</v>
      </c>
      <c r="B4919" s="15">
        <v>45379</v>
      </c>
      <c r="E4919" s="197" t="s">
        <v>266</v>
      </c>
      <c r="F4919">
        <v>6361</v>
      </c>
    </row>
    <row r="4920" spans="1:6" x14ac:dyDescent="0.25">
      <c r="A4920">
        <v>8217</v>
      </c>
      <c r="B4920" s="15">
        <v>45380</v>
      </c>
      <c r="E4920" s="119"/>
      <c r="F4920">
        <v>6362</v>
      </c>
    </row>
    <row r="4921" spans="1:6" x14ac:dyDescent="0.25">
      <c r="A4921">
        <v>8217</v>
      </c>
      <c r="B4921" s="15">
        <v>45381</v>
      </c>
      <c r="E4921" s="119"/>
      <c r="F4921">
        <v>6363</v>
      </c>
    </row>
    <row r="4922" spans="1:6" x14ac:dyDescent="0.25">
      <c r="A4922">
        <v>8217</v>
      </c>
      <c r="B4922" s="15">
        <v>45382</v>
      </c>
      <c r="E4922" s="119"/>
      <c r="F4922">
        <v>6364</v>
      </c>
    </row>
    <row r="4923" spans="1:6" x14ac:dyDescent="0.25">
      <c r="A4923">
        <v>8217</v>
      </c>
      <c r="B4923" s="15">
        <v>45383</v>
      </c>
      <c r="E4923" s="119"/>
      <c r="F4923">
        <v>7184</v>
      </c>
    </row>
    <row r="4924" spans="1:6" x14ac:dyDescent="0.25">
      <c r="A4924">
        <v>8217</v>
      </c>
      <c r="B4924" s="15">
        <v>45384</v>
      </c>
      <c r="E4924" s="120" t="s">
        <v>2</v>
      </c>
      <c r="F4924">
        <v>7185</v>
      </c>
    </row>
    <row r="4925" spans="1:6" x14ac:dyDescent="0.25">
      <c r="A4925">
        <v>8217</v>
      </c>
      <c r="B4925" s="15">
        <v>45385</v>
      </c>
      <c r="E4925" s="119"/>
      <c r="F4925">
        <v>7186</v>
      </c>
    </row>
    <row r="4926" spans="1:6" x14ac:dyDescent="0.25">
      <c r="A4926">
        <v>8217</v>
      </c>
      <c r="B4926" s="15">
        <v>45386</v>
      </c>
      <c r="E4926" s="159" t="s">
        <v>266</v>
      </c>
      <c r="F4926">
        <v>7187</v>
      </c>
    </row>
    <row r="4927" spans="1:6" x14ac:dyDescent="0.25">
      <c r="A4927">
        <v>8217</v>
      </c>
      <c r="B4927" s="15">
        <v>45387</v>
      </c>
      <c r="E4927" s="119"/>
      <c r="F4927">
        <v>7188</v>
      </c>
    </row>
    <row r="4928" spans="1:6" x14ac:dyDescent="0.25">
      <c r="A4928">
        <v>8217</v>
      </c>
      <c r="B4928" s="15">
        <v>45388</v>
      </c>
      <c r="E4928" s="119"/>
      <c r="F4928">
        <v>7189</v>
      </c>
    </row>
    <row r="4929" spans="1:6" x14ac:dyDescent="0.25">
      <c r="A4929">
        <v>8217</v>
      </c>
      <c r="B4929" s="15">
        <v>45389</v>
      </c>
      <c r="E4929" s="119"/>
      <c r="F4929">
        <v>7190</v>
      </c>
    </row>
    <row r="4930" spans="1:6" x14ac:dyDescent="0.25">
      <c r="A4930">
        <v>8217</v>
      </c>
      <c r="B4930" s="15">
        <v>45390</v>
      </c>
      <c r="E4930" s="160" t="s">
        <v>266</v>
      </c>
      <c r="F4930">
        <v>7191</v>
      </c>
    </row>
    <row r="4931" spans="1:6" x14ac:dyDescent="0.25">
      <c r="A4931">
        <v>8217</v>
      </c>
      <c r="B4931" s="15">
        <v>45391</v>
      </c>
      <c r="E4931" s="160" t="s">
        <v>266</v>
      </c>
      <c r="F4931">
        <v>7192</v>
      </c>
    </row>
    <row r="4932" spans="1:6" x14ac:dyDescent="0.25">
      <c r="A4932">
        <v>8217</v>
      </c>
      <c r="B4932" s="15">
        <v>45392</v>
      </c>
      <c r="E4932" s="119"/>
      <c r="F4932">
        <v>7193</v>
      </c>
    </row>
    <row r="4933" spans="1:6" x14ac:dyDescent="0.25">
      <c r="A4933">
        <v>8217</v>
      </c>
      <c r="B4933" s="15">
        <v>45393</v>
      </c>
      <c r="E4933" s="197" t="s">
        <v>266</v>
      </c>
      <c r="F4933">
        <v>7194</v>
      </c>
    </row>
    <row r="4934" spans="1:6" x14ac:dyDescent="0.25">
      <c r="A4934">
        <v>8217</v>
      </c>
      <c r="B4934" s="15">
        <v>45394</v>
      </c>
      <c r="E4934" s="119"/>
      <c r="F4934">
        <v>7195</v>
      </c>
    </row>
    <row r="4935" spans="1:6" x14ac:dyDescent="0.25">
      <c r="A4935">
        <v>8217</v>
      </c>
      <c r="B4935" s="15">
        <v>45395</v>
      </c>
      <c r="E4935" s="119"/>
      <c r="F4935">
        <v>7196</v>
      </c>
    </row>
    <row r="4936" spans="1:6" x14ac:dyDescent="0.25">
      <c r="A4936">
        <v>8217</v>
      </c>
      <c r="B4936" s="15">
        <v>45396</v>
      </c>
      <c r="E4936" s="119"/>
      <c r="F4936">
        <v>7197</v>
      </c>
    </row>
    <row r="4937" spans="1:6" x14ac:dyDescent="0.25">
      <c r="A4937">
        <v>8217</v>
      </c>
      <c r="B4937" s="15">
        <v>45397</v>
      </c>
      <c r="E4937" s="160" t="s">
        <v>266</v>
      </c>
      <c r="F4937">
        <v>7198</v>
      </c>
    </row>
    <row r="4938" spans="1:6" x14ac:dyDescent="0.25">
      <c r="A4938">
        <v>8217</v>
      </c>
      <c r="B4938" s="15">
        <v>45398</v>
      </c>
      <c r="E4938" s="160" t="s">
        <v>266</v>
      </c>
      <c r="F4938">
        <v>7199</v>
      </c>
    </row>
    <row r="4939" spans="1:6" x14ac:dyDescent="0.25">
      <c r="A4939">
        <v>8217</v>
      </c>
      <c r="B4939" s="15">
        <v>45399</v>
      </c>
      <c r="E4939" s="119"/>
      <c r="F4939">
        <v>7200</v>
      </c>
    </row>
    <row r="4940" spans="1:6" x14ac:dyDescent="0.25">
      <c r="A4940">
        <v>8217</v>
      </c>
      <c r="B4940" s="15">
        <v>45400</v>
      </c>
      <c r="E4940" s="122" t="s">
        <v>2</v>
      </c>
      <c r="F4940">
        <v>7201</v>
      </c>
    </row>
    <row r="4941" spans="1:6" x14ac:dyDescent="0.25">
      <c r="A4941">
        <v>8217</v>
      </c>
      <c r="B4941" s="15">
        <v>45401</v>
      </c>
      <c r="E4941" s="119"/>
      <c r="F4941">
        <v>7202</v>
      </c>
    </row>
    <row r="4942" spans="1:6" x14ac:dyDescent="0.25">
      <c r="A4942">
        <v>8217</v>
      </c>
      <c r="B4942" s="15">
        <v>45402</v>
      </c>
      <c r="E4942" s="119"/>
      <c r="F4942">
        <v>7203</v>
      </c>
    </row>
    <row r="4943" spans="1:6" x14ac:dyDescent="0.25">
      <c r="A4943">
        <v>8217</v>
      </c>
      <c r="B4943" s="15">
        <v>45403</v>
      </c>
      <c r="E4943" s="119"/>
      <c r="F4943">
        <v>7204</v>
      </c>
    </row>
    <row r="4944" spans="1:6" x14ac:dyDescent="0.25">
      <c r="A4944">
        <v>8217</v>
      </c>
      <c r="B4944" s="15">
        <v>45404</v>
      </c>
      <c r="E4944" s="160" t="s">
        <v>266</v>
      </c>
      <c r="F4944">
        <v>7205</v>
      </c>
    </row>
    <row r="4945" spans="1:6" x14ac:dyDescent="0.25">
      <c r="A4945">
        <v>8217</v>
      </c>
      <c r="B4945" s="15">
        <v>45405</v>
      </c>
      <c r="E4945" s="160" t="s">
        <v>266</v>
      </c>
      <c r="F4945">
        <v>7206</v>
      </c>
    </row>
    <row r="4946" spans="1:6" x14ac:dyDescent="0.25">
      <c r="A4946">
        <v>8217</v>
      </c>
      <c r="B4946" s="15">
        <v>45406</v>
      </c>
      <c r="E4946" s="119"/>
      <c r="F4946">
        <v>7207</v>
      </c>
    </row>
    <row r="4947" spans="1:6" x14ac:dyDescent="0.25">
      <c r="A4947">
        <v>8217</v>
      </c>
      <c r="B4947" s="15">
        <v>45407</v>
      </c>
      <c r="E4947" s="197" t="s">
        <v>266</v>
      </c>
      <c r="F4947">
        <v>7208</v>
      </c>
    </row>
    <row r="4948" spans="1:6" x14ac:dyDescent="0.25">
      <c r="A4948">
        <v>8217</v>
      </c>
      <c r="B4948" s="15">
        <v>45408</v>
      </c>
      <c r="E4948" s="119"/>
      <c r="F4948">
        <v>7209</v>
      </c>
    </row>
    <row r="4949" spans="1:6" x14ac:dyDescent="0.25">
      <c r="A4949">
        <v>8217</v>
      </c>
      <c r="B4949" s="15">
        <v>45409</v>
      </c>
      <c r="E4949" s="119"/>
      <c r="F4949">
        <v>7210</v>
      </c>
    </row>
    <row r="4950" spans="1:6" x14ac:dyDescent="0.25">
      <c r="A4950">
        <v>8217</v>
      </c>
      <c r="B4950" s="15">
        <v>45410</v>
      </c>
      <c r="E4950" s="119"/>
      <c r="F4950">
        <v>7211</v>
      </c>
    </row>
    <row r="4951" spans="1:6" x14ac:dyDescent="0.25">
      <c r="A4951">
        <v>8217</v>
      </c>
      <c r="B4951" s="15">
        <v>45411</v>
      </c>
      <c r="E4951" s="160" t="s">
        <v>266</v>
      </c>
      <c r="F4951">
        <v>7212</v>
      </c>
    </row>
    <row r="4952" spans="1:6" x14ac:dyDescent="0.25">
      <c r="A4952">
        <v>8217</v>
      </c>
      <c r="B4952" s="15">
        <v>45412</v>
      </c>
      <c r="E4952" s="160" t="s">
        <v>266</v>
      </c>
      <c r="F4952">
        <v>7213</v>
      </c>
    </row>
    <row r="4953" spans="1:6" x14ac:dyDescent="0.25">
      <c r="A4953">
        <v>8217</v>
      </c>
      <c r="B4953" s="15">
        <v>45413</v>
      </c>
      <c r="E4953" s="119"/>
      <c r="F4953">
        <v>7214</v>
      </c>
    </row>
    <row r="4954" spans="1:6" x14ac:dyDescent="0.25">
      <c r="A4954">
        <v>8217</v>
      </c>
      <c r="B4954" s="15">
        <v>45414</v>
      </c>
      <c r="E4954" s="197" t="s">
        <v>266</v>
      </c>
      <c r="F4954">
        <v>7215</v>
      </c>
    </row>
    <row r="4955" spans="1:6" x14ac:dyDescent="0.25">
      <c r="A4955">
        <v>8217</v>
      </c>
      <c r="B4955" s="15">
        <v>45415</v>
      </c>
      <c r="E4955" s="119"/>
      <c r="F4955">
        <v>7216</v>
      </c>
    </row>
    <row r="4956" spans="1:6" x14ac:dyDescent="0.25">
      <c r="A4956">
        <v>8217</v>
      </c>
      <c r="B4956" s="15">
        <v>45416</v>
      </c>
      <c r="E4956" s="119"/>
      <c r="F4956">
        <v>7217</v>
      </c>
    </row>
    <row r="4957" spans="1:6" x14ac:dyDescent="0.25">
      <c r="A4957">
        <v>8217</v>
      </c>
      <c r="B4957" s="15">
        <v>45417</v>
      </c>
      <c r="E4957" s="119"/>
      <c r="F4957">
        <v>7218</v>
      </c>
    </row>
    <row r="4958" spans="1:6" x14ac:dyDescent="0.25">
      <c r="A4958">
        <v>8218</v>
      </c>
      <c r="B4958" s="15">
        <v>45264</v>
      </c>
      <c r="E4958" s="155"/>
      <c r="F4958">
        <v>3782</v>
      </c>
    </row>
    <row r="4959" spans="1:6" x14ac:dyDescent="0.25">
      <c r="A4959">
        <v>8218</v>
      </c>
      <c r="B4959" s="15">
        <v>45265</v>
      </c>
      <c r="E4959" s="119"/>
      <c r="F4959">
        <v>3783</v>
      </c>
    </row>
    <row r="4960" spans="1:6" x14ac:dyDescent="0.25">
      <c r="A4960">
        <v>8218</v>
      </c>
      <c r="B4960" s="15">
        <v>45266</v>
      </c>
      <c r="E4960" s="160" t="s">
        <v>266</v>
      </c>
      <c r="F4960">
        <v>3784</v>
      </c>
    </row>
    <row r="4961" spans="1:6" x14ac:dyDescent="0.25">
      <c r="A4961">
        <v>8218</v>
      </c>
      <c r="B4961" s="15">
        <v>45267</v>
      </c>
      <c r="E4961" s="160" t="s">
        <v>266</v>
      </c>
      <c r="F4961">
        <v>3785</v>
      </c>
    </row>
    <row r="4962" spans="1:6" x14ac:dyDescent="0.25">
      <c r="A4962">
        <v>8218</v>
      </c>
      <c r="B4962" s="15">
        <v>45268</v>
      </c>
      <c r="E4962" s="160" t="s">
        <v>266</v>
      </c>
      <c r="F4962">
        <v>3786</v>
      </c>
    </row>
    <row r="4963" spans="1:6" x14ac:dyDescent="0.25">
      <c r="A4963">
        <v>8218</v>
      </c>
      <c r="B4963" s="15">
        <v>45269</v>
      </c>
      <c r="E4963" s="157"/>
      <c r="F4963">
        <v>3787</v>
      </c>
    </row>
    <row r="4964" spans="1:6" x14ac:dyDescent="0.25">
      <c r="A4964">
        <v>8218</v>
      </c>
      <c r="B4964" s="15">
        <v>45270</v>
      </c>
      <c r="E4964" s="119"/>
      <c r="F4964">
        <v>3788</v>
      </c>
    </row>
    <row r="4965" spans="1:6" x14ac:dyDescent="0.25">
      <c r="A4965">
        <v>8218</v>
      </c>
      <c r="B4965" s="15">
        <v>45271</v>
      </c>
      <c r="E4965" s="119"/>
      <c r="F4965">
        <v>3789</v>
      </c>
    </row>
    <row r="4966" spans="1:6" x14ac:dyDescent="0.25">
      <c r="A4966">
        <v>8218</v>
      </c>
      <c r="B4966" s="15">
        <v>45272</v>
      </c>
      <c r="E4966" s="119"/>
      <c r="F4966">
        <v>3790</v>
      </c>
    </row>
    <row r="4967" spans="1:6" x14ac:dyDescent="0.25">
      <c r="A4967">
        <v>8218</v>
      </c>
      <c r="B4967" s="15">
        <v>45273</v>
      </c>
      <c r="E4967" s="160" t="s">
        <v>266</v>
      </c>
      <c r="F4967">
        <v>3791</v>
      </c>
    </row>
    <row r="4968" spans="1:6" x14ac:dyDescent="0.25">
      <c r="A4968">
        <v>8218</v>
      </c>
      <c r="B4968" s="15">
        <v>45274</v>
      </c>
      <c r="E4968" s="160" t="s">
        <v>266</v>
      </c>
      <c r="F4968">
        <v>3792</v>
      </c>
    </row>
    <row r="4969" spans="1:6" x14ac:dyDescent="0.25">
      <c r="A4969">
        <v>8218</v>
      </c>
      <c r="B4969" s="15">
        <v>45275</v>
      </c>
      <c r="E4969" s="160" t="s">
        <v>266</v>
      </c>
      <c r="F4969">
        <v>3793</v>
      </c>
    </row>
    <row r="4970" spans="1:6" x14ac:dyDescent="0.25">
      <c r="A4970">
        <v>8218</v>
      </c>
      <c r="B4970" s="15">
        <v>45276</v>
      </c>
      <c r="E4970" s="157"/>
      <c r="F4970">
        <v>3794</v>
      </c>
    </row>
    <row r="4971" spans="1:6" x14ac:dyDescent="0.25">
      <c r="A4971">
        <v>8218</v>
      </c>
      <c r="B4971" s="15">
        <v>45277</v>
      </c>
      <c r="E4971" s="119"/>
      <c r="F4971">
        <v>3795</v>
      </c>
    </row>
    <row r="4972" spans="1:6" x14ac:dyDescent="0.25">
      <c r="A4972">
        <v>8218</v>
      </c>
      <c r="B4972" s="15">
        <v>45278</v>
      </c>
      <c r="E4972" s="155"/>
      <c r="F4972">
        <v>3796</v>
      </c>
    </row>
    <row r="4973" spans="1:6" x14ac:dyDescent="0.25">
      <c r="A4973">
        <v>8218</v>
      </c>
      <c r="B4973" s="15">
        <v>45279</v>
      </c>
      <c r="E4973" s="119"/>
      <c r="F4973">
        <v>3797</v>
      </c>
    </row>
    <row r="4974" spans="1:6" x14ac:dyDescent="0.25">
      <c r="A4974">
        <v>8218</v>
      </c>
      <c r="B4974" s="15">
        <v>45280</v>
      </c>
      <c r="E4974" s="160" t="s">
        <v>266</v>
      </c>
      <c r="F4974">
        <v>3798</v>
      </c>
    </row>
    <row r="4975" spans="1:6" x14ac:dyDescent="0.25">
      <c r="A4975">
        <v>8218</v>
      </c>
      <c r="B4975" s="15">
        <v>45281</v>
      </c>
      <c r="E4975" s="120" t="s">
        <v>2</v>
      </c>
      <c r="F4975">
        <v>3799</v>
      </c>
    </row>
    <row r="4976" spans="1:6" x14ac:dyDescent="0.25">
      <c r="A4976">
        <v>8218</v>
      </c>
      <c r="B4976" s="15">
        <v>45282</v>
      </c>
      <c r="E4976" s="120" t="s">
        <v>2</v>
      </c>
      <c r="F4976">
        <v>3800</v>
      </c>
    </row>
    <row r="4977" spans="1:6" x14ac:dyDescent="0.25">
      <c r="A4977">
        <v>8218</v>
      </c>
      <c r="B4977" s="15">
        <v>45283</v>
      </c>
      <c r="E4977" s="157"/>
      <c r="F4977">
        <v>3801</v>
      </c>
    </row>
    <row r="4978" spans="1:6" x14ac:dyDescent="0.25">
      <c r="A4978">
        <v>8218</v>
      </c>
      <c r="B4978" s="15">
        <v>45284</v>
      </c>
      <c r="E4978" s="119"/>
      <c r="F4978">
        <v>3802</v>
      </c>
    </row>
    <row r="4979" spans="1:6" x14ac:dyDescent="0.25">
      <c r="A4979">
        <v>8218</v>
      </c>
      <c r="B4979" s="15">
        <v>45285</v>
      </c>
      <c r="E4979" s="119"/>
      <c r="F4979">
        <v>3803</v>
      </c>
    </row>
    <row r="4980" spans="1:6" x14ac:dyDescent="0.25">
      <c r="A4980">
        <v>8218</v>
      </c>
      <c r="B4980" s="15">
        <v>45286</v>
      </c>
      <c r="E4980" s="119"/>
      <c r="F4980">
        <v>3804</v>
      </c>
    </row>
    <row r="4981" spans="1:6" x14ac:dyDescent="0.25">
      <c r="A4981">
        <v>8218</v>
      </c>
      <c r="B4981" s="15">
        <v>45287</v>
      </c>
      <c r="E4981" s="160" t="s">
        <v>266</v>
      </c>
      <c r="F4981">
        <v>3805</v>
      </c>
    </row>
    <row r="4982" spans="1:6" x14ac:dyDescent="0.25">
      <c r="A4982">
        <v>8218</v>
      </c>
      <c r="B4982" s="15">
        <v>45288</v>
      </c>
      <c r="E4982" s="160" t="s">
        <v>266</v>
      </c>
      <c r="F4982">
        <v>3806</v>
      </c>
    </row>
    <row r="4983" spans="1:6" x14ac:dyDescent="0.25">
      <c r="A4983">
        <v>8218</v>
      </c>
      <c r="B4983" s="15">
        <v>45289</v>
      </c>
      <c r="E4983" s="160" t="s">
        <v>175</v>
      </c>
      <c r="F4983">
        <v>3807</v>
      </c>
    </row>
    <row r="4984" spans="1:6" x14ac:dyDescent="0.25">
      <c r="A4984">
        <v>8218</v>
      </c>
      <c r="B4984" s="15">
        <v>45290</v>
      </c>
      <c r="E4984" s="157"/>
      <c r="F4984">
        <v>3808</v>
      </c>
    </row>
    <row r="4985" spans="1:6" x14ac:dyDescent="0.25">
      <c r="A4985">
        <v>8218</v>
      </c>
      <c r="B4985" s="15">
        <v>45291</v>
      </c>
      <c r="E4985" s="119"/>
      <c r="F4985">
        <v>3809</v>
      </c>
    </row>
    <row r="4986" spans="1:6" x14ac:dyDescent="0.25">
      <c r="A4986">
        <v>8218</v>
      </c>
      <c r="B4986" s="15">
        <v>45292</v>
      </c>
      <c r="E4986" s="119"/>
      <c r="F4986">
        <v>4559</v>
      </c>
    </row>
    <row r="4987" spans="1:6" x14ac:dyDescent="0.25">
      <c r="A4987">
        <v>8218</v>
      </c>
      <c r="B4987" s="15">
        <v>45293</v>
      </c>
      <c r="E4987" s="119"/>
      <c r="F4987">
        <v>4560</v>
      </c>
    </row>
    <row r="4988" spans="1:6" x14ac:dyDescent="0.25">
      <c r="A4988">
        <v>8218</v>
      </c>
      <c r="B4988" s="15">
        <v>45294</v>
      </c>
      <c r="E4988" s="160" t="s">
        <v>266</v>
      </c>
      <c r="F4988">
        <v>4561</v>
      </c>
    </row>
    <row r="4989" spans="1:6" x14ac:dyDescent="0.25">
      <c r="A4989">
        <v>8218</v>
      </c>
      <c r="B4989" s="15">
        <v>45295</v>
      </c>
      <c r="E4989" s="160" t="s">
        <v>266</v>
      </c>
      <c r="F4989">
        <v>4562</v>
      </c>
    </row>
    <row r="4990" spans="1:6" x14ac:dyDescent="0.25">
      <c r="A4990">
        <v>8218</v>
      </c>
      <c r="B4990" s="15">
        <v>45296</v>
      </c>
      <c r="E4990" s="160" t="s">
        <v>266</v>
      </c>
      <c r="F4990">
        <v>4563</v>
      </c>
    </row>
    <row r="4991" spans="1:6" x14ac:dyDescent="0.25">
      <c r="A4991">
        <v>8218</v>
      </c>
      <c r="B4991" s="15">
        <v>45297</v>
      </c>
      <c r="E4991" s="157"/>
      <c r="F4991">
        <v>4564</v>
      </c>
    </row>
    <row r="4992" spans="1:6" x14ac:dyDescent="0.25">
      <c r="A4992">
        <v>8218</v>
      </c>
      <c r="B4992" s="15">
        <v>45298</v>
      </c>
      <c r="E4992" s="119"/>
      <c r="F4992">
        <v>4565</v>
      </c>
    </row>
    <row r="4993" spans="1:6" x14ac:dyDescent="0.25">
      <c r="A4993">
        <v>8218</v>
      </c>
      <c r="B4993" s="15">
        <v>45299</v>
      </c>
      <c r="E4993" s="119"/>
      <c r="F4993">
        <v>4566</v>
      </c>
    </row>
    <row r="4994" spans="1:6" x14ac:dyDescent="0.25">
      <c r="A4994">
        <v>8218</v>
      </c>
      <c r="B4994" s="15">
        <v>45300</v>
      </c>
      <c r="E4994" s="119"/>
      <c r="F4994">
        <v>4567</v>
      </c>
    </row>
    <row r="4995" spans="1:6" x14ac:dyDescent="0.25">
      <c r="A4995">
        <v>8218</v>
      </c>
      <c r="B4995" s="15">
        <v>45301</v>
      </c>
      <c r="E4995" s="160" t="s">
        <v>266</v>
      </c>
      <c r="F4995">
        <v>4568</v>
      </c>
    </row>
    <row r="4996" spans="1:6" x14ac:dyDescent="0.25">
      <c r="A4996">
        <v>8218</v>
      </c>
      <c r="B4996" s="15">
        <v>45302</v>
      </c>
      <c r="E4996" s="160" t="s">
        <v>266</v>
      </c>
      <c r="F4996">
        <v>4569</v>
      </c>
    </row>
    <row r="4997" spans="1:6" x14ac:dyDescent="0.25">
      <c r="A4997">
        <v>8218</v>
      </c>
      <c r="B4997" s="15">
        <v>45303</v>
      </c>
      <c r="E4997" s="120" t="s">
        <v>2</v>
      </c>
      <c r="F4997">
        <v>4570</v>
      </c>
    </row>
    <row r="4998" spans="1:6" x14ac:dyDescent="0.25">
      <c r="A4998">
        <v>8218</v>
      </c>
      <c r="B4998" s="15">
        <v>45304</v>
      </c>
      <c r="E4998" s="157"/>
      <c r="F4998">
        <v>4571</v>
      </c>
    </row>
    <row r="4999" spans="1:6" x14ac:dyDescent="0.25">
      <c r="A4999">
        <v>8218</v>
      </c>
      <c r="B4999" s="15">
        <v>45305</v>
      </c>
      <c r="E4999" s="119"/>
      <c r="F4999">
        <v>4572</v>
      </c>
    </row>
    <row r="5000" spans="1:6" x14ac:dyDescent="0.25">
      <c r="A5000">
        <v>8218</v>
      </c>
      <c r="B5000" s="15">
        <v>45306</v>
      </c>
      <c r="E5000" s="155"/>
      <c r="F5000">
        <v>4573</v>
      </c>
    </row>
    <row r="5001" spans="1:6" x14ac:dyDescent="0.25">
      <c r="A5001">
        <v>8218</v>
      </c>
      <c r="B5001" s="15">
        <v>45307</v>
      </c>
      <c r="E5001" s="119"/>
      <c r="F5001">
        <v>4574</v>
      </c>
    </row>
    <row r="5002" spans="1:6" x14ac:dyDescent="0.25">
      <c r="A5002">
        <v>8218</v>
      </c>
      <c r="B5002" s="15">
        <v>45308</v>
      </c>
      <c r="E5002" s="160" t="s">
        <v>266</v>
      </c>
      <c r="F5002">
        <v>4575</v>
      </c>
    </row>
    <row r="5003" spans="1:6" x14ac:dyDescent="0.25">
      <c r="A5003">
        <v>8218</v>
      </c>
      <c r="B5003" s="15">
        <v>45309</v>
      </c>
      <c r="E5003" s="160" t="s">
        <v>266</v>
      </c>
      <c r="F5003">
        <v>4576</v>
      </c>
    </row>
    <row r="5004" spans="1:6" x14ac:dyDescent="0.25">
      <c r="A5004">
        <v>8218</v>
      </c>
      <c r="B5004" s="15">
        <v>45310</v>
      </c>
      <c r="E5004" s="160" t="s">
        <v>266</v>
      </c>
      <c r="F5004">
        <v>4577</v>
      </c>
    </row>
    <row r="5005" spans="1:6" x14ac:dyDescent="0.25">
      <c r="A5005">
        <v>8218</v>
      </c>
      <c r="B5005" s="15">
        <v>45311</v>
      </c>
      <c r="E5005" s="157"/>
      <c r="F5005">
        <v>4578</v>
      </c>
    </row>
    <row r="5006" spans="1:6" x14ac:dyDescent="0.25">
      <c r="A5006">
        <v>8218</v>
      </c>
      <c r="B5006" s="15">
        <v>45312</v>
      </c>
      <c r="E5006" s="119"/>
      <c r="F5006">
        <v>4579</v>
      </c>
    </row>
    <row r="5007" spans="1:6" x14ac:dyDescent="0.25">
      <c r="A5007">
        <v>8218</v>
      </c>
      <c r="B5007" s="15">
        <v>45313</v>
      </c>
      <c r="E5007" s="119"/>
      <c r="F5007">
        <v>4580</v>
      </c>
    </row>
    <row r="5008" spans="1:6" x14ac:dyDescent="0.25">
      <c r="A5008">
        <v>8218</v>
      </c>
      <c r="B5008" s="15">
        <v>45314</v>
      </c>
      <c r="E5008" s="119"/>
      <c r="F5008">
        <v>4581</v>
      </c>
    </row>
    <row r="5009" spans="1:6" x14ac:dyDescent="0.25">
      <c r="A5009">
        <v>8218</v>
      </c>
      <c r="B5009" s="15">
        <v>45315</v>
      </c>
      <c r="E5009" s="160" t="s">
        <v>266</v>
      </c>
      <c r="F5009">
        <v>4582</v>
      </c>
    </row>
    <row r="5010" spans="1:6" x14ac:dyDescent="0.25">
      <c r="A5010">
        <v>8218</v>
      </c>
      <c r="B5010" s="15">
        <v>45316</v>
      </c>
      <c r="E5010" s="160" t="s">
        <v>266</v>
      </c>
      <c r="F5010">
        <v>4583</v>
      </c>
    </row>
    <row r="5011" spans="1:6" x14ac:dyDescent="0.25">
      <c r="A5011">
        <v>8218</v>
      </c>
      <c r="B5011" s="15">
        <v>45317</v>
      </c>
      <c r="E5011" s="160" t="s">
        <v>266</v>
      </c>
      <c r="F5011">
        <v>4584</v>
      </c>
    </row>
    <row r="5012" spans="1:6" x14ac:dyDescent="0.25">
      <c r="A5012">
        <v>8218</v>
      </c>
      <c r="B5012" s="15">
        <v>45318</v>
      </c>
      <c r="E5012" s="157"/>
      <c r="F5012">
        <v>4585</v>
      </c>
    </row>
    <row r="5013" spans="1:6" x14ac:dyDescent="0.25">
      <c r="A5013">
        <v>8218</v>
      </c>
      <c r="B5013" s="15">
        <v>45319</v>
      </c>
      <c r="E5013" s="119"/>
      <c r="F5013">
        <v>4586</v>
      </c>
    </row>
    <row r="5014" spans="1:6" x14ac:dyDescent="0.25">
      <c r="A5014">
        <v>8218</v>
      </c>
      <c r="B5014" s="15">
        <v>45320</v>
      </c>
      <c r="E5014" s="155"/>
      <c r="F5014">
        <v>4587</v>
      </c>
    </row>
    <row r="5015" spans="1:6" x14ac:dyDescent="0.25">
      <c r="A5015">
        <v>8218</v>
      </c>
      <c r="B5015" s="15">
        <v>45321</v>
      </c>
      <c r="E5015" s="119"/>
      <c r="F5015">
        <v>4588</v>
      </c>
    </row>
    <row r="5016" spans="1:6" x14ac:dyDescent="0.25">
      <c r="A5016">
        <v>8218</v>
      </c>
      <c r="B5016" s="15">
        <v>45322</v>
      </c>
      <c r="E5016" s="160" t="s">
        <v>266</v>
      </c>
      <c r="F5016">
        <v>4589</v>
      </c>
    </row>
    <row r="5017" spans="1:6" x14ac:dyDescent="0.25">
      <c r="A5017">
        <v>8218</v>
      </c>
      <c r="B5017" s="15">
        <v>45323</v>
      </c>
      <c r="E5017" s="160" t="s">
        <v>266</v>
      </c>
      <c r="F5017">
        <v>4590</v>
      </c>
    </row>
    <row r="5018" spans="1:6" x14ac:dyDescent="0.25">
      <c r="A5018">
        <v>8218</v>
      </c>
      <c r="B5018" s="15">
        <v>45324</v>
      </c>
      <c r="E5018" s="160" t="s">
        <v>266</v>
      </c>
      <c r="F5018">
        <v>4591</v>
      </c>
    </row>
    <row r="5019" spans="1:6" x14ac:dyDescent="0.25">
      <c r="A5019">
        <v>8218</v>
      </c>
      <c r="B5019" s="15">
        <v>45325</v>
      </c>
      <c r="E5019" s="157"/>
      <c r="F5019">
        <v>4592</v>
      </c>
    </row>
    <row r="5020" spans="1:6" x14ac:dyDescent="0.25">
      <c r="A5020">
        <v>8218</v>
      </c>
      <c r="B5020" s="15">
        <v>45326</v>
      </c>
      <c r="E5020" s="119"/>
      <c r="F5020">
        <v>4593</v>
      </c>
    </row>
    <row r="5021" spans="1:6" x14ac:dyDescent="0.25">
      <c r="A5021">
        <v>8218</v>
      </c>
      <c r="B5021" s="15">
        <v>45327</v>
      </c>
      <c r="E5021" s="119"/>
      <c r="F5021">
        <v>5357</v>
      </c>
    </row>
    <row r="5022" spans="1:6" x14ac:dyDescent="0.25">
      <c r="A5022">
        <v>8218</v>
      </c>
      <c r="B5022" s="15">
        <v>45328</v>
      </c>
      <c r="E5022" s="119"/>
      <c r="F5022">
        <v>5358</v>
      </c>
    </row>
    <row r="5023" spans="1:6" x14ac:dyDescent="0.25">
      <c r="A5023">
        <v>8218</v>
      </c>
      <c r="B5023" s="15">
        <v>45329</v>
      </c>
      <c r="E5023" s="160" t="s">
        <v>266</v>
      </c>
      <c r="F5023">
        <v>5359</v>
      </c>
    </row>
    <row r="5024" spans="1:6" x14ac:dyDescent="0.25">
      <c r="A5024">
        <v>8218</v>
      </c>
      <c r="B5024" s="15">
        <v>45330</v>
      </c>
      <c r="E5024" s="160" t="s">
        <v>266</v>
      </c>
      <c r="F5024">
        <v>5360</v>
      </c>
    </row>
    <row r="5025" spans="1:6" x14ac:dyDescent="0.25">
      <c r="A5025">
        <v>8218</v>
      </c>
      <c r="B5025" s="15">
        <v>45331</v>
      </c>
      <c r="E5025" s="160" t="s">
        <v>266</v>
      </c>
      <c r="F5025">
        <v>5361</v>
      </c>
    </row>
    <row r="5026" spans="1:6" x14ac:dyDescent="0.25">
      <c r="A5026">
        <v>8218</v>
      </c>
      <c r="B5026" s="15">
        <v>45332</v>
      </c>
      <c r="E5026" s="157"/>
      <c r="F5026">
        <v>5362</v>
      </c>
    </row>
    <row r="5027" spans="1:6" x14ac:dyDescent="0.25">
      <c r="A5027">
        <v>8218</v>
      </c>
      <c r="B5027" s="15">
        <v>45333</v>
      </c>
      <c r="E5027" s="119"/>
      <c r="F5027">
        <v>5363</v>
      </c>
    </row>
    <row r="5028" spans="1:6" x14ac:dyDescent="0.25">
      <c r="A5028">
        <v>8218</v>
      </c>
      <c r="B5028" s="15">
        <v>45334</v>
      </c>
      <c r="E5028" s="155"/>
      <c r="F5028">
        <v>5364</v>
      </c>
    </row>
    <row r="5029" spans="1:6" x14ac:dyDescent="0.25">
      <c r="A5029">
        <v>8218</v>
      </c>
      <c r="B5029" s="15">
        <v>45335</v>
      </c>
      <c r="E5029" s="119"/>
      <c r="F5029">
        <v>5365</v>
      </c>
    </row>
    <row r="5030" spans="1:6" x14ac:dyDescent="0.25">
      <c r="A5030">
        <v>8218</v>
      </c>
      <c r="B5030" s="15">
        <v>45336</v>
      </c>
      <c r="E5030" s="160" t="s">
        <v>266</v>
      </c>
      <c r="F5030">
        <v>5366</v>
      </c>
    </row>
    <row r="5031" spans="1:6" x14ac:dyDescent="0.25">
      <c r="A5031">
        <v>8218</v>
      </c>
      <c r="B5031" s="15">
        <v>45337</v>
      </c>
      <c r="E5031" s="160" t="s">
        <v>266</v>
      </c>
      <c r="F5031">
        <v>5367</v>
      </c>
    </row>
    <row r="5032" spans="1:6" x14ac:dyDescent="0.25">
      <c r="A5032">
        <v>8218</v>
      </c>
      <c r="B5032" s="15">
        <v>45338</v>
      </c>
      <c r="E5032" s="120" t="s">
        <v>2</v>
      </c>
      <c r="F5032">
        <v>5368</v>
      </c>
    </row>
    <row r="5033" spans="1:6" x14ac:dyDescent="0.25">
      <c r="A5033">
        <v>8218</v>
      </c>
      <c r="B5033" s="15">
        <v>45339</v>
      </c>
      <c r="E5033" s="157"/>
      <c r="F5033">
        <v>5369</v>
      </c>
    </row>
    <row r="5034" spans="1:6" x14ac:dyDescent="0.25">
      <c r="A5034">
        <v>8218</v>
      </c>
      <c r="B5034" s="15">
        <v>45340</v>
      </c>
      <c r="E5034" s="119"/>
      <c r="F5034">
        <v>5370</v>
      </c>
    </row>
    <row r="5035" spans="1:6" x14ac:dyDescent="0.25">
      <c r="A5035">
        <v>8218</v>
      </c>
      <c r="B5035" s="15">
        <v>45341</v>
      </c>
      <c r="E5035" s="119"/>
      <c r="F5035">
        <v>5371</v>
      </c>
    </row>
    <row r="5036" spans="1:6" x14ac:dyDescent="0.25">
      <c r="A5036">
        <v>8218</v>
      </c>
      <c r="B5036" s="15">
        <v>45342</v>
      </c>
      <c r="E5036" s="119"/>
      <c r="F5036">
        <v>5372</v>
      </c>
    </row>
    <row r="5037" spans="1:6" x14ac:dyDescent="0.25">
      <c r="A5037">
        <v>8218</v>
      </c>
      <c r="B5037" s="15">
        <v>45343</v>
      </c>
      <c r="E5037" s="160" t="s">
        <v>266</v>
      </c>
      <c r="F5037">
        <v>5373</v>
      </c>
    </row>
    <row r="5038" spans="1:6" x14ac:dyDescent="0.25">
      <c r="A5038">
        <v>8218</v>
      </c>
      <c r="B5038" s="15">
        <v>45344</v>
      </c>
      <c r="E5038" s="160" t="s">
        <v>266</v>
      </c>
      <c r="F5038">
        <v>5374</v>
      </c>
    </row>
    <row r="5039" spans="1:6" x14ac:dyDescent="0.25">
      <c r="A5039">
        <v>8218</v>
      </c>
      <c r="B5039" s="15">
        <v>45345</v>
      </c>
      <c r="E5039" s="160" t="s">
        <v>266</v>
      </c>
      <c r="F5039">
        <v>5375</v>
      </c>
    </row>
    <row r="5040" spans="1:6" x14ac:dyDescent="0.25">
      <c r="A5040">
        <v>8218</v>
      </c>
      <c r="B5040" s="15">
        <v>45346</v>
      </c>
      <c r="E5040" s="157"/>
      <c r="F5040">
        <v>5376</v>
      </c>
    </row>
    <row r="5041" spans="1:6" x14ac:dyDescent="0.25">
      <c r="A5041">
        <v>8218</v>
      </c>
      <c r="B5041" s="15">
        <v>45347</v>
      </c>
      <c r="E5041" s="119"/>
      <c r="F5041">
        <v>5377</v>
      </c>
    </row>
    <row r="5042" spans="1:6" x14ac:dyDescent="0.25">
      <c r="A5042">
        <v>8218</v>
      </c>
      <c r="B5042" s="15">
        <v>45348</v>
      </c>
      <c r="E5042" s="155"/>
      <c r="F5042">
        <v>5378</v>
      </c>
    </row>
    <row r="5043" spans="1:6" x14ac:dyDescent="0.25">
      <c r="A5043">
        <v>8218</v>
      </c>
      <c r="B5043" s="15">
        <v>45349</v>
      </c>
      <c r="E5043" s="119"/>
      <c r="F5043">
        <v>5379</v>
      </c>
    </row>
    <row r="5044" spans="1:6" x14ac:dyDescent="0.25">
      <c r="A5044">
        <v>8218</v>
      </c>
      <c r="B5044" s="15">
        <v>45350</v>
      </c>
      <c r="E5044" s="160" t="s">
        <v>266</v>
      </c>
      <c r="F5044">
        <v>5380</v>
      </c>
    </row>
    <row r="5045" spans="1:6" x14ac:dyDescent="0.25">
      <c r="A5045">
        <v>8218</v>
      </c>
      <c r="B5045" s="15">
        <v>45351</v>
      </c>
      <c r="E5045" s="160" t="s">
        <v>266</v>
      </c>
      <c r="F5045">
        <v>5381</v>
      </c>
    </row>
    <row r="5046" spans="1:6" x14ac:dyDescent="0.25">
      <c r="A5046">
        <v>8218</v>
      </c>
      <c r="B5046" s="15">
        <v>45352</v>
      </c>
      <c r="E5046" s="160" t="s">
        <v>266</v>
      </c>
      <c r="F5046">
        <v>5382</v>
      </c>
    </row>
    <row r="5047" spans="1:6" x14ac:dyDescent="0.25">
      <c r="A5047">
        <v>8218</v>
      </c>
      <c r="B5047" s="15">
        <v>45353</v>
      </c>
      <c r="E5047" s="157"/>
      <c r="F5047">
        <v>5383</v>
      </c>
    </row>
    <row r="5048" spans="1:6" x14ac:dyDescent="0.25">
      <c r="A5048">
        <v>8218</v>
      </c>
      <c r="B5048" s="15">
        <v>45354</v>
      </c>
      <c r="E5048" s="119"/>
      <c r="F5048">
        <v>5384</v>
      </c>
    </row>
    <row r="5049" spans="1:6" x14ac:dyDescent="0.25">
      <c r="A5049">
        <v>8218</v>
      </c>
      <c r="B5049" s="15">
        <v>45355</v>
      </c>
      <c r="E5049" s="119"/>
      <c r="F5049">
        <v>6057</v>
      </c>
    </row>
    <row r="5050" spans="1:6" x14ac:dyDescent="0.25">
      <c r="A5050">
        <v>8218</v>
      </c>
      <c r="B5050" s="15">
        <v>45356</v>
      </c>
      <c r="E5050" s="119"/>
      <c r="F5050">
        <v>6058</v>
      </c>
    </row>
    <row r="5051" spans="1:6" x14ac:dyDescent="0.25">
      <c r="A5051">
        <v>8218</v>
      </c>
      <c r="B5051" s="15">
        <v>45357</v>
      </c>
      <c r="E5051" s="160" t="s">
        <v>266</v>
      </c>
      <c r="F5051">
        <v>6059</v>
      </c>
    </row>
    <row r="5052" spans="1:6" x14ac:dyDescent="0.25">
      <c r="A5052">
        <v>8218</v>
      </c>
      <c r="B5052" s="15">
        <v>45358</v>
      </c>
      <c r="E5052" s="160" t="s">
        <v>266</v>
      </c>
      <c r="F5052">
        <v>6060</v>
      </c>
    </row>
    <row r="5053" spans="1:6" x14ac:dyDescent="0.25">
      <c r="A5053">
        <v>8218</v>
      </c>
      <c r="B5053" s="15">
        <v>45359</v>
      </c>
      <c r="E5053" s="120" t="s">
        <v>2</v>
      </c>
      <c r="F5053">
        <v>6061</v>
      </c>
    </row>
    <row r="5054" spans="1:6" x14ac:dyDescent="0.25">
      <c r="A5054">
        <v>8218</v>
      </c>
      <c r="B5054" s="15">
        <v>45360</v>
      </c>
      <c r="E5054" s="157"/>
      <c r="F5054">
        <v>6062</v>
      </c>
    </row>
    <row r="5055" spans="1:6" x14ac:dyDescent="0.25">
      <c r="A5055">
        <v>8218</v>
      </c>
      <c r="B5055" s="15">
        <v>45361</v>
      </c>
      <c r="E5055" s="119"/>
      <c r="F5055">
        <v>6063</v>
      </c>
    </row>
    <row r="5056" spans="1:6" x14ac:dyDescent="0.25">
      <c r="A5056">
        <v>8218</v>
      </c>
      <c r="B5056" s="15">
        <v>45362</v>
      </c>
      <c r="E5056" s="155"/>
      <c r="F5056">
        <v>6064</v>
      </c>
    </row>
    <row r="5057" spans="1:6" x14ac:dyDescent="0.25">
      <c r="A5057">
        <v>8218</v>
      </c>
      <c r="B5057" s="15">
        <v>45363</v>
      </c>
      <c r="E5057" s="119"/>
      <c r="F5057">
        <v>6065</v>
      </c>
    </row>
    <row r="5058" spans="1:6" x14ac:dyDescent="0.25">
      <c r="A5058">
        <v>8218</v>
      </c>
      <c r="B5058" s="15">
        <v>45364</v>
      </c>
      <c r="E5058" s="160" t="s">
        <v>266</v>
      </c>
      <c r="F5058">
        <v>6066</v>
      </c>
    </row>
    <row r="5059" spans="1:6" x14ac:dyDescent="0.25">
      <c r="A5059">
        <v>8218</v>
      </c>
      <c r="B5059" s="15">
        <v>45365</v>
      </c>
      <c r="E5059" s="160" t="s">
        <v>266</v>
      </c>
      <c r="F5059">
        <v>6067</v>
      </c>
    </row>
    <row r="5060" spans="1:6" x14ac:dyDescent="0.25">
      <c r="A5060">
        <v>8218</v>
      </c>
      <c r="B5060" s="15">
        <v>45366</v>
      </c>
      <c r="E5060" s="160" t="s">
        <v>266</v>
      </c>
      <c r="F5060">
        <v>6068</v>
      </c>
    </row>
    <row r="5061" spans="1:6" x14ac:dyDescent="0.25">
      <c r="A5061">
        <v>8218</v>
      </c>
      <c r="B5061" s="15">
        <v>45367</v>
      </c>
      <c r="E5061" s="157"/>
      <c r="F5061">
        <v>6069</v>
      </c>
    </row>
    <row r="5062" spans="1:6" x14ac:dyDescent="0.25">
      <c r="A5062">
        <v>8218</v>
      </c>
      <c r="B5062" s="15">
        <v>45368</v>
      </c>
      <c r="E5062" s="119"/>
      <c r="F5062">
        <v>6070</v>
      </c>
    </row>
    <row r="5063" spans="1:6" x14ac:dyDescent="0.25">
      <c r="A5063">
        <v>8218</v>
      </c>
      <c r="B5063" s="15">
        <v>45369</v>
      </c>
      <c r="E5063" s="119"/>
      <c r="F5063">
        <v>6071</v>
      </c>
    </row>
    <row r="5064" spans="1:6" x14ac:dyDescent="0.25">
      <c r="A5064">
        <v>8218</v>
      </c>
      <c r="B5064" s="15">
        <v>45370</v>
      </c>
      <c r="E5064" s="119"/>
      <c r="F5064">
        <v>6072</v>
      </c>
    </row>
    <row r="5065" spans="1:6" x14ac:dyDescent="0.25">
      <c r="A5065">
        <v>8218</v>
      </c>
      <c r="B5065" s="15">
        <v>45371</v>
      </c>
      <c r="E5065" s="160" t="s">
        <v>266</v>
      </c>
      <c r="F5065">
        <v>6073</v>
      </c>
    </row>
    <row r="5066" spans="1:6" x14ac:dyDescent="0.25">
      <c r="A5066">
        <v>8218</v>
      </c>
      <c r="B5066" s="15">
        <v>45372</v>
      </c>
      <c r="E5066" s="160" t="s">
        <v>266</v>
      </c>
      <c r="F5066">
        <v>6074</v>
      </c>
    </row>
    <row r="5067" spans="1:6" x14ac:dyDescent="0.25">
      <c r="A5067">
        <v>8218</v>
      </c>
      <c r="B5067" s="15">
        <v>45373</v>
      </c>
      <c r="E5067" s="120" t="s">
        <v>2</v>
      </c>
      <c r="F5067">
        <v>6075</v>
      </c>
    </row>
    <row r="5068" spans="1:6" x14ac:dyDescent="0.25">
      <c r="A5068">
        <v>8218</v>
      </c>
      <c r="B5068" s="15">
        <v>45374</v>
      </c>
      <c r="E5068" s="157"/>
      <c r="F5068">
        <v>6076</v>
      </c>
    </row>
    <row r="5069" spans="1:6" x14ac:dyDescent="0.25">
      <c r="A5069">
        <v>8218</v>
      </c>
      <c r="B5069" s="15">
        <v>45375</v>
      </c>
      <c r="E5069" s="119"/>
      <c r="F5069">
        <v>6077</v>
      </c>
    </row>
    <row r="5070" spans="1:6" x14ac:dyDescent="0.25">
      <c r="A5070">
        <v>8218</v>
      </c>
      <c r="B5070" s="15">
        <v>45376</v>
      </c>
      <c r="E5070" s="155"/>
      <c r="F5070">
        <v>6078</v>
      </c>
    </row>
    <row r="5071" spans="1:6" x14ac:dyDescent="0.25">
      <c r="A5071">
        <v>8218</v>
      </c>
      <c r="B5071" s="15">
        <v>45377</v>
      </c>
      <c r="E5071" s="119"/>
      <c r="F5071">
        <v>6079</v>
      </c>
    </row>
    <row r="5072" spans="1:6" x14ac:dyDescent="0.25">
      <c r="A5072">
        <v>8218</v>
      </c>
      <c r="B5072" s="15">
        <v>45378</v>
      </c>
      <c r="E5072" s="160" t="s">
        <v>266</v>
      </c>
      <c r="F5072">
        <v>6080</v>
      </c>
    </row>
    <row r="5073" spans="1:6" x14ac:dyDescent="0.25">
      <c r="A5073">
        <v>8218</v>
      </c>
      <c r="B5073" s="15">
        <v>45379</v>
      </c>
      <c r="E5073" s="160" t="s">
        <v>266</v>
      </c>
      <c r="F5073">
        <v>6081</v>
      </c>
    </row>
    <row r="5074" spans="1:6" x14ac:dyDescent="0.25">
      <c r="A5074">
        <v>8218</v>
      </c>
      <c r="B5074" s="15">
        <v>45380</v>
      </c>
      <c r="E5074" s="160" t="s">
        <v>266</v>
      </c>
      <c r="F5074">
        <v>6082</v>
      </c>
    </row>
    <row r="5075" spans="1:6" x14ac:dyDescent="0.25">
      <c r="A5075">
        <v>8218</v>
      </c>
      <c r="B5075" s="15">
        <v>45381</v>
      </c>
      <c r="E5075" s="157"/>
      <c r="F5075">
        <v>6083</v>
      </c>
    </row>
    <row r="5076" spans="1:6" x14ac:dyDescent="0.25">
      <c r="A5076">
        <v>8218</v>
      </c>
      <c r="B5076" s="15">
        <v>45382</v>
      </c>
      <c r="E5076" s="119"/>
      <c r="F5076">
        <v>6084</v>
      </c>
    </row>
    <row r="5077" spans="1:6" x14ac:dyDescent="0.25">
      <c r="A5077">
        <v>8218</v>
      </c>
      <c r="B5077" s="15">
        <v>45383</v>
      </c>
      <c r="E5077" s="119"/>
      <c r="F5077">
        <v>6834</v>
      </c>
    </row>
    <row r="5078" spans="1:6" x14ac:dyDescent="0.25">
      <c r="A5078">
        <v>8218</v>
      </c>
      <c r="B5078" s="15">
        <v>45384</v>
      </c>
      <c r="E5078" s="119"/>
      <c r="F5078">
        <v>6835</v>
      </c>
    </row>
    <row r="5079" spans="1:6" x14ac:dyDescent="0.25">
      <c r="A5079">
        <v>8218</v>
      </c>
      <c r="B5079" s="15">
        <v>45385</v>
      </c>
      <c r="E5079" s="160" t="s">
        <v>266</v>
      </c>
      <c r="F5079">
        <v>6836</v>
      </c>
    </row>
    <row r="5080" spans="1:6" x14ac:dyDescent="0.25">
      <c r="A5080">
        <v>8218</v>
      </c>
      <c r="B5080" s="15">
        <v>45386</v>
      </c>
      <c r="E5080" s="160" t="s">
        <v>266</v>
      </c>
      <c r="F5080">
        <v>6837</v>
      </c>
    </row>
    <row r="5081" spans="1:6" x14ac:dyDescent="0.25">
      <c r="A5081">
        <v>8218</v>
      </c>
      <c r="B5081" s="15">
        <v>45387</v>
      </c>
      <c r="E5081" s="160" t="s">
        <v>266</v>
      </c>
      <c r="F5081">
        <v>6838</v>
      </c>
    </row>
    <row r="5082" spans="1:6" x14ac:dyDescent="0.25">
      <c r="A5082">
        <v>8218</v>
      </c>
      <c r="B5082" s="15">
        <v>45388</v>
      </c>
      <c r="E5082" s="157"/>
      <c r="F5082">
        <v>6839</v>
      </c>
    </row>
    <row r="5083" spans="1:6" x14ac:dyDescent="0.25">
      <c r="A5083">
        <v>8218</v>
      </c>
      <c r="B5083" s="15">
        <v>45389</v>
      </c>
      <c r="E5083" s="119"/>
      <c r="F5083">
        <v>6840</v>
      </c>
    </row>
    <row r="5084" spans="1:6" x14ac:dyDescent="0.25">
      <c r="A5084">
        <v>8218</v>
      </c>
      <c r="B5084" s="15">
        <v>45390</v>
      </c>
      <c r="E5084" s="155"/>
      <c r="F5084">
        <v>6841</v>
      </c>
    </row>
    <row r="5085" spans="1:6" x14ac:dyDescent="0.25">
      <c r="A5085">
        <v>8218</v>
      </c>
      <c r="B5085" s="15">
        <v>45391</v>
      </c>
      <c r="E5085" s="119"/>
      <c r="F5085">
        <v>6842</v>
      </c>
    </row>
    <row r="5086" spans="1:6" x14ac:dyDescent="0.25">
      <c r="A5086">
        <v>8218</v>
      </c>
      <c r="B5086" s="15">
        <v>45392</v>
      </c>
      <c r="E5086" s="160" t="s">
        <v>266</v>
      </c>
      <c r="F5086">
        <v>6843</v>
      </c>
    </row>
    <row r="5087" spans="1:6" x14ac:dyDescent="0.25">
      <c r="A5087">
        <v>8218</v>
      </c>
      <c r="B5087" s="15">
        <v>45393</v>
      </c>
      <c r="E5087" s="160" t="s">
        <v>266</v>
      </c>
      <c r="F5087">
        <v>6844</v>
      </c>
    </row>
    <row r="5088" spans="1:6" x14ac:dyDescent="0.25">
      <c r="A5088">
        <v>8218</v>
      </c>
      <c r="B5088" s="15">
        <v>45394</v>
      </c>
      <c r="E5088" s="160" t="s">
        <v>266</v>
      </c>
      <c r="F5088">
        <v>6845</v>
      </c>
    </row>
    <row r="5089" spans="1:6" x14ac:dyDescent="0.25">
      <c r="A5089">
        <v>8218</v>
      </c>
      <c r="B5089" s="15">
        <v>45395</v>
      </c>
      <c r="E5089" s="157"/>
      <c r="F5089">
        <v>6846</v>
      </c>
    </row>
    <row r="5090" spans="1:6" x14ac:dyDescent="0.25">
      <c r="A5090">
        <v>8218</v>
      </c>
      <c r="B5090" s="15">
        <v>45396</v>
      </c>
      <c r="E5090" s="119"/>
      <c r="F5090">
        <v>6847</v>
      </c>
    </row>
    <row r="5091" spans="1:6" x14ac:dyDescent="0.25">
      <c r="A5091">
        <v>8218</v>
      </c>
      <c r="B5091" s="15">
        <v>45397</v>
      </c>
      <c r="E5091" s="119"/>
      <c r="F5091">
        <v>6848</v>
      </c>
    </row>
    <row r="5092" spans="1:6" x14ac:dyDescent="0.25">
      <c r="A5092">
        <v>8218</v>
      </c>
      <c r="B5092" s="15">
        <v>45398</v>
      </c>
      <c r="E5092" s="119"/>
      <c r="F5092">
        <v>6849</v>
      </c>
    </row>
    <row r="5093" spans="1:6" x14ac:dyDescent="0.25">
      <c r="A5093">
        <v>8218</v>
      </c>
      <c r="B5093" s="15">
        <v>45399</v>
      </c>
      <c r="E5093" s="160" t="s">
        <v>266</v>
      </c>
      <c r="F5093">
        <v>6850</v>
      </c>
    </row>
    <row r="5094" spans="1:6" x14ac:dyDescent="0.25">
      <c r="A5094">
        <v>8218</v>
      </c>
      <c r="B5094" s="15">
        <v>45400</v>
      </c>
      <c r="E5094" s="160" t="s">
        <v>266</v>
      </c>
      <c r="F5094">
        <v>6851</v>
      </c>
    </row>
    <row r="5095" spans="1:6" x14ac:dyDescent="0.25">
      <c r="A5095">
        <v>8218</v>
      </c>
      <c r="B5095" s="15">
        <v>45401</v>
      </c>
      <c r="E5095" s="120" t="s">
        <v>2</v>
      </c>
      <c r="F5095">
        <v>6852</v>
      </c>
    </row>
    <row r="5096" spans="1:6" x14ac:dyDescent="0.25">
      <c r="A5096">
        <v>8218</v>
      </c>
      <c r="B5096" s="15">
        <v>45402</v>
      </c>
      <c r="E5096" s="157"/>
      <c r="F5096">
        <v>6853</v>
      </c>
    </row>
    <row r="5097" spans="1:6" x14ac:dyDescent="0.25">
      <c r="A5097">
        <v>8218</v>
      </c>
      <c r="B5097" s="15">
        <v>45403</v>
      </c>
      <c r="E5097" s="119"/>
      <c r="F5097">
        <v>6854</v>
      </c>
    </row>
    <row r="5098" spans="1:6" x14ac:dyDescent="0.25">
      <c r="A5098">
        <v>8218</v>
      </c>
      <c r="B5098" s="15">
        <v>45404</v>
      </c>
      <c r="E5098" s="155"/>
      <c r="F5098">
        <v>6855</v>
      </c>
    </row>
    <row r="5099" spans="1:6" x14ac:dyDescent="0.25">
      <c r="A5099">
        <v>8218</v>
      </c>
      <c r="B5099" s="15">
        <v>45405</v>
      </c>
      <c r="E5099" s="119"/>
      <c r="F5099">
        <v>6856</v>
      </c>
    </row>
    <row r="5100" spans="1:6" x14ac:dyDescent="0.25">
      <c r="A5100">
        <v>8218</v>
      </c>
      <c r="B5100" s="15">
        <v>45406</v>
      </c>
      <c r="E5100" s="160" t="s">
        <v>266</v>
      </c>
      <c r="F5100">
        <v>6857</v>
      </c>
    </row>
    <row r="5101" spans="1:6" x14ac:dyDescent="0.25">
      <c r="A5101">
        <v>8218</v>
      </c>
      <c r="B5101" s="15">
        <v>45407</v>
      </c>
      <c r="E5101" s="160" t="s">
        <v>266</v>
      </c>
      <c r="F5101">
        <v>6858</v>
      </c>
    </row>
    <row r="5102" spans="1:6" x14ac:dyDescent="0.25">
      <c r="A5102">
        <v>8218</v>
      </c>
      <c r="B5102" s="15">
        <v>45408</v>
      </c>
      <c r="E5102" s="160" t="s">
        <v>266</v>
      </c>
      <c r="F5102">
        <v>6859</v>
      </c>
    </row>
    <row r="5103" spans="1:6" x14ac:dyDescent="0.25">
      <c r="A5103">
        <v>8218</v>
      </c>
      <c r="B5103" s="15">
        <v>45409</v>
      </c>
      <c r="E5103" s="157"/>
      <c r="F5103">
        <v>6860</v>
      </c>
    </row>
    <row r="5104" spans="1:6" x14ac:dyDescent="0.25">
      <c r="A5104">
        <v>8218</v>
      </c>
      <c r="B5104" s="15">
        <v>45410</v>
      </c>
      <c r="E5104" s="119"/>
      <c r="F5104">
        <v>6861</v>
      </c>
    </row>
    <row r="5105" spans="1:6" x14ac:dyDescent="0.25">
      <c r="A5105">
        <v>8218</v>
      </c>
      <c r="B5105" s="15">
        <v>45411</v>
      </c>
      <c r="E5105" s="119"/>
      <c r="F5105">
        <v>6862</v>
      </c>
    </row>
    <row r="5106" spans="1:6" x14ac:dyDescent="0.25">
      <c r="A5106">
        <v>8218</v>
      </c>
      <c r="B5106" s="15">
        <v>45412</v>
      </c>
      <c r="E5106" s="119"/>
      <c r="F5106">
        <v>6863</v>
      </c>
    </row>
    <row r="5107" spans="1:6" x14ac:dyDescent="0.25">
      <c r="A5107">
        <v>8218</v>
      </c>
      <c r="B5107" s="15">
        <v>45413</v>
      </c>
      <c r="E5107" s="158"/>
      <c r="F5107">
        <v>6864</v>
      </c>
    </row>
    <row r="5108" spans="1:6" x14ac:dyDescent="0.25">
      <c r="A5108">
        <v>8218</v>
      </c>
      <c r="B5108" s="15">
        <v>45414</v>
      </c>
      <c r="E5108" s="160" t="s">
        <v>266</v>
      </c>
      <c r="F5108">
        <v>6865</v>
      </c>
    </row>
    <row r="5109" spans="1:6" x14ac:dyDescent="0.25">
      <c r="A5109">
        <v>8218</v>
      </c>
      <c r="B5109" s="15">
        <v>45415</v>
      </c>
      <c r="E5109" s="160" t="s">
        <v>266</v>
      </c>
      <c r="F5109">
        <v>6866</v>
      </c>
    </row>
    <row r="5110" spans="1:6" x14ac:dyDescent="0.25">
      <c r="A5110">
        <v>8218</v>
      </c>
      <c r="B5110" s="15">
        <v>45416</v>
      </c>
      <c r="E5110" s="157"/>
      <c r="F5110">
        <v>6867</v>
      </c>
    </row>
    <row r="5111" spans="1:6" x14ac:dyDescent="0.25">
      <c r="A5111">
        <v>8218</v>
      </c>
      <c r="B5111" s="15">
        <v>45417</v>
      </c>
      <c r="E5111" s="119"/>
      <c r="F5111">
        <v>6868</v>
      </c>
    </row>
    <row r="5112" spans="1:6" x14ac:dyDescent="0.25">
      <c r="A5112">
        <v>8228</v>
      </c>
      <c r="B5112" s="15">
        <v>45047</v>
      </c>
      <c r="C5112" s="147"/>
      <c r="D5112" s="147"/>
      <c r="E5112" s="3"/>
      <c r="F5112">
        <v>2</v>
      </c>
    </row>
    <row r="5113" spans="1:6" x14ac:dyDescent="0.25">
      <c r="A5113">
        <v>8228</v>
      </c>
      <c r="B5113" s="15">
        <v>45048</v>
      </c>
      <c r="C5113" s="104" t="s">
        <v>2</v>
      </c>
      <c r="D5113" s="104" t="s">
        <v>2</v>
      </c>
      <c r="E5113" s="3"/>
      <c r="F5113">
        <v>3</v>
      </c>
    </row>
    <row r="5114" spans="1:6" x14ac:dyDescent="0.25">
      <c r="A5114">
        <v>8228</v>
      </c>
      <c r="B5114" s="15">
        <v>45049</v>
      </c>
      <c r="C5114" s="110"/>
      <c r="D5114" s="110"/>
      <c r="E5114" s="3"/>
      <c r="F5114">
        <v>4</v>
      </c>
    </row>
    <row r="5115" spans="1:6" x14ac:dyDescent="0.25">
      <c r="A5115">
        <v>8228</v>
      </c>
      <c r="B5115" s="15">
        <v>45050</v>
      </c>
      <c r="C5115" s="110"/>
      <c r="D5115" s="110"/>
      <c r="E5115" s="3"/>
      <c r="F5115">
        <v>5</v>
      </c>
    </row>
    <row r="5116" spans="1:6" x14ac:dyDescent="0.25">
      <c r="A5116">
        <v>8228</v>
      </c>
      <c r="B5116" s="15">
        <v>45051</v>
      </c>
      <c r="C5116" s="110"/>
      <c r="D5116" s="110"/>
      <c r="E5116" s="3"/>
      <c r="F5116">
        <v>6</v>
      </c>
    </row>
    <row r="5117" spans="1:6" x14ac:dyDescent="0.25">
      <c r="A5117">
        <v>8228</v>
      </c>
      <c r="B5117" s="15">
        <v>45052</v>
      </c>
      <c r="C5117" s="133"/>
      <c r="D5117" s="133"/>
      <c r="E5117" s="3"/>
      <c r="F5117">
        <v>7</v>
      </c>
    </row>
    <row r="5118" spans="1:6" x14ac:dyDescent="0.25">
      <c r="A5118">
        <v>8228</v>
      </c>
      <c r="B5118" s="15">
        <v>45053</v>
      </c>
      <c r="C5118" s="133"/>
      <c r="D5118" s="133"/>
      <c r="E5118" s="3"/>
      <c r="F5118">
        <v>8</v>
      </c>
    </row>
    <row r="5119" spans="1:6" x14ac:dyDescent="0.25">
      <c r="A5119">
        <v>8228</v>
      </c>
      <c r="B5119" s="15">
        <v>45054</v>
      </c>
      <c r="C5119" s="147"/>
      <c r="D5119" s="147"/>
      <c r="E5119" s="3"/>
      <c r="F5119">
        <v>9</v>
      </c>
    </row>
    <row r="5120" spans="1:6" x14ac:dyDescent="0.25">
      <c r="A5120">
        <v>8228</v>
      </c>
      <c r="B5120" s="15">
        <v>45055</v>
      </c>
      <c r="C5120" s="110"/>
      <c r="D5120" s="110"/>
      <c r="E5120" s="3"/>
      <c r="F5120">
        <v>10</v>
      </c>
    </row>
    <row r="5121" spans="1:6" x14ac:dyDescent="0.25">
      <c r="A5121">
        <v>8228</v>
      </c>
      <c r="B5121" s="15">
        <v>45056</v>
      </c>
      <c r="C5121" s="110"/>
      <c r="D5121" s="110" t="s">
        <v>154</v>
      </c>
      <c r="E5121" s="3"/>
      <c r="F5121">
        <v>11</v>
      </c>
    </row>
    <row r="5122" spans="1:6" x14ac:dyDescent="0.25">
      <c r="A5122">
        <v>8228</v>
      </c>
      <c r="B5122" s="15">
        <v>45057</v>
      </c>
      <c r="C5122" s="110" t="s">
        <v>155</v>
      </c>
      <c r="D5122" s="110" t="s">
        <v>155</v>
      </c>
      <c r="E5122" s="3"/>
      <c r="F5122">
        <v>12</v>
      </c>
    </row>
    <row r="5123" spans="1:6" x14ac:dyDescent="0.25">
      <c r="A5123">
        <v>8228</v>
      </c>
      <c r="B5123" s="15">
        <v>45058</v>
      </c>
      <c r="C5123" s="110" t="s">
        <v>155</v>
      </c>
      <c r="D5123" s="110" t="s">
        <v>155</v>
      </c>
      <c r="E5123" s="3"/>
      <c r="F5123">
        <v>13</v>
      </c>
    </row>
    <row r="5124" spans="1:6" x14ac:dyDescent="0.25">
      <c r="A5124">
        <v>8228</v>
      </c>
      <c r="B5124" s="15">
        <v>45059</v>
      </c>
      <c r="C5124" s="133"/>
      <c r="D5124" s="133"/>
      <c r="E5124" s="3"/>
      <c r="F5124">
        <v>14</v>
      </c>
    </row>
    <row r="5125" spans="1:6" x14ac:dyDescent="0.25">
      <c r="A5125">
        <v>8228</v>
      </c>
      <c r="B5125" s="15">
        <v>45060</v>
      </c>
      <c r="C5125" s="133"/>
      <c r="D5125" s="133"/>
      <c r="E5125" s="3"/>
      <c r="F5125">
        <v>15</v>
      </c>
    </row>
    <row r="5126" spans="1:6" x14ac:dyDescent="0.25">
      <c r="A5126">
        <v>8228</v>
      </c>
      <c r="B5126" s="15">
        <v>45061</v>
      </c>
      <c r="C5126" s="110"/>
      <c r="D5126" s="110"/>
      <c r="E5126" s="3"/>
      <c r="F5126">
        <v>16</v>
      </c>
    </row>
    <row r="5127" spans="1:6" x14ac:dyDescent="0.25">
      <c r="A5127">
        <v>8228</v>
      </c>
      <c r="B5127" s="15">
        <v>45062</v>
      </c>
      <c r="C5127" s="127"/>
      <c r="D5127" s="127"/>
      <c r="E5127" s="3"/>
      <c r="F5127">
        <v>17</v>
      </c>
    </row>
    <row r="5128" spans="1:6" x14ac:dyDescent="0.25">
      <c r="A5128">
        <v>8228</v>
      </c>
      <c r="B5128" s="15">
        <v>45063</v>
      </c>
      <c r="C5128" s="110"/>
      <c r="D5128" s="110"/>
      <c r="E5128" s="3"/>
      <c r="F5128">
        <v>18</v>
      </c>
    </row>
    <row r="5129" spans="1:6" x14ac:dyDescent="0.25">
      <c r="A5129">
        <v>8228</v>
      </c>
      <c r="B5129" s="15">
        <v>45064</v>
      </c>
      <c r="C5129" s="147"/>
      <c r="D5129" s="147"/>
      <c r="E5129" s="3"/>
      <c r="F5129">
        <v>19</v>
      </c>
    </row>
    <row r="5130" spans="1:6" x14ac:dyDescent="0.25">
      <c r="A5130">
        <v>8228</v>
      </c>
      <c r="B5130" s="15">
        <v>45065</v>
      </c>
      <c r="C5130" s="110" t="s">
        <v>156</v>
      </c>
      <c r="D5130" s="104" t="s">
        <v>2</v>
      </c>
      <c r="E5130" s="3"/>
      <c r="F5130">
        <v>20</v>
      </c>
    </row>
    <row r="5131" spans="1:6" x14ac:dyDescent="0.25">
      <c r="A5131">
        <v>8228</v>
      </c>
      <c r="B5131" s="15">
        <v>45066</v>
      </c>
      <c r="C5131" s="133"/>
      <c r="D5131" s="133"/>
      <c r="E5131" s="3"/>
      <c r="F5131">
        <v>21</v>
      </c>
    </row>
    <row r="5132" spans="1:6" x14ac:dyDescent="0.25">
      <c r="A5132">
        <v>8228</v>
      </c>
      <c r="B5132" s="15">
        <v>45067</v>
      </c>
      <c r="C5132" s="133"/>
      <c r="D5132" s="133"/>
      <c r="E5132" s="3"/>
      <c r="F5132">
        <v>22</v>
      </c>
    </row>
    <row r="5133" spans="1:6" x14ac:dyDescent="0.25">
      <c r="A5133">
        <v>8228</v>
      </c>
      <c r="B5133" s="15">
        <v>45068</v>
      </c>
      <c r="C5133" s="110"/>
      <c r="D5133" s="110"/>
      <c r="E5133" s="3"/>
      <c r="F5133">
        <v>23</v>
      </c>
    </row>
    <row r="5134" spans="1:6" x14ac:dyDescent="0.25">
      <c r="A5134">
        <v>8228</v>
      </c>
      <c r="B5134" s="15">
        <v>45069</v>
      </c>
      <c r="C5134" s="110" t="s">
        <v>157</v>
      </c>
      <c r="D5134" s="110" t="s">
        <v>157</v>
      </c>
      <c r="E5134" s="3"/>
      <c r="F5134">
        <v>24</v>
      </c>
    </row>
    <row r="5135" spans="1:6" x14ac:dyDescent="0.25">
      <c r="A5135">
        <v>8228</v>
      </c>
      <c r="B5135" s="15">
        <v>45070</v>
      </c>
      <c r="C5135" s="110"/>
      <c r="D5135" s="110"/>
      <c r="E5135" s="3"/>
      <c r="F5135">
        <v>25</v>
      </c>
    </row>
    <row r="5136" spans="1:6" x14ac:dyDescent="0.25">
      <c r="A5136">
        <v>8228</v>
      </c>
      <c r="B5136" s="15">
        <v>45071</v>
      </c>
      <c r="C5136" s="110"/>
      <c r="D5136" s="110"/>
      <c r="E5136" s="3"/>
      <c r="F5136">
        <v>26</v>
      </c>
    </row>
    <row r="5137" spans="1:6" x14ac:dyDescent="0.25">
      <c r="A5137">
        <v>8228</v>
      </c>
      <c r="B5137" s="15">
        <v>45072</v>
      </c>
      <c r="C5137" s="110"/>
      <c r="D5137" s="104" t="s">
        <v>2</v>
      </c>
      <c r="E5137" s="3"/>
      <c r="F5137">
        <v>27</v>
      </c>
    </row>
    <row r="5138" spans="1:6" x14ac:dyDescent="0.25">
      <c r="A5138">
        <v>8228</v>
      </c>
      <c r="B5138" s="15">
        <v>45073</v>
      </c>
      <c r="C5138" s="133"/>
      <c r="D5138" s="133"/>
      <c r="E5138" s="3"/>
      <c r="F5138">
        <v>28</v>
      </c>
    </row>
    <row r="5139" spans="1:6" x14ac:dyDescent="0.25">
      <c r="A5139">
        <v>8228</v>
      </c>
      <c r="B5139" s="15">
        <v>45074</v>
      </c>
      <c r="C5139" s="133"/>
      <c r="D5139" s="133"/>
      <c r="E5139" s="3"/>
      <c r="F5139">
        <v>29</v>
      </c>
    </row>
    <row r="5140" spans="1:6" x14ac:dyDescent="0.25">
      <c r="A5140">
        <v>8228</v>
      </c>
      <c r="B5140" s="15">
        <v>45075</v>
      </c>
      <c r="C5140" s="147"/>
      <c r="D5140" s="147"/>
      <c r="E5140" s="3"/>
      <c r="F5140">
        <v>30</v>
      </c>
    </row>
    <row r="5141" spans="1:6" x14ac:dyDescent="0.25">
      <c r="A5141">
        <v>8228</v>
      </c>
      <c r="B5141" s="15">
        <v>45076</v>
      </c>
      <c r="C5141" s="110"/>
      <c r="D5141" s="110"/>
      <c r="E5141" s="3"/>
      <c r="F5141">
        <v>31</v>
      </c>
    </row>
    <row r="5142" spans="1:6" x14ac:dyDescent="0.25">
      <c r="A5142">
        <v>8228</v>
      </c>
      <c r="B5142" s="15">
        <v>45077</v>
      </c>
      <c r="C5142" s="110"/>
      <c r="D5142" s="110"/>
      <c r="E5142" s="3"/>
      <c r="F5142">
        <v>32</v>
      </c>
    </row>
    <row r="5143" spans="1:6" x14ac:dyDescent="0.25">
      <c r="A5143">
        <v>8228</v>
      </c>
      <c r="B5143" s="15">
        <v>45078</v>
      </c>
      <c r="C5143" s="110"/>
      <c r="D5143" s="110"/>
      <c r="E5143" s="3"/>
      <c r="F5143">
        <v>33</v>
      </c>
    </row>
    <row r="5144" spans="1:6" x14ac:dyDescent="0.25">
      <c r="A5144">
        <v>8228</v>
      </c>
      <c r="B5144" s="15">
        <v>45079</v>
      </c>
      <c r="C5144" s="110"/>
      <c r="D5144" s="110"/>
      <c r="E5144" s="3"/>
      <c r="F5144">
        <v>34</v>
      </c>
    </row>
    <row r="5145" spans="1:6" x14ac:dyDescent="0.25">
      <c r="A5145">
        <v>8228</v>
      </c>
      <c r="B5145" s="15">
        <v>45080</v>
      </c>
      <c r="C5145" s="133"/>
      <c r="D5145" s="133"/>
      <c r="E5145" s="3"/>
      <c r="F5145">
        <v>35</v>
      </c>
    </row>
    <row r="5146" spans="1:6" x14ac:dyDescent="0.25">
      <c r="A5146">
        <v>8228</v>
      </c>
      <c r="B5146" s="15">
        <v>45081</v>
      </c>
      <c r="C5146" s="133"/>
      <c r="D5146" s="133"/>
      <c r="E5146" s="3"/>
      <c r="F5146">
        <v>36</v>
      </c>
    </row>
    <row r="5147" spans="1:6" x14ac:dyDescent="0.25">
      <c r="A5147">
        <v>8228</v>
      </c>
      <c r="B5147" s="15">
        <v>45082</v>
      </c>
      <c r="C5147" s="104" t="s">
        <v>2</v>
      </c>
      <c r="D5147" s="104" t="s">
        <v>2</v>
      </c>
      <c r="E5147" s="3"/>
      <c r="F5147">
        <v>37</v>
      </c>
    </row>
    <row r="5148" spans="1:6" x14ac:dyDescent="0.25">
      <c r="A5148">
        <v>8228</v>
      </c>
      <c r="B5148" s="15">
        <v>45083</v>
      </c>
      <c r="C5148" s="110"/>
      <c r="D5148" s="110"/>
      <c r="E5148" s="3"/>
      <c r="F5148">
        <v>38</v>
      </c>
    </row>
    <row r="5149" spans="1:6" x14ac:dyDescent="0.25">
      <c r="A5149">
        <v>8228</v>
      </c>
      <c r="B5149" s="15">
        <v>45084</v>
      </c>
      <c r="C5149" s="110"/>
      <c r="D5149" s="110"/>
      <c r="E5149" s="3"/>
      <c r="F5149">
        <v>39</v>
      </c>
    </row>
    <row r="5150" spans="1:6" x14ac:dyDescent="0.25">
      <c r="A5150">
        <v>8228</v>
      </c>
      <c r="B5150" s="15">
        <v>45085</v>
      </c>
      <c r="C5150" s="110"/>
      <c r="D5150" s="110"/>
      <c r="E5150" s="3"/>
      <c r="F5150">
        <v>40</v>
      </c>
    </row>
    <row r="5151" spans="1:6" x14ac:dyDescent="0.25">
      <c r="A5151">
        <v>8228</v>
      </c>
      <c r="B5151" s="15">
        <v>45086</v>
      </c>
      <c r="C5151" s="110"/>
      <c r="D5151" s="110"/>
      <c r="E5151" s="3"/>
      <c r="F5151">
        <v>41</v>
      </c>
    </row>
    <row r="5152" spans="1:6" x14ac:dyDescent="0.25">
      <c r="A5152">
        <v>8228</v>
      </c>
      <c r="B5152" s="15">
        <v>45087</v>
      </c>
      <c r="C5152" s="133"/>
      <c r="D5152" s="133"/>
      <c r="E5152" s="3"/>
      <c r="F5152">
        <v>42</v>
      </c>
    </row>
    <row r="5153" spans="1:6" x14ac:dyDescent="0.25">
      <c r="A5153">
        <v>8228</v>
      </c>
      <c r="B5153" s="15">
        <v>45088</v>
      </c>
      <c r="C5153" s="133"/>
      <c r="D5153" s="133"/>
      <c r="E5153" s="3"/>
      <c r="F5153">
        <v>43</v>
      </c>
    </row>
    <row r="5154" spans="1:6" x14ac:dyDescent="0.25">
      <c r="A5154">
        <v>8228</v>
      </c>
      <c r="B5154" s="15">
        <v>45089</v>
      </c>
      <c r="C5154" s="110" t="s">
        <v>278</v>
      </c>
      <c r="D5154" s="110"/>
      <c r="E5154" s="3"/>
      <c r="F5154">
        <v>44</v>
      </c>
    </row>
    <row r="5155" spans="1:6" x14ac:dyDescent="0.25">
      <c r="A5155">
        <v>8228</v>
      </c>
      <c r="B5155" s="15">
        <v>45090</v>
      </c>
      <c r="C5155" s="127"/>
      <c r="D5155" s="127"/>
      <c r="E5155" s="3"/>
      <c r="F5155">
        <v>45</v>
      </c>
    </row>
    <row r="5156" spans="1:6" x14ac:dyDescent="0.25">
      <c r="A5156">
        <v>8228</v>
      </c>
      <c r="B5156" s="15">
        <v>45091</v>
      </c>
      <c r="C5156" s="110" t="s">
        <v>157</v>
      </c>
      <c r="D5156" s="110" t="s">
        <v>279</v>
      </c>
      <c r="E5156" s="3"/>
      <c r="F5156">
        <v>46</v>
      </c>
    </row>
    <row r="5157" spans="1:6" x14ac:dyDescent="0.25">
      <c r="A5157">
        <v>8228</v>
      </c>
      <c r="B5157" s="15">
        <v>45092</v>
      </c>
      <c r="C5157" s="110"/>
      <c r="D5157" s="110"/>
      <c r="E5157" s="3"/>
      <c r="F5157">
        <v>47</v>
      </c>
    </row>
    <row r="5158" spans="1:6" x14ac:dyDescent="0.25">
      <c r="A5158">
        <v>8228</v>
      </c>
      <c r="B5158" s="15">
        <v>45093</v>
      </c>
      <c r="C5158" s="110" t="s">
        <v>278</v>
      </c>
      <c r="D5158" s="109" t="s">
        <v>2</v>
      </c>
      <c r="E5158" s="3"/>
      <c r="F5158">
        <v>48</v>
      </c>
    </row>
    <row r="5159" spans="1:6" x14ac:dyDescent="0.25">
      <c r="A5159">
        <v>8228</v>
      </c>
      <c r="B5159" s="15">
        <v>45094</v>
      </c>
      <c r="C5159" s="133"/>
      <c r="D5159" s="133"/>
      <c r="E5159" s="3"/>
      <c r="F5159">
        <v>49</v>
      </c>
    </row>
    <row r="5160" spans="1:6" x14ac:dyDescent="0.25">
      <c r="A5160">
        <v>8228</v>
      </c>
      <c r="B5160" s="15">
        <v>45095</v>
      </c>
      <c r="C5160" s="133"/>
      <c r="D5160" s="133"/>
      <c r="E5160" s="3"/>
      <c r="F5160">
        <v>50</v>
      </c>
    </row>
    <row r="5161" spans="1:6" x14ac:dyDescent="0.25">
      <c r="A5161">
        <v>8228</v>
      </c>
      <c r="B5161" s="15">
        <v>45096</v>
      </c>
      <c r="C5161" s="110"/>
      <c r="D5161" s="110" t="s">
        <v>158</v>
      </c>
      <c r="E5161" s="3"/>
      <c r="F5161">
        <v>51</v>
      </c>
    </row>
    <row r="5162" spans="1:6" x14ac:dyDescent="0.25">
      <c r="A5162">
        <v>8228</v>
      </c>
      <c r="B5162" s="15">
        <v>45097</v>
      </c>
      <c r="C5162" s="110" t="s">
        <v>280</v>
      </c>
      <c r="D5162" s="110" t="s">
        <v>159</v>
      </c>
      <c r="E5162" s="3"/>
      <c r="F5162">
        <v>52</v>
      </c>
    </row>
    <row r="5163" spans="1:6" x14ac:dyDescent="0.25">
      <c r="A5163">
        <v>8228</v>
      </c>
      <c r="B5163" s="15">
        <v>45098</v>
      </c>
      <c r="C5163" s="110" t="s">
        <v>159</v>
      </c>
      <c r="D5163" s="110"/>
      <c r="E5163" s="3"/>
      <c r="F5163">
        <v>53</v>
      </c>
    </row>
    <row r="5164" spans="1:6" x14ac:dyDescent="0.25">
      <c r="A5164">
        <v>8228</v>
      </c>
      <c r="B5164" s="15">
        <v>45099</v>
      </c>
      <c r="C5164" s="110"/>
      <c r="D5164" s="110"/>
      <c r="E5164" s="3"/>
      <c r="F5164">
        <v>54</v>
      </c>
    </row>
    <row r="5165" spans="1:6" x14ac:dyDescent="0.25">
      <c r="A5165">
        <v>8228</v>
      </c>
      <c r="B5165" s="15">
        <v>45100</v>
      </c>
      <c r="C5165" s="110"/>
      <c r="D5165" s="110"/>
      <c r="E5165" s="3"/>
      <c r="F5165">
        <v>55</v>
      </c>
    </row>
    <row r="5166" spans="1:6" x14ac:dyDescent="0.25">
      <c r="A5166">
        <v>8228</v>
      </c>
      <c r="B5166" s="15">
        <v>45101</v>
      </c>
      <c r="C5166" s="133"/>
      <c r="D5166" s="133"/>
      <c r="E5166" s="3"/>
      <c r="F5166">
        <v>56</v>
      </c>
    </row>
    <row r="5167" spans="1:6" x14ac:dyDescent="0.25">
      <c r="A5167">
        <v>8228</v>
      </c>
      <c r="B5167" s="15">
        <v>45102</v>
      </c>
      <c r="C5167" s="133"/>
      <c r="D5167" s="133"/>
      <c r="E5167" s="3"/>
      <c r="F5167">
        <v>57</v>
      </c>
    </row>
    <row r="5168" spans="1:6" x14ac:dyDescent="0.25">
      <c r="A5168">
        <v>8228</v>
      </c>
      <c r="B5168" s="15">
        <v>45103</v>
      </c>
      <c r="C5168" s="110" t="s">
        <v>157</v>
      </c>
      <c r="D5168" s="110" t="s">
        <v>157</v>
      </c>
      <c r="E5168" s="3"/>
      <c r="F5168">
        <v>58</v>
      </c>
    </row>
    <row r="5169" spans="1:6" x14ac:dyDescent="0.25">
      <c r="A5169">
        <v>8228</v>
      </c>
      <c r="B5169" s="15">
        <v>45104</v>
      </c>
      <c r="C5169" s="110"/>
      <c r="D5169" s="110"/>
      <c r="E5169" s="3"/>
      <c r="F5169">
        <v>59</v>
      </c>
    </row>
    <row r="5170" spans="1:6" x14ac:dyDescent="0.25">
      <c r="A5170">
        <v>8228</v>
      </c>
      <c r="B5170" s="15">
        <v>45105</v>
      </c>
      <c r="C5170" s="110"/>
      <c r="D5170" s="110" t="s">
        <v>160</v>
      </c>
      <c r="E5170" s="3"/>
      <c r="F5170">
        <v>60</v>
      </c>
    </row>
    <row r="5171" spans="1:6" x14ac:dyDescent="0.25">
      <c r="A5171">
        <v>8228</v>
      </c>
      <c r="B5171" s="15">
        <v>45106</v>
      </c>
      <c r="C5171" s="110"/>
      <c r="D5171" s="110"/>
      <c r="E5171" s="3"/>
      <c r="F5171">
        <v>61</v>
      </c>
    </row>
    <row r="5172" spans="1:6" x14ac:dyDescent="0.25">
      <c r="A5172">
        <v>8228</v>
      </c>
      <c r="B5172" s="15">
        <v>45107</v>
      </c>
      <c r="C5172" s="110"/>
      <c r="D5172" s="113" t="s">
        <v>2</v>
      </c>
      <c r="E5172" s="3"/>
      <c r="F5172">
        <v>62</v>
      </c>
    </row>
    <row r="5173" spans="1:6" x14ac:dyDescent="0.25">
      <c r="A5173">
        <v>8228</v>
      </c>
      <c r="B5173" s="15">
        <v>45108</v>
      </c>
      <c r="C5173" s="133"/>
      <c r="D5173" s="133"/>
      <c r="E5173" s="3"/>
      <c r="F5173">
        <v>63</v>
      </c>
    </row>
    <row r="5174" spans="1:6" x14ac:dyDescent="0.25">
      <c r="A5174">
        <v>8228</v>
      </c>
      <c r="B5174" s="15">
        <v>45109</v>
      </c>
      <c r="C5174" s="133"/>
      <c r="D5174" s="133"/>
      <c r="E5174" s="3"/>
      <c r="F5174">
        <v>64</v>
      </c>
    </row>
    <row r="5175" spans="1:6" x14ac:dyDescent="0.25">
      <c r="A5175">
        <v>8228</v>
      </c>
      <c r="B5175" s="15">
        <v>45110</v>
      </c>
      <c r="C5175" s="110"/>
      <c r="D5175" s="110"/>
      <c r="E5175" s="3"/>
      <c r="F5175">
        <v>65</v>
      </c>
    </row>
    <row r="5176" spans="1:6" x14ac:dyDescent="0.25">
      <c r="A5176">
        <v>8228</v>
      </c>
      <c r="B5176" s="15">
        <v>45111</v>
      </c>
      <c r="C5176" s="110"/>
      <c r="D5176" s="110"/>
      <c r="E5176" s="3"/>
      <c r="F5176">
        <v>66</v>
      </c>
    </row>
    <row r="5177" spans="1:6" x14ac:dyDescent="0.25">
      <c r="A5177">
        <v>8228</v>
      </c>
      <c r="B5177" s="15">
        <v>45112</v>
      </c>
      <c r="C5177" s="110"/>
      <c r="D5177" s="110"/>
      <c r="E5177" s="3"/>
      <c r="F5177">
        <v>67</v>
      </c>
    </row>
    <row r="5178" spans="1:6" x14ac:dyDescent="0.25">
      <c r="A5178">
        <v>8228</v>
      </c>
      <c r="B5178" s="15">
        <v>45113</v>
      </c>
      <c r="C5178" s="110"/>
      <c r="D5178" s="110"/>
      <c r="E5178" s="3"/>
      <c r="F5178">
        <v>68</v>
      </c>
    </row>
    <row r="5179" spans="1:6" x14ac:dyDescent="0.25">
      <c r="A5179">
        <v>8228</v>
      </c>
      <c r="B5179" s="15">
        <v>45114</v>
      </c>
      <c r="C5179" s="110"/>
      <c r="D5179" s="110"/>
      <c r="E5179" s="3"/>
      <c r="F5179">
        <v>69</v>
      </c>
    </row>
    <row r="5180" spans="1:6" x14ac:dyDescent="0.25">
      <c r="A5180">
        <v>8228</v>
      </c>
      <c r="B5180" s="15">
        <v>45115</v>
      </c>
      <c r="C5180" s="133"/>
      <c r="D5180" s="133"/>
      <c r="E5180" s="3"/>
      <c r="F5180">
        <v>70</v>
      </c>
    </row>
    <row r="5181" spans="1:6" x14ac:dyDescent="0.25">
      <c r="A5181">
        <v>8228</v>
      </c>
      <c r="B5181" s="15">
        <v>45116</v>
      </c>
      <c r="C5181" s="133"/>
      <c r="D5181" s="133"/>
      <c r="E5181" s="3"/>
      <c r="F5181">
        <v>71</v>
      </c>
    </row>
    <row r="5182" spans="1:6" x14ac:dyDescent="0.25">
      <c r="A5182">
        <v>8228</v>
      </c>
      <c r="B5182" s="15">
        <v>45117</v>
      </c>
      <c r="C5182" s="110"/>
      <c r="D5182" s="110"/>
      <c r="E5182" s="3"/>
      <c r="F5182">
        <v>72</v>
      </c>
    </row>
    <row r="5183" spans="1:6" x14ac:dyDescent="0.25">
      <c r="A5183">
        <v>8228</v>
      </c>
      <c r="B5183" s="15">
        <v>45118</v>
      </c>
      <c r="C5183" s="127"/>
      <c r="D5183" s="127"/>
      <c r="E5183" s="3"/>
      <c r="F5183">
        <v>73</v>
      </c>
    </row>
    <row r="5184" spans="1:6" x14ac:dyDescent="0.25">
      <c r="A5184">
        <v>8228</v>
      </c>
      <c r="B5184" s="15">
        <v>45119</v>
      </c>
      <c r="C5184" s="110"/>
      <c r="D5184" s="110" t="s">
        <v>161</v>
      </c>
      <c r="E5184" s="3"/>
      <c r="F5184">
        <v>74</v>
      </c>
    </row>
    <row r="5185" spans="1:6" x14ac:dyDescent="0.25">
      <c r="A5185">
        <v>8228</v>
      </c>
      <c r="B5185" s="15">
        <v>45120</v>
      </c>
      <c r="C5185" s="110"/>
      <c r="D5185" s="110"/>
      <c r="E5185" s="3"/>
      <c r="F5185">
        <v>75</v>
      </c>
    </row>
    <row r="5186" spans="1:6" x14ac:dyDescent="0.25">
      <c r="A5186">
        <v>8228</v>
      </c>
      <c r="B5186" s="15">
        <v>45121</v>
      </c>
      <c r="C5186" s="133"/>
      <c r="D5186" s="133"/>
      <c r="E5186" s="3"/>
      <c r="F5186">
        <v>76</v>
      </c>
    </row>
    <row r="5187" spans="1:6" x14ac:dyDescent="0.25">
      <c r="A5187">
        <v>8228</v>
      </c>
      <c r="B5187" s="15">
        <v>45122</v>
      </c>
      <c r="C5187" s="133"/>
      <c r="D5187" s="133"/>
      <c r="E5187" s="3"/>
      <c r="F5187">
        <v>77</v>
      </c>
    </row>
    <row r="5188" spans="1:6" x14ac:dyDescent="0.25">
      <c r="A5188">
        <v>8228</v>
      </c>
      <c r="B5188" s="15">
        <v>45123</v>
      </c>
      <c r="C5188" s="133"/>
      <c r="D5188" s="133"/>
      <c r="E5188" s="3"/>
      <c r="F5188">
        <v>78</v>
      </c>
    </row>
    <row r="5189" spans="1:6" x14ac:dyDescent="0.25">
      <c r="A5189">
        <v>8228</v>
      </c>
      <c r="B5189" s="15">
        <v>45124</v>
      </c>
      <c r="C5189" s="110" t="s">
        <v>157</v>
      </c>
      <c r="D5189" s="110" t="s">
        <v>281</v>
      </c>
      <c r="E5189" s="3"/>
      <c r="F5189">
        <v>79</v>
      </c>
    </row>
    <row r="5190" spans="1:6" x14ac:dyDescent="0.25">
      <c r="A5190">
        <v>8228</v>
      </c>
      <c r="B5190" s="15">
        <v>45125</v>
      </c>
      <c r="C5190" s="110"/>
      <c r="D5190" s="110"/>
      <c r="E5190" s="3"/>
      <c r="F5190">
        <v>80</v>
      </c>
    </row>
    <row r="5191" spans="1:6" x14ac:dyDescent="0.25">
      <c r="A5191">
        <v>8228</v>
      </c>
      <c r="B5191" s="15">
        <v>45126</v>
      </c>
      <c r="C5191" s="110" t="s">
        <v>282</v>
      </c>
      <c r="D5191" s="110"/>
      <c r="E5191" s="3"/>
      <c r="F5191">
        <v>81</v>
      </c>
    </row>
    <row r="5192" spans="1:6" x14ac:dyDescent="0.25">
      <c r="A5192">
        <v>8228</v>
      </c>
      <c r="B5192" s="15">
        <v>45127</v>
      </c>
      <c r="C5192" s="110"/>
      <c r="D5192" s="110"/>
      <c r="E5192" s="3"/>
      <c r="F5192">
        <v>82</v>
      </c>
    </row>
    <row r="5193" spans="1:6" x14ac:dyDescent="0.25">
      <c r="A5193">
        <v>8228</v>
      </c>
      <c r="B5193" s="15">
        <v>45128</v>
      </c>
      <c r="C5193" s="110"/>
      <c r="D5193" s="104" t="s">
        <v>162</v>
      </c>
      <c r="E5193" s="3"/>
      <c r="F5193">
        <v>83</v>
      </c>
    </row>
    <row r="5194" spans="1:6" x14ac:dyDescent="0.25">
      <c r="A5194">
        <v>8228</v>
      </c>
      <c r="B5194" s="15">
        <v>45129</v>
      </c>
      <c r="C5194" s="133"/>
      <c r="D5194" s="133"/>
      <c r="E5194" s="3"/>
      <c r="F5194">
        <v>84</v>
      </c>
    </row>
    <row r="5195" spans="1:6" x14ac:dyDescent="0.25">
      <c r="A5195">
        <v>8228</v>
      </c>
      <c r="B5195" s="15">
        <v>45130</v>
      </c>
      <c r="C5195" s="133"/>
      <c r="D5195" s="133"/>
      <c r="E5195" s="3"/>
      <c r="F5195">
        <v>85</v>
      </c>
    </row>
    <row r="5196" spans="1:6" x14ac:dyDescent="0.25">
      <c r="A5196">
        <v>8228</v>
      </c>
      <c r="B5196" s="15">
        <v>45131</v>
      </c>
      <c r="C5196" s="104" t="s">
        <v>2</v>
      </c>
      <c r="D5196" s="104" t="s">
        <v>2</v>
      </c>
      <c r="E5196" s="3"/>
      <c r="F5196">
        <v>86</v>
      </c>
    </row>
    <row r="5197" spans="1:6" x14ac:dyDescent="0.25">
      <c r="A5197">
        <v>8228</v>
      </c>
      <c r="B5197" s="15">
        <v>45132</v>
      </c>
      <c r="C5197" s="104" t="s">
        <v>2</v>
      </c>
      <c r="D5197" s="104" t="s">
        <v>2</v>
      </c>
      <c r="E5197" s="3"/>
      <c r="F5197">
        <v>87</v>
      </c>
    </row>
    <row r="5198" spans="1:6" x14ac:dyDescent="0.25">
      <c r="A5198">
        <v>8228</v>
      </c>
      <c r="B5198" s="15">
        <v>45133</v>
      </c>
      <c r="C5198" s="104" t="s">
        <v>2</v>
      </c>
      <c r="D5198" s="104" t="s">
        <v>2</v>
      </c>
      <c r="E5198" s="3"/>
      <c r="F5198">
        <v>88</v>
      </c>
    </row>
    <row r="5199" spans="1:6" x14ac:dyDescent="0.25">
      <c r="A5199">
        <v>8228</v>
      </c>
      <c r="B5199" s="15">
        <v>45134</v>
      </c>
      <c r="C5199" s="104" t="s">
        <v>2</v>
      </c>
      <c r="D5199" s="104" t="s">
        <v>2</v>
      </c>
      <c r="E5199" s="3"/>
      <c r="F5199">
        <v>89</v>
      </c>
    </row>
    <row r="5200" spans="1:6" x14ac:dyDescent="0.25">
      <c r="A5200">
        <v>8228</v>
      </c>
      <c r="B5200" s="15">
        <v>45135</v>
      </c>
      <c r="C5200" s="104" t="s">
        <v>2</v>
      </c>
      <c r="D5200" s="104" t="s">
        <v>2</v>
      </c>
      <c r="E5200" s="3"/>
      <c r="F5200">
        <v>90</v>
      </c>
    </row>
    <row r="5201" spans="1:6" x14ac:dyDescent="0.25">
      <c r="A5201">
        <v>8228</v>
      </c>
      <c r="B5201" s="15">
        <v>45136</v>
      </c>
      <c r="C5201" s="133"/>
      <c r="D5201" s="133"/>
      <c r="E5201" s="3"/>
      <c r="F5201">
        <v>91</v>
      </c>
    </row>
    <row r="5202" spans="1:6" x14ac:dyDescent="0.25">
      <c r="A5202">
        <v>8228</v>
      </c>
      <c r="B5202" s="15">
        <v>45137</v>
      </c>
      <c r="C5202" s="133"/>
      <c r="D5202" s="133"/>
      <c r="E5202" s="3"/>
      <c r="F5202">
        <v>92</v>
      </c>
    </row>
    <row r="5203" spans="1:6" x14ac:dyDescent="0.25">
      <c r="A5203">
        <v>8228</v>
      </c>
      <c r="B5203" s="15">
        <v>45138</v>
      </c>
      <c r="C5203" s="110"/>
      <c r="D5203" s="110"/>
      <c r="E5203" s="3"/>
      <c r="F5203">
        <v>93</v>
      </c>
    </row>
    <row r="5204" spans="1:6" x14ac:dyDescent="0.25">
      <c r="A5204">
        <v>8228</v>
      </c>
      <c r="B5204" s="15">
        <v>45139</v>
      </c>
      <c r="C5204" s="110"/>
      <c r="D5204" s="110"/>
      <c r="E5204" s="3"/>
      <c r="F5204">
        <v>94</v>
      </c>
    </row>
    <row r="5205" spans="1:6" x14ac:dyDescent="0.25">
      <c r="A5205">
        <v>8228</v>
      </c>
      <c r="B5205" s="15">
        <v>45140</v>
      </c>
      <c r="C5205" s="110"/>
      <c r="D5205" s="110"/>
      <c r="E5205" s="3"/>
      <c r="F5205">
        <v>95</v>
      </c>
    </row>
    <row r="5206" spans="1:6" x14ac:dyDescent="0.25">
      <c r="A5206">
        <v>8228</v>
      </c>
      <c r="B5206" s="15">
        <v>45141</v>
      </c>
      <c r="C5206" s="104" t="s">
        <v>2</v>
      </c>
      <c r="D5206" s="110" t="s">
        <v>157</v>
      </c>
      <c r="E5206" s="3"/>
      <c r="F5206">
        <v>96</v>
      </c>
    </row>
    <row r="5207" spans="1:6" x14ac:dyDescent="0.25">
      <c r="A5207">
        <v>8228</v>
      </c>
      <c r="B5207" s="15">
        <v>45142</v>
      </c>
      <c r="C5207" s="110"/>
      <c r="D5207" s="110"/>
      <c r="E5207" s="3"/>
      <c r="F5207">
        <v>97</v>
      </c>
    </row>
    <row r="5208" spans="1:6" x14ac:dyDescent="0.25">
      <c r="A5208">
        <v>8228</v>
      </c>
      <c r="B5208" s="15">
        <v>45143</v>
      </c>
      <c r="C5208" s="133"/>
      <c r="D5208" s="133"/>
      <c r="E5208" s="3"/>
      <c r="F5208">
        <v>98</v>
      </c>
    </row>
    <row r="5209" spans="1:6" x14ac:dyDescent="0.25">
      <c r="A5209">
        <v>8228</v>
      </c>
      <c r="B5209" s="15">
        <v>45144</v>
      </c>
      <c r="C5209" s="133"/>
      <c r="D5209" s="133"/>
      <c r="E5209" s="3"/>
      <c r="F5209">
        <v>99</v>
      </c>
    </row>
    <row r="5210" spans="1:6" x14ac:dyDescent="0.25">
      <c r="A5210">
        <v>8228</v>
      </c>
      <c r="B5210" s="15">
        <v>45145</v>
      </c>
      <c r="C5210" s="110"/>
      <c r="D5210" s="110" t="s">
        <v>158</v>
      </c>
      <c r="E5210" s="3"/>
      <c r="F5210">
        <v>100</v>
      </c>
    </row>
    <row r="5211" spans="1:6" x14ac:dyDescent="0.25">
      <c r="A5211">
        <v>8228</v>
      </c>
      <c r="B5211" s="15">
        <v>45146</v>
      </c>
      <c r="C5211" s="127"/>
      <c r="D5211" s="127"/>
      <c r="E5211" s="3"/>
      <c r="F5211">
        <v>101</v>
      </c>
    </row>
    <row r="5212" spans="1:6" x14ac:dyDescent="0.25">
      <c r="A5212">
        <v>8228</v>
      </c>
      <c r="B5212" s="15">
        <v>45147</v>
      </c>
      <c r="C5212" s="110" t="s">
        <v>157</v>
      </c>
      <c r="D5212" s="110" t="s">
        <v>157</v>
      </c>
      <c r="E5212" s="3"/>
      <c r="F5212">
        <v>102</v>
      </c>
    </row>
    <row r="5213" spans="1:6" x14ac:dyDescent="0.25">
      <c r="A5213">
        <v>8228</v>
      </c>
      <c r="B5213" s="15">
        <v>45148</v>
      </c>
      <c r="C5213" s="110"/>
      <c r="D5213" s="110"/>
      <c r="E5213" s="3"/>
      <c r="F5213">
        <v>103</v>
      </c>
    </row>
    <row r="5214" spans="1:6" x14ac:dyDescent="0.25">
      <c r="A5214">
        <v>8228</v>
      </c>
      <c r="B5214" s="15">
        <v>45149</v>
      </c>
      <c r="C5214" s="110"/>
      <c r="D5214" s="110"/>
      <c r="E5214" s="3"/>
      <c r="F5214">
        <v>104</v>
      </c>
    </row>
    <row r="5215" spans="1:6" x14ac:dyDescent="0.25">
      <c r="A5215">
        <v>8228</v>
      </c>
      <c r="B5215" s="15">
        <v>45150</v>
      </c>
      <c r="C5215" s="133"/>
      <c r="D5215" s="133"/>
      <c r="E5215" s="3"/>
      <c r="F5215">
        <v>105</v>
      </c>
    </row>
    <row r="5216" spans="1:6" x14ac:dyDescent="0.25">
      <c r="A5216">
        <v>8228</v>
      </c>
      <c r="B5216" s="15">
        <v>45151</v>
      </c>
      <c r="C5216" s="133"/>
      <c r="D5216" s="133"/>
      <c r="E5216" s="3"/>
      <c r="F5216">
        <v>106</v>
      </c>
    </row>
    <row r="5217" spans="1:6" x14ac:dyDescent="0.25">
      <c r="A5217">
        <v>8228</v>
      </c>
      <c r="B5217" s="15">
        <v>45152</v>
      </c>
      <c r="C5217" s="110"/>
      <c r="D5217" s="110" t="s">
        <v>157</v>
      </c>
      <c r="E5217" s="3"/>
      <c r="F5217">
        <v>107</v>
      </c>
    </row>
    <row r="5218" spans="1:6" x14ac:dyDescent="0.25">
      <c r="A5218">
        <v>8228</v>
      </c>
      <c r="B5218" s="15">
        <v>45153</v>
      </c>
      <c r="C5218" s="147"/>
      <c r="D5218" s="147"/>
      <c r="E5218" s="3"/>
      <c r="F5218">
        <v>108</v>
      </c>
    </row>
    <row r="5219" spans="1:6" x14ac:dyDescent="0.25">
      <c r="A5219">
        <v>8228</v>
      </c>
      <c r="B5219" s="15">
        <v>45154</v>
      </c>
      <c r="C5219" s="104" t="s">
        <v>2</v>
      </c>
      <c r="D5219" s="104" t="s">
        <v>2</v>
      </c>
      <c r="E5219" s="3"/>
      <c r="F5219">
        <v>109</v>
      </c>
    </row>
    <row r="5220" spans="1:6" x14ac:dyDescent="0.25">
      <c r="A5220">
        <v>8228</v>
      </c>
      <c r="B5220" s="15">
        <v>45155</v>
      </c>
      <c r="C5220" s="104" t="s">
        <v>2</v>
      </c>
      <c r="D5220" s="104" t="s">
        <v>2</v>
      </c>
      <c r="E5220" s="3"/>
      <c r="F5220">
        <v>110</v>
      </c>
    </row>
    <row r="5221" spans="1:6" x14ac:dyDescent="0.25">
      <c r="A5221">
        <v>8228</v>
      </c>
      <c r="B5221" s="15">
        <v>45156</v>
      </c>
      <c r="C5221" s="104" t="s">
        <v>2</v>
      </c>
      <c r="D5221" s="104" t="s">
        <v>2</v>
      </c>
      <c r="E5221" s="3"/>
      <c r="F5221">
        <v>111</v>
      </c>
    </row>
    <row r="5222" spans="1:6" x14ac:dyDescent="0.25">
      <c r="A5222">
        <v>8228</v>
      </c>
      <c r="B5222" s="15">
        <v>45157</v>
      </c>
      <c r="C5222" s="133"/>
      <c r="D5222" s="133"/>
      <c r="E5222" s="3"/>
      <c r="F5222">
        <v>112</v>
      </c>
    </row>
    <row r="5223" spans="1:6" x14ac:dyDescent="0.25">
      <c r="A5223">
        <v>8228</v>
      </c>
      <c r="B5223" s="15">
        <v>45158</v>
      </c>
      <c r="C5223" s="133"/>
      <c r="D5223" s="133"/>
      <c r="E5223" s="3"/>
      <c r="F5223">
        <v>113</v>
      </c>
    </row>
    <row r="5224" spans="1:6" x14ac:dyDescent="0.25">
      <c r="A5224">
        <v>8228</v>
      </c>
      <c r="B5224" s="15">
        <v>45159</v>
      </c>
      <c r="C5224" s="104" t="s">
        <v>2</v>
      </c>
      <c r="D5224" s="104" t="s">
        <v>2</v>
      </c>
      <c r="E5224" s="3"/>
      <c r="F5224">
        <v>114</v>
      </c>
    </row>
    <row r="5225" spans="1:6" x14ac:dyDescent="0.25">
      <c r="A5225">
        <v>8228</v>
      </c>
      <c r="B5225" s="15">
        <v>45160</v>
      </c>
      <c r="C5225" s="104" t="s">
        <v>2</v>
      </c>
      <c r="D5225" s="104" t="s">
        <v>2</v>
      </c>
      <c r="E5225" s="3"/>
      <c r="F5225">
        <v>115</v>
      </c>
    </row>
    <row r="5226" spans="1:6" x14ac:dyDescent="0.25">
      <c r="A5226">
        <v>8228</v>
      </c>
      <c r="B5226" s="15">
        <v>45161</v>
      </c>
      <c r="C5226" s="104" t="s">
        <v>2</v>
      </c>
      <c r="D5226" s="104" t="s">
        <v>2</v>
      </c>
      <c r="E5226" s="3"/>
      <c r="F5226">
        <v>116</v>
      </c>
    </row>
    <row r="5227" spans="1:6" x14ac:dyDescent="0.25">
      <c r="A5227">
        <v>8228</v>
      </c>
      <c r="B5227" s="15">
        <v>45162</v>
      </c>
      <c r="C5227" s="104" t="s">
        <v>2</v>
      </c>
      <c r="D5227" s="104" t="s">
        <v>2</v>
      </c>
      <c r="E5227" s="3"/>
      <c r="F5227">
        <v>117</v>
      </c>
    </row>
    <row r="5228" spans="1:6" x14ac:dyDescent="0.25">
      <c r="A5228">
        <v>8228</v>
      </c>
      <c r="B5228" s="15">
        <v>45163</v>
      </c>
      <c r="C5228" s="104" t="s">
        <v>2</v>
      </c>
      <c r="D5228" s="104" t="s">
        <v>2</v>
      </c>
      <c r="E5228" s="3"/>
      <c r="F5228">
        <v>118</v>
      </c>
    </row>
    <row r="5229" spans="1:6" x14ac:dyDescent="0.25">
      <c r="A5229">
        <v>8228</v>
      </c>
      <c r="B5229" s="15">
        <v>45164</v>
      </c>
      <c r="C5229" s="133"/>
      <c r="D5229" s="133"/>
      <c r="E5229" s="3"/>
      <c r="F5229">
        <v>119</v>
      </c>
    </row>
    <row r="5230" spans="1:6" x14ac:dyDescent="0.25">
      <c r="A5230">
        <v>8228</v>
      </c>
      <c r="B5230" s="15">
        <v>45165</v>
      </c>
      <c r="C5230" s="133"/>
      <c r="D5230" s="133"/>
      <c r="E5230" s="3"/>
      <c r="F5230">
        <v>120</v>
      </c>
    </row>
    <row r="5231" spans="1:6" x14ac:dyDescent="0.25">
      <c r="A5231">
        <v>8228</v>
      </c>
      <c r="B5231" s="15">
        <v>45166</v>
      </c>
      <c r="C5231" s="104" t="s">
        <v>2</v>
      </c>
      <c r="D5231" s="104" t="s">
        <v>2</v>
      </c>
      <c r="E5231" s="3"/>
      <c r="F5231">
        <v>121</v>
      </c>
    </row>
    <row r="5232" spans="1:6" x14ac:dyDescent="0.25">
      <c r="A5232">
        <v>8228</v>
      </c>
      <c r="B5232" s="15">
        <v>45167</v>
      </c>
      <c r="C5232" s="104" t="s">
        <v>2</v>
      </c>
      <c r="D5232" s="104" t="s">
        <v>2</v>
      </c>
      <c r="E5232" s="3"/>
      <c r="F5232">
        <v>122</v>
      </c>
    </row>
    <row r="5233" spans="1:6" x14ac:dyDescent="0.25">
      <c r="A5233">
        <v>8228</v>
      </c>
      <c r="B5233" s="15">
        <v>45168</v>
      </c>
      <c r="C5233" s="104" t="s">
        <v>2</v>
      </c>
      <c r="D5233" s="104" t="s">
        <v>2</v>
      </c>
      <c r="E5233" s="3"/>
      <c r="F5233">
        <v>123</v>
      </c>
    </row>
    <row r="5234" spans="1:6" x14ac:dyDescent="0.25">
      <c r="A5234">
        <v>8228</v>
      </c>
      <c r="B5234" s="15">
        <v>45169</v>
      </c>
      <c r="C5234" s="104" t="s">
        <v>2</v>
      </c>
      <c r="D5234" s="104" t="s">
        <v>2</v>
      </c>
      <c r="E5234" s="3"/>
      <c r="F5234">
        <v>124</v>
      </c>
    </row>
    <row r="5235" spans="1:6" x14ac:dyDescent="0.25">
      <c r="A5235">
        <v>8228</v>
      </c>
      <c r="B5235" s="15">
        <v>45170</v>
      </c>
      <c r="C5235" s="104" t="s">
        <v>2</v>
      </c>
      <c r="D5235" s="104" t="s">
        <v>2</v>
      </c>
      <c r="E5235" s="3"/>
      <c r="F5235">
        <v>125</v>
      </c>
    </row>
    <row r="5236" spans="1:6" x14ac:dyDescent="0.25">
      <c r="A5236">
        <v>8228</v>
      </c>
      <c r="B5236" s="15">
        <v>45171</v>
      </c>
      <c r="C5236" s="133"/>
      <c r="D5236" s="133"/>
      <c r="E5236" s="3"/>
      <c r="F5236">
        <v>126</v>
      </c>
    </row>
    <row r="5237" spans="1:6" x14ac:dyDescent="0.25">
      <c r="A5237">
        <v>8228</v>
      </c>
      <c r="B5237" s="15">
        <v>45172</v>
      </c>
      <c r="C5237" s="133"/>
      <c r="D5237" s="133"/>
      <c r="E5237" s="3"/>
      <c r="F5237">
        <v>127</v>
      </c>
    </row>
    <row r="5238" spans="1:6" x14ac:dyDescent="0.25">
      <c r="A5238">
        <v>8228</v>
      </c>
      <c r="B5238" s="15">
        <v>45173</v>
      </c>
      <c r="C5238" s="110"/>
      <c r="D5238" s="110"/>
      <c r="E5238" s="3"/>
      <c r="F5238">
        <v>128</v>
      </c>
    </row>
    <row r="5239" spans="1:6" x14ac:dyDescent="0.25">
      <c r="A5239">
        <v>8228</v>
      </c>
      <c r="B5239" s="15">
        <v>45174</v>
      </c>
      <c r="C5239" s="127"/>
      <c r="D5239" s="127"/>
      <c r="E5239" s="3"/>
      <c r="F5239">
        <v>129</v>
      </c>
    </row>
    <row r="5240" spans="1:6" x14ac:dyDescent="0.25">
      <c r="A5240">
        <v>8228</v>
      </c>
      <c r="B5240" s="15">
        <v>45175</v>
      </c>
      <c r="C5240" s="110"/>
      <c r="D5240" s="110" t="s">
        <v>158</v>
      </c>
      <c r="E5240" s="3"/>
      <c r="F5240">
        <v>130</v>
      </c>
    </row>
    <row r="5241" spans="1:6" x14ac:dyDescent="0.25">
      <c r="A5241">
        <v>8228</v>
      </c>
      <c r="B5241" s="15">
        <v>45176</v>
      </c>
      <c r="C5241" s="110"/>
      <c r="D5241" s="110"/>
      <c r="E5241" s="3"/>
      <c r="F5241">
        <v>131</v>
      </c>
    </row>
    <row r="5242" spans="1:6" x14ac:dyDescent="0.25">
      <c r="A5242">
        <v>8228</v>
      </c>
      <c r="B5242" s="15">
        <v>45177</v>
      </c>
      <c r="C5242" s="110"/>
      <c r="D5242" s="110"/>
      <c r="E5242" s="3"/>
      <c r="F5242">
        <v>132</v>
      </c>
    </row>
    <row r="5243" spans="1:6" x14ac:dyDescent="0.25">
      <c r="A5243">
        <v>8228</v>
      </c>
      <c r="B5243" s="15">
        <v>45178</v>
      </c>
      <c r="C5243" s="133"/>
      <c r="D5243" s="133"/>
      <c r="E5243" s="3"/>
      <c r="F5243">
        <v>133</v>
      </c>
    </row>
    <row r="5244" spans="1:6" x14ac:dyDescent="0.25">
      <c r="A5244">
        <v>8228</v>
      </c>
      <c r="B5244" s="15">
        <v>45179</v>
      </c>
      <c r="C5244" s="133"/>
      <c r="D5244" s="133"/>
      <c r="E5244" s="3"/>
      <c r="F5244">
        <v>134</v>
      </c>
    </row>
    <row r="5245" spans="1:6" x14ac:dyDescent="0.25">
      <c r="A5245">
        <v>8228</v>
      </c>
      <c r="B5245" s="15">
        <v>45180</v>
      </c>
      <c r="C5245" s="110"/>
      <c r="D5245" s="110" t="s">
        <v>164</v>
      </c>
      <c r="E5245" s="3"/>
      <c r="F5245">
        <v>135</v>
      </c>
    </row>
    <row r="5246" spans="1:6" x14ac:dyDescent="0.25">
      <c r="A5246">
        <v>8228</v>
      </c>
      <c r="B5246" s="15">
        <v>45181</v>
      </c>
      <c r="C5246" s="110"/>
      <c r="D5246" s="110"/>
      <c r="E5246" s="3"/>
      <c r="F5246">
        <v>136</v>
      </c>
    </row>
    <row r="5247" spans="1:6" x14ac:dyDescent="0.25">
      <c r="A5247">
        <v>8228</v>
      </c>
      <c r="B5247" s="15">
        <v>45182</v>
      </c>
      <c r="C5247" s="105" t="s">
        <v>157</v>
      </c>
      <c r="D5247" s="105" t="s">
        <v>157</v>
      </c>
      <c r="E5247" s="3"/>
      <c r="F5247">
        <v>137</v>
      </c>
    </row>
    <row r="5248" spans="1:6" x14ac:dyDescent="0.25">
      <c r="A5248">
        <v>8228</v>
      </c>
      <c r="B5248" s="15">
        <v>45183</v>
      </c>
      <c r="C5248" s="110"/>
      <c r="D5248" s="110"/>
      <c r="E5248" s="3"/>
      <c r="F5248">
        <v>138</v>
      </c>
    </row>
    <row r="5249" spans="1:6" x14ac:dyDescent="0.25">
      <c r="A5249">
        <v>8228</v>
      </c>
      <c r="B5249" s="15">
        <v>45184</v>
      </c>
      <c r="C5249" s="110"/>
      <c r="D5249" s="110" t="s">
        <v>164</v>
      </c>
      <c r="E5249" s="3"/>
      <c r="F5249">
        <v>139</v>
      </c>
    </row>
    <row r="5250" spans="1:6" x14ac:dyDescent="0.25">
      <c r="A5250">
        <v>8228</v>
      </c>
      <c r="B5250" s="15">
        <v>45185</v>
      </c>
      <c r="C5250" s="133"/>
      <c r="D5250" s="133"/>
      <c r="E5250" s="3"/>
      <c r="F5250">
        <v>140</v>
      </c>
    </row>
    <row r="5251" spans="1:6" x14ac:dyDescent="0.25">
      <c r="A5251">
        <v>8228</v>
      </c>
      <c r="B5251" s="15">
        <v>45186</v>
      </c>
      <c r="C5251" s="133"/>
      <c r="D5251" s="133"/>
      <c r="E5251" s="3"/>
      <c r="F5251">
        <v>141</v>
      </c>
    </row>
    <row r="5252" spans="1:6" x14ac:dyDescent="0.25">
      <c r="A5252">
        <v>8228</v>
      </c>
      <c r="B5252" s="15">
        <v>45187</v>
      </c>
      <c r="C5252" s="110"/>
      <c r="D5252" s="110"/>
      <c r="E5252" s="3"/>
      <c r="F5252">
        <v>142</v>
      </c>
    </row>
    <row r="5253" spans="1:6" x14ac:dyDescent="0.25">
      <c r="A5253">
        <v>8228</v>
      </c>
      <c r="B5253" s="15">
        <v>45188</v>
      </c>
      <c r="C5253" s="110"/>
      <c r="D5253" s="110"/>
      <c r="E5253" s="3"/>
      <c r="F5253">
        <v>143</v>
      </c>
    </row>
    <row r="5254" spans="1:6" x14ac:dyDescent="0.25">
      <c r="A5254">
        <v>8228</v>
      </c>
      <c r="B5254" s="15">
        <v>45189</v>
      </c>
      <c r="C5254" s="110"/>
      <c r="D5254" s="110"/>
      <c r="E5254" s="3"/>
      <c r="F5254">
        <v>144</v>
      </c>
    </row>
    <row r="5255" spans="1:6" x14ac:dyDescent="0.25">
      <c r="A5255">
        <v>8228</v>
      </c>
      <c r="B5255" s="15">
        <v>45190</v>
      </c>
      <c r="C5255" s="110"/>
      <c r="D5255" s="110"/>
      <c r="E5255" s="3"/>
      <c r="F5255">
        <v>145</v>
      </c>
    </row>
    <row r="5256" spans="1:6" x14ac:dyDescent="0.25">
      <c r="A5256">
        <v>8228</v>
      </c>
      <c r="B5256" s="15">
        <v>45191</v>
      </c>
      <c r="C5256" s="110" t="s">
        <v>157</v>
      </c>
      <c r="D5256" s="110" t="s">
        <v>157</v>
      </c>
      <c r="E5256" s="3"/>
      <c r="F5256">
        <v>146</v>
      </c>
    </row>
    <row r="5257" spans="1:6" x14ac:dyDescent="0.25">
      <c r="A5257">
        <v>8228</v>
      </c>
      <c r="B5257" s="15">
        <v>45192</v>
      </c>
      <c r="C5257" s="133"/>
      <c r="D5257" s="133"/>
      <c r="E5257" s="3"/>
      <c r="F5257">
        <v>147</v>
      </c>
    </row>
    <row r="5258" spans="1:6" x14ac:dyDescent="0.25">
      <c r="A5258">
        <v>8228</v>
      </c>
      <c r="B5258" s="15">
        <v>45193</v>
      </c>
      <c r="C5258" s="133"/>
      <c r="D5258" s="133"/>
      <c r="E5258" s="3"/>
      <c r="F5258">
        <v>148</v>
      </c>
    </row>
    <row r="5259" spans="1:6" x14ac:dyDescent="0.25">
      <c r="A5259">
        <v>8228</v>
      </c>
      <c r="B5259" s="15">
        <v>45194</v>
      </c>
      <c r="C5259" s="110"/>
      <c r="D5259" s="110"/>
      <c r="E5259" s="3"/>
      <c r="F5259">
        <v>149</v>
      </c>
    </row>
    <row r="5260" spans="1:6" x14ac:dyDescent="0.25">
      <c r="A5260">
        <v>8228</v>
      </c>
      <c r="B5260" s="15">
        <v>45195</v>
      </c>
      <c r="C5260" s="110"/>
      <c r="D5260" s="110"/>
      <c r="E5260" s="3"/>
      <c r="F5260">
        <v>150</v>
      </c>
    </row>
    <row r="5261" spans="1:6" x14ac:dyDescent="0.25">
      <c r="A5261">
        <v>8228</v>
      </c>
      <c r="B5261" s="15">
        <v>45196</v>
      </c>
      <c r="C5261" s="110"/>
      <c r="D5261" s="110"/>
      <c r="E5261" s="3"/>
      <c r="F5261">
        <v>151</v>
      </c>
    </row>
    <row r="5262" spans="1:6" x14ac:dyDescent="0.25">
      <c r="A5262">
        <v>8228</v>
      </c>
      <c r="B5262" s="15">
        <v>45197</v>
      </c>
      <c r="C5262" s="110"/>
      <c r="D5262" s="110"/>
      <c r="E5262" s="3"/>
      <c r="F5262">
        <v>152</v>
      </c>
    </row>
    <row r="5263" spans="1:6" x14ac:dyDescent="0.25">
      <c r="A5263">
        <v>8228</v>
      </c>
      <c r="B5263" s="15">
        <v>45198</v>
      </c>
      <c r="C5263" s="110"/>
      <c r="D5263" s="104" t="s">
        <v>2</v>
      </c>
      <c r="E5263" s="3"/>
      <c r="F5263">
        <v>153</v>
      </c>
    </row>
    <row r="5264" spans="1:6" x14ac:dyDescent="0.25">
      <c r="A5264">
        <v>8228</v>
      </c>
      <c r="B5264" s="15">
        <v>45199</v>
      </c>
      <c r="C5264" s="133"/>
      <c r="D5264" s="133"/>
      <c r="E5264" s="3"/>
      <c r="F5264">
        <v>154</v>
      </c>
    </row>
    <row r="5265" spans="1:6" x14ac:dyDescent="0.25">
      <c r="A5265">
        <v>8228</v>
      </c>
      <c r="B5265" s="15">
        <v>45200</v>
      </c>
      <c r="C5265" s="133"/>
      <c r="D5265" s="133"/>
      <c r="E5265" s="3"/>
      <c r="F5265">
        <v>155</v>
      </c>
    </row>
    <row r="5266" spans="1:6" x14ac:dyDescent="0.25">
      <c r="A5266">
        <v>8228</v>
      </c>
      <c r="B5266" s="15">
        <v>45201</v>
      </c>
      <c r="C5266" s="109" t="s">
        <v>2</v>
      </c>
      <c r="D5266" s="109" t="s">
        <v>2</v>
      </c>
      <c r="E5266" s="3"/>
      <c r="F5266">
        <v>156</v>
      </c>
    </row>
    <row r="5267" spans="1:6" x14ac:dyDescent="0.25">
      <c r="A5267">
        <v>8228</v>
      </c>
      <c r="B5267" s="15">
        <v>45202</v>
      </c>
      <c r="C5267" s="110"/>
      <c r="D5267" s="110"/>
      <c r="E5267" s="3"/>
      <c r="F5267">
        <v>157</v>
      </c>
    </row>
    <row r="5268" spans="1:6" x14ac:dyDescent="0.25">
      <c r="A5268">
        <v>8228</v>
      </c>
      <c r="B5268" s="15">
        <v>45203</v>
      </c>
      <c r="C5268" s="110"/>
      <c r="D5268" s="110"/>
      <c r="E5268" s="3"/>
      <c r="F5268">
        <v>158</v>
      </c>
    </row>
    <row r="5269" spans="1:6" x14ac:dyDescent="0.25">
      <c r="A5269">
        <v>8228</v>
      </c>
      <c r="B5269" s="15">
        <v>45204</v>
      </c>
      <c r="C5269" s="110"/>
      <c r="D5269" s="110"/>
      <c r="E5269" s="3"/>
      <c r="F5269">
        <v>159</v>
      </c>
    </row>
    <row r="5270" spans="1:6" x14ac:dyDescent="0.25">
      <c r="A5270">
        <v>8228</v>
      </c>
      <c r="B5270" s="15">
        <v>45205</v>
      </c>
      <c r="C5270" s="110"/>
      <c r="D5270" s="110"/>
      <c r="E5270" s="3"/>
      <c r="F5270">
        <v>160</v>
      </c>
    </row>
    <row r="5271" spans="1:6" x14ac:dyDescent="0.25">
      <c r="A5271">
        <v>8228</v>
      </c>
      <c r="B5271" s="15">
        <v>45206</v>
      </c>
      <c r="C5271" s="133"/>
      <c r="D5271" s="133"/>
      <c r="E5271" s="3"/>
      <c r="F5271">
        <v>161</v>
      </c>
    </row>
    <row r="5272" spans="1:6" x14ac:dyDescent="0.25">
      <c r="A5272">
        <v>8228</v>
      </c>
      <c r="B5272" s="15">
        <v>45207</v>
      </c>
      <c r="C5272" s="133"/>
      <c r="D5272" s="133"/>
      <c r="E5272" s="3"/>
      <c r="F5272">
        <v>162</v>
      </c>
    </row>
    <row r="5273" spans="1:6" x14ac:dyDescent="0.25">
      <c r="A5273">
        <v>8228</v>
      </c>
      <c r="B5273" s="15">
        <v>45208</v>
      </c>
      <c r="C5273" s="110"/>
      <c r="D5273" s="110"/>
      <c r="E5273" s="3"/>
      <c r="F5273">
        <v>163</v>
      </c>
    </row>
    <row r="5274" spans="1:6" x14ac:dyDescent="0.25">
      <c r="A5274">
        <v>8228</v>
      </c>
      <c r="B5274" s="15">
        <v>45209</v>
      </c>
      <c r="C5274" s="110"/>
      <c r="D5274" s="110"/>
      <c r="E5274" s="3"/>
      <c r="F5274">
        <v>164</v>
      </c>
    </row>
    <row r="5275" spans="1:6" x14ac:dyDescent="0.25">
      <c r="A5275">
        <v>8228</v>
      </c>
      <c r="B5275" s="15">
        <v>45210</v>
      </c>
      <c r="C5275" s="110"/>
      <c r="D5275" s="110"/>
      <c r="E5275" s="3"/>
      <c r="F5275">
        <v>165</v>
      </c>
    </row>
    <row r="5276" spans="1:6" x14ac:dyDescent="0.25">
      <c r="A5276">
        <v>8228</v>
      </c>
      <c r="B5276" s="15">
        <v>45211</v>
      </c>
      <c r="C5276" s="110"/>
      <c r="D5276" s="110"/>
      <c r="E5276" s="3"/>
      <c r="F5276">
        <v>166</v>
      </c>
    </row>
    <row r="5277" spans="1:6" x14ac:dyDescent="0.25">
      <c r="A5277">
        <v>8228</v>
      </c>
      <c r="B5277" s="15">
        <v>45212</v>
      </c>
      <c r="C5277" s="110" t="s">
        <v>157</v>
      </c>
      <c r="D5277" s="110" t="s">
        <v>157</v>
      </c>
      <c r="E5277" s="3"/>
      <c r="F5277">
        <v>167</v>
      </c>
    </row>
    <row r="5278" spans="1:6" x14ac:dyDescent="0.25">
      <c r="A5278">
        <v>8228</v>
      </c>
      <c r="B5278" s="15">
        <v>45213</v>
      </c>
      <c r="C5278" s="133"/>
      <c r="D5278" s="133"/>
      <c r="E5278" s="3"/>
      <c r="F5278">
        <v>168</v>
      </c>
    </row>
    <row r="5279" spans="1:6" x14ac:dyDescent="0.25">
      <c r="A5279">
        <v>8228</v>
      </c>
      <c r="B5279" s="15">
        <v>45214</v>
      </c>
      <c r="C5279" s="133"/>
      <c r="D5279" s="133"/>
      <c r="E5279" s="3"/>
      <c r="F5279">
        <v>169</v>
      </c>
    </row>
    <row r="5280" spans="1:6" x14ac:dyDescent="0.25">
      <c r="A5280">
        <v>8228</v>
      </c>
      <c r="B5280" s="15">
        <v>45215</v>
      </c>
      <c r="C5280" s="115" t="s">
        <v>159</v>
      </c>
      <c r="D5280" s="105" t="s">
        <v>158</v>
      </c>
      <c r="E5280" s="3"/>
      <c r="F5280">
        <v>170</v>
      </c>
    </row>
    <row r="5281" spans="1:6" x14ac:dyDescent="0.25">
      <c r="A5281">
        <v>8228</v>
      </c>
      <c r="B5281" s="15">
        <v>45216</v>
      </c>
      <c r="C5281" s="110"/>
      <c r="D5281" s="110"/>
      <c r="E5281" s="3"/>
      <c r="F5281">
        <v>171</v>
      </c>
    </row>
    <row r="5282" spans="1:6" x14ac:dyDescent="0.25">
      <c r="A5282">
        <v>8228</v>
      </c>
      <c r="B5282" s="15">
        <v>45217</v>
      </c>
      <c r="C5282" s="110" t="s">
        <v>157</v>
      </c>
      <c r="D5282" s="104" t="s">
        <v>2</v>
      </c>
      <c r="E5282" s="3"/>
      <c r="F5282">
        <v>172</v>
      </c>
    </row>
    <row r="5283" spans="1:6" x14ac:dyDescent="0.25">
      <c r="A5283">
        <v>8228</v>
      </c>
      <c r="B5283" s="15">
        <v>45218</v>
      </c>
      <c r="C5283" s="110"/>
      <c r="D5283" s="110"/>
      <c r="E5283" s="3"/>
      <c r="F5283">
        <v>173</v>
      </c>
    </row>
    <row r="5284" spans="1:6" x14ac:dyDescent="0.25">
      <c r="A5284">
        <v>8228</v>
      </c>
      <c r="B5284" s="15">
        <v>45219</v>
      </c>
      <c r="C5284" s="104" t="s">
        <v>2</v>
      </c>
      <c r="D5284" s="104" t="s">
        <v>2</v>
      </c>
      <c r="E5284" s="3"/>
      <c r="F5284">
        <v>174</v>
      </c>
    </row>
    <row r="5285" spans="1:6" x14ac:dyDescent="0.25">
      <c r="A5285">
        <v>8228</v>
      </c>
      <c r="B5285" s="15">
        <v>45220</v>
      </c>
      <c r="C5285" s="133"/>
      <c r="D5285" s="133"/>
      <c r="E5285" s="3"/>
      <c r="F5285">
        <v>175</v>
      </c>
    </row>
    <row r="5286" spans="1:6" x14ac:dyDescent="0.25">
      <c r="A5286">
        <v>8228</v>
      </c>
      <c r="B5286" s="15">
        <v>45221</v>
      </c>
      <c r="C5286" s="133"/>
      <c r="D5286" s="133"/>
      <c r="E5286" s="3"/>
      <c r="F5286">
        <v>176</v>
      </c>
    </row>
    <row r="5287" spans="1:6" x14ac:dyDescent="0.25">
      <c r="A5287">
        <v>8228</v>
      </c>
      <c r="B5287" s="15">
        <v>45222</v>
      </c>
      <c r="C5287" s="104" t="s">
        <v>2</v>
      </c>
      <c r="D5287" s="104" t="s">
        <v>2</v>
      </c>
      <c r="E5287" s="3"/>
      <c r="F5287">
        <v>177</v>
      </c>
    </row>
    <row r="5288" spans="1:6" x14ac:dyDescent="0.25">
      <c r="A5288">
        <v>8228</v>
      </c>
      <c r="B5288" s="15">
        <v>45223</v>
      </c>
      <c r="C5288" s="104" t="s">
        <v>2</v>
      </c>
      <c r="D5288" s="104" t="s">
        <v>2</v>
      </c>
      <c r="E5288" s="3"/>
      <c r="F5288">
        <v>178</v>
      </c>
    </row>
    <row r="5289" spans="1:6" x14ac:dyDescent="0.25">
      <c r="A5289">
        <v>8228</v>
      </c>
      <c r="B5289" s="15">
        <v>45224</v>
      </c>
      <c r="C5289" s="104" t="s">
        <v>2</v>
      </c>
      <c r="D5289" s="104" t="s">
        <v>2</v>
      </c>
      <c r="E5289" s="3"/>
      <c r="F5289">
        <v>179</v>
      </c>
    </row>
    <row r="5290" spans="1:6" x14ac:dyDescent="0.25">
      <c r="A5290">
        <v>8228</v>
      </c>
      <c r="B5290" s="15">
        <v>45225</v>
      </c>
      <c r="C5290" s="104" t="s">
        <v>2</v>
      </c>
      <c r="D5290" s="104" t="s">
        <v>2</v>
      </c>
      <c r="E5290" s="3"/>
      <c r="F5290">
        <v>180</v>
      </c>
    </row>
    <row r="5291" spans="1:6" x14ac:dyDescent="0.25">
      <c r="A5291">
        <v>8228</v>
      </c>
      <c r="B5291" s="15">
        <v>45226</v>
      </c>
      <c r="C5291" s="104" t="s">
        <v>2</v>
      </c>
      <c r="D5291" s="104" t="s">
        <v>2</v>
      </c>
      <c r="E5291" s="3"/>
      <c r="F5291">
        <v>181</v>
      </c>
    </row>
    <row r="5292" spans="1:6" x14ac:dyDescent="0.25">
      <c r="A5292">
        <v>8228</v>
      </c>
      <c r="B5292" s="15">
        <v>45227</v>
      </c>
      <c r="C5292" s="133"/>
      <c r="D5292" s="133"/>
      <c r="E5292" s="3"/>
      <c r="F5292">
        <v>182</v>
      </c>
    </row>
    <row r="5293" spans="1:6" x14ac:dyDescent="0.25">
      <c r="A5293">
        <v>8228</v>
      </c>
      <c r="B5293" s="15">
        <v>45228</v>
      </c>
      <c r="C5293" s="133"/>
      <c r="D5293" s="133"/>
      <c r="E5293" s="3"/>
      <c r="F5293">
        <v>183</v>
      </c>
    </row>
    <row r="5294" spans="1:6" x14ac:dyDescent="0.25">
      <c r="A5294">
        <v>8228</v>
      </c>
      <c r="B5294" s="15">
        <v>45229</v>
      </c>
      <c r="C5294" s="104" t="s">
        <v>2</v>
      </c>
      <c r="D5294" s="104" t="s">
        <v>2</v>
      </c>
      <c r="E5294" s="3"/>
      <c r="F5294">
        <v>184</v>
      </c>
    </row>
    <row r="5295" spans="1:6" x14ac:dyDescent="0.25">
      <c r="A5295">
        <v>8228</v>
      </c>
      <c r="B5295" s="15">
        <v>45230</v>
      </c>
      <c r="C5295" s="104" t="s">
        <v>2</v>
      </c>
      <c r="D5295" s="104" t="s">
        <v>2</v>
      </c>
      <c r="E5295" s="3"/>
      <c r="F5295">
        <v>185</v>
      </c>
    </row>
    <row r="5296" spans="1:6" x14ac:dyDescent="0.25">
      <c r="A5296">
        <v>8228</v>
      </c>
      <c r="B5296" s="15">
        <v>45231</v>
      </c>
      <c r="C5296" s="147"/>
      <c r="D5296" s="147"/>
      <c r="E5296" s="3"/>
      <c r="F5296">
        <v>186</v>
      </c>
    </row>
    <row r="5297" spans="1:6" x14ac:dyDescent="0.25">
      <c r="A5297">
        <v>8228</v>
      </c>
      <c r="B5297" s="15">
        <v>45232</v>
      </c>
      <c r="C5297" s="104" t="s">
        <v>2</v>
      </c>
      <c r="D5297" s="104" t="s">
        <v>2</v>
      </c>
      <c r="E5297" s="3"/>
      <c r="F5297">
        <v>187</v>
      </c>
    </row>
    <row r="5298" spans="1:6" x14ac:dyDescent="0.25">
      <c r="A5298">
        <v>8228</v>
      </c>
      <c r="B5298" s="15">
        <v>45233</v>
      </c>
      <c r="C5298" s="104" t="s">
        <v>2</v>
      </c>
      <c r="D5298" s="104" t="s">
        <v>2</v>
      </c>
      <c r="E5298" s="3"/>
      <c r="F5298">
        <v>188</v>
      </c>
    </row>
    <row r="5299" spans="1:6" x14ac:dyDescent="0.25">
      <c r="A5299">
        <v>8228</v>
      </c>
      <c r="B5299" s="15">
        <v>45234</v>
      </c>
      <c r="C5299" s="133"/>
      <c r="D5299" s="133"/>
      <c r="E5299" s="3"/>
      <c r="F5299">
        <v>189</v>
      </c>
    </row>
    <row r="5300" spans="1:6" x14ac:dyDescent="0.25">
      <c r="A5300">
        <v>8228</v>
      </c>
      <c r="B5300" s="15">
        <v>45235</v>
      </c>
      <c r="C5300" s="133"/>
      <c r="D5300" s="133"/>
      <c r="E5300" s="3"/>
      <c r="F5300">
        <v>190</v>
      </c>
    </row>
    <row r="5301" spans="1:6" x14ac:dyDescent="0.25">
      <c r="A5301">
        <v>8228</v>
      </c>
      <c r="B5301" s="15">
        <v>45236</v>
      </c>
      <c r="C5301" s="104" t="s">
        <v>2</v>
      </c>
      <c r="D5301" s="104" t="s">
        <v>2</v>
      </c>
      <c r="E5301" s="3"/>
      <c r="F5301">
        <v>191</v>
      </c>
    </row>
    <row r="5302" spans="1:6" x14ac:dyDescent="0.25">
      <c r="A5302">
        <v>8228</v>
      </c>
      <c r="B5302" s="15">
        <v>45237</v>
      </c>
      <c r="C5302" s="110"/>
      <c r="D5302" s="105">
        <v>0.80208333333333337</v>
      </c>
      <c r="E5302" s="3"/>
      <c r="F5302">
        <v>192</v>
      </c>
    </row>
    <row r="5303" spans="1:6" x14ac:dyDescent="0.25">
      <c r="A5303">
        <v>8228</v>
      </c>
      <c r="B5303" s="15">
        <v>45238</v>
      </c>
      <c r="C5303" s="110"/>
      <c r="D5303" s="110"/>
      <c r="E5303" s="3"/>
      <c r="F5303">
        <v>193</v>
      </c>
    </row>
    <row r="5304" spans="1:6" x14ac:dyDescent="0.25">
      <c r="A5304">
        <v>8228</v>
      </c>
      <c r="B5304" s="15">
        <v>45239</v>
      </c>
      <c r="C5304" s="105">
        <v>0.35416666666666669</v>
      </c>
      <c r="D5304" s="105">
        <v>0.80208333333333337</v>
      </c>
      <c r="E5304" s="3"/>
      <c r="F5304">
        <v>194</v>
      </c>
    </row>
    <row r="5305" spans="1:6" x14ac:dyDescent="0.25">
      <c r="A5305">
        <v>8228</v>
      </c>
      <c r="B5305" s="15">
        <v>45240</v>
      </c>
      <c r="C5305" s="109" t="s">
        <v>163</v>
      </c>
      <c r="D5305" s="109" t="s">
        <v>163</v>
      </c>
      <c r="E5305" s="3"/>
      <c r="F5305">
        <v>195</v>
      </c>
    </row>
    <row r="5306" spans="1:6" x14ac:dyDescent="0.25">
      <c r="A5306">
        <v>8228</v>
      </c>
      <c r="B5306" s="15">
        <v>45241</v>
      </c>
      <c r="C5306" s="133"/>
      <c r="D5306" s="133"/>
      <c r="E5306" s="3"/>
      <c r="F5306">
        <v>196</v>
      </c>
    </row>
    <row r="5307" spans="1:6" x14ac:dyDescent="0.25">
      <c r="A5307">
        <v>8228</v>
      </c>
      <c r="B5307" s="15">
        <v>45242</v>
      </c>
      <c r="C5307" s="133"/>
      <c r="D5307" s="133"/>
      <c r="E5307" s="3"/>
      <c r="F5307">
        <v>197</v>
      </c>
    </row>
    <row r="5308" spans="1:6" x14ac:dyDescent="0.25">
      <c r="A5308">
        <v>8228</v>
      </c>
      <c r="B5308" s="15">
        <v>45243</v>
      </c>
      <c r="C5308" s="110" t="s">
        <v>157</v>
      </c>
      <c r="D5308" s="110" t="s">
        <v>302</v>
      </c>
      <c r="E5308" s="3"/>
      <c r="F5308">
        <v>198</v>
      </c>
    </row>
    <row r="5309" spans="1:6" x14ac:dyDescent="0.25">
      <c r="A5309">
        <v>8228</v>
      </c>
      <c r="B5309" s="15">
        <v>45244</v>
      </c>
      <c r="C5309" s="110"/>
      <c r="D5309" s="110"/>
      <c r="E5309" s="3"/>
      <c r="F5309">
        <v>199</v>
      </c>
    </row>
    <row r="5310" spans="1:6" x14ac:dyDescent="0.25">
      <c r="A5310">
        <v>8228</v>
      </c>
      <c r="B5310" s="15">
        <v>45245</v>
      </c>
      <c r="C5310" s="110"/>
      <c r="D5310" s="115" t="s">
        <v>158</v>
      </c>
      <c r="E5310" s="3"/>
      <c r="F5310">
        <v>200</v>
      </c>
    </row>
    <row r="5311" spans="1:6" x14ac:dyDescent="0.25">
      <c r="A5311">
        <v>8228</v>
      </c>
      <c r="B5311" s="15">
        <v>45246</v>
      </c>
      <c r="C5311" s="110" t="s">
        <v>303</v>
      </c>
      <c r="D5311" s="110"/>
      <c r="E5311" s="3"/>
      <c r="F5311">
        <v>201</v>
      </c>
    </row>
    <row r="5312" spans="1:6" x14ac:dyDescent="0.25">
      <c r="A5312">
        <v>8228</v>
      </c>
      <c r="B5312" s="15">
        <v>45247</v>
      </c>
      <c r="C5312" s="110"/>
      <c r="D5312" s="110" t="s">
        <v>304</v>
      </c>
      <c r="E5312" s="3"/>
      <c r="F5312">
        <v>202</v>
      </c>
    </row>
    <row r="5313" spans="1:6" x14ac:dyDescent="0.25">
      <c r="A5313">
        <v>8228</v>
      </c>
      <c r="B5313" s="15">
        <v>45248</v>
      </c>
      <c r="C5313" s="133"/>
      <c r="D5313" s="133"/>
      <c r="E5313" s="3"/>
      <c r="F5313">
        <v>203</v>
      </c>
    </row>
    <row r="5314" spans="1:6" x14ac:dyDescent="0.25">
      <c r="A5314">
        <v>8228</v>
      </c>
      <c r="B5314" s="15">
        <v>45249</v>
      </c>
      <c r="C5314" s="133"/>
      <c r="D5314" s="133"/>
      <c r="E5314" s="3"/>
      <c r="F5314">
        <v>204</v>
      </c>
    </row>
    <row r="5315" spans="1:6" x14ac:dyDescent="0.25">
      <c r="A5315">
        <v>8228</v>
      </c>
      <c r="B5315" s="15">
        <v>45250</v>
      </c>
      <c r="C5315" s="110"/>
      <c r="D5315" s="110"/>
      <c r="E5315" s="3"/>
      <c r="F5315">
        <v>205</v>
      </c>
    </row>
    <row r="5316" spans="1:6" x14ac:dyDescent="0.25">
      <c r="A5316">
        <v>8228</v>
      </c>
      <c r="B5316" s="15">
        <v>45251</v>
      </c>
      <c r="C5316" s="110"/>
      <c r="D5316" s="110" t="s">
        <v>306</v>
      </c>
      <c r="E5316" s="3"/>
      <c r="F5316">
        <v>206</v>
      </c>
    </row>
    <row r="5317" spans="1:6" x14ac:dyDescent="0.25">
      <c r="A5317">
        <v>8228</v>
      </c>
      <c r="B5317" s="15">
        <v>45252</v>
      </c>
      <c r="C5317" s="110" t="s">
        <v>157</v>
      </c>
      <c r="D5317" s="110" t="s">
        <v>157</v>
      </c>
      <c r="E5317" s="3"/>
      <c r="F5317">
        <v>207</v>
      </c>
    </row>
    <row r="5318" spans="1:6" x14ac:dyDescent="0.25">
      <c r="A5318">
        <v>8228</v>
      </c>
      <c r="B5318" s="15">
        <v>45253</v>
      </c>
      <c r="C5318" s="110"/>
      <c r="D5318" s="110"/>
      <c r="E5318" s="3"/>
      <c r="F5318">
        <v>208</v>
      </c>
    </row>
    <row r="5319" spans="1:6" x14ac:dyDescent="0.25">
      <c r="A5319">
        <v>8228</v>
      </c>
      <c r="B5319" s="15">
        <v>45254</v>
      </c>
      <c r="C5319" s="110"/>
      <c r="D5319" s="110"/>
      <c r="E5319" s="3"/>
      <c r="F5319">
        <v>209</v>
      </c>
    </row>
    <row r="5320" spans="1:6" x14ac:dyDescent="0.25">
      <c r="A5320">
        <v>8228</v>
      </c>
      <c r="B5320" s="15">
        <v>45255</v>
      </c>
      <c r="C5320" s="133"/>
      <c r="D5320" s="133"/>
      <c r="E5320" s="3"/>
      <c r="F5320">
        <v>210</v>
      </c>
    </row>
    <row r="5321" spans="1:6" x14ac:dyDescent="0.25">
      <c r="A5321">
        <v>8228</v>
      </c>
      <c r="B5321" s="15">
        <v>45256</v>
      </c>
      <c r="C5321" s="133"/>
      <c r="D5321" s="133"/>
      <c r="E5321" s="3"/>
      <c r="F5321">
        <v>211</v>
      </c>
    </row>
    <row r="5322" spans="1:6" x14ac:dyDescent="0.25">
      <c r="A5322">
        <v>8228</v>
      </c>
      <c r="B5322" s="15">
        <v>45257</v>
      </c>
      <c r="C5322" s="105">
        <v>0.375</v>
      </c>
      <c r="D5322" s="110"/>
      <c r="E5322" s="3"/>
      <c r="F5322">
        <v>212</v>
      </c>
    </row>
    <row r="5323" spans="1:6" x14ac:dyDescent="0.25">
      <c r="A5323">
        <v>8228</v>
      </c>
      <c r="B5323" s="15">
        <v>45258</v>
      </c>
      <c r="C5323" s="127"/>
      <c r="D5323" s="127"/>
      <c r="E5323" s="3"/>
      <c r="F5323">
        <v>213</v>
      </c>
    </row>
    <row r="5324" spans="1:6" x14ac:dyDescent="0.25">
      <c r="A5324">
        <v>8228</v>
      </c>
      <c r="B5324" s="15">
        <v>45259</v>
      </c>
      <c r="C5324" s="110"/>
      <c r="D5324" s="110"/>
      <c r="E5324" s="3"/>
      <c r="F5324">
        <v>214</v>
      </c>
    </row>
    <row r="5325" spans="1:6" x14ac:dyDescent="0.25">
      <c r="A5325">
        <v>8228</v>
      </c>
      <c r="B5325" s="15">
        <v>45260</v>
      </c>
      <c r="C5325" s="110"/>
      <c r="D5325" s="110"/>
      <c r="E5325" s="3"/>
      <c r="F5325">
        <v>215</v>
      </c>
    </row>
    <row r="5326" spans="1:6" x14ac:dyDescent="0.25">
      <c r="A5326">
        <v>8228</v>
      </c>
      <c r="B5326" s="15">
        <v>45261</v>
      </c>
      <c r="C5326" s="110" t="s">
        <v>157</v>
      </c>
      <c r="D5326" s="151" t="s">
        <v>307</v>
      </c>
      <c r="E5326" s="3"/>
      <c r="F5326">
        <v>216</v>
      </c>
    </row>
    <row r="5327" spans="1:6" x14ac:dyDescent="0.25">
      <c r="A5327">
        <v>8228</v>
      </c>
      <c r="B5327" s="15">
        <v>45262</v>
      </c>
      <c r="C5327" s="133"/>
      <c r="D5327" s="133"/>
      <c r="E5327" s="3"/>
      <c r="F5327">
        <v>217</v>
      </c>
    </row>
    <row r="5328" spans="1:6" x14ac:dyDescent="0.25">
      <c r="A5328">
        <v>8228</v>
      </c>
      <c r="B5328" s="15">
        <v>45263</v>
      </c>
      <c r="C5328" s="133"/>
      <c r="D5328" s="133"/>
      <c r="E5328" s="3"/>
      <c r="F5328">
        <v>218</v>
      </c>
    </row>
    <row r="5329" spans="1:6" x14ac:dyDescent="0.25">
      <c r="A5329">
        <v>8228</v>
      </c>
      <c r="B5329" s="15">
        <v>45264</v>
      </c>
      <c r="C5329" s="110" t="s">
        <v>157</v>
      </c>
      <c r="D5329" s="151" t="s">
        <v>308</v>
      </c>
      <c r="E5329" s="3"/>
      <c r="F5329">
        <v>219</v>
      </c>
    </row>
    <row r="5330" spans="1:6" x14ac:dyDescent="0.25">
      <c r="A5330">
        <v>8228</v>
      </c>
      <c r="B5330" s="15">
        <v>45265</v>
      </c>
      <c r="C5330" s="110" t="s">
        <v>157</v>
      </c>
      <c r="D5330" s="151" t="s">
        <v>309</v>
      </c>
      <c r="E5330" s="3"/>
      <c r="F5330">
        <v>220</v>
      </c>
    </row>
    <row r="5331" spans="1:6" x14ac:dyDescent="0.25">
      <c r="A5331">
        <v>8228</v>
      </c>
      <c r="B5331" s="15">
        <v>45266</v>
      </c>
      <c r="C5331" s="110"/>
      <c r="D5331" s="110"/>
      <c r="E5331" s="3"/>
      <c r="F5331">
        <v>221</v>
      </c>
    </row>
    <row r="5332" spans="1:6" x14ac:dyDescent="0.25">
      <c r="A5332">
        <v>8228</v>
      </c>
      <c r="B5332" s="15">
        <v>45267</v>
      </c>
      <c r="C5332" s="110"/>
      <c r="D5332" s="110"/>
      <c r="E5332" s="3"/>
      <c r="F5332">
        <v>222</v>
      </c>
    </row>
    <row r="5333" spans="1:6" x14ac:dyDescent="0.25">
      <c r="A5333">
        <v>8228</v>
      </c>
      <c r="B5333" s="15">
        <v>45268</v>
      </c>
      <c r="C5333" s="110"/>
      <c r="D5333" s="110"/>
      <c r="E5333" s="3"/>
      <c r="F5333">
        <v>223</v>
      </c>
    </row>
    <row r="5334" spans="1:6" x14ac:dyDescent="0.25">
      <c r="A5334">
        <v>8228</v>
      </c>
      <c r="B5334" s="15">
        <v>45269</v>
      </c>
      <c r="C5334" s="133"/>
      <c r="D5334" s="133"/>
      <c r="E5334" s="3"/>
      <c r="F5334">
        <v>224</v>
      </c>
    </row>
    <row r="5335" spans="1:6" x14ac:dyDescent="0.25">
      <c r="A5335">
        <v>8228</v>
      </c>
      <c r="B5335" s="15">
        <v>45270</v>
      </c>
      <c r="C5335" s="133"/>
      <c r="D5335" s="133"/>
      <c r="E5335" s="3"/>
      <c r="F5335">
        <v>225</v>
      </c>
    </row>
    <row r="5336" spans="1:6" x14ac:dyDescent="0.25">
      <c r="A5336">
        <v>8228</v>
      </c>
      <c r="B5336" s="15">
        <v>45271</v>
      </c>
      <c r="C5336" s="104" t="s">
        <v>2</v>
      </c>
      <c r="D5336" s="104" t="s">
        <v>2</v>
      </c>
      <c r="E5336" s="3"/>
      <c r="F5336">
        <v>226</v>
      </c>
    </row>
    <row r="5337" spans="1:6" x14ac:dyDescent="0.25">
      <c r="A5337">
        <v>8228</v>
      </c>
      <c r="B5337" s="15">
        <v>45272</v>
      </c>
      <c r="C5337" s="110"/>
      <c r="D5337" s="110"/>
      <c r="E5337" s="3"/>
      <c r="F5337">
        <v>227</v>
      </c>
    </row>
    <row r="5338" spans="1:6" x14ac:dyDescent="0.25">
      <c r="A5338">
        <v>8228</v>
      </c>
      <c r="B5338" s="15">
        <v>45273</v>
      </c>
      <c r="C5338" s="110"/>
      <c r="D5338" s="110"/>
      <c r="E5338" s="3"/>
      <c r="F5338">
        <v>228</v>
      </c>
    </row>
    <row r="5339" spans="1:6" x14ac:dyDescent="0.25">
      <c r="A5339">
        <v>8228</v>
      </c>
      <c r="B5339" s="15">
        <v>45274</v>
      </c>
      <c r="C5339" s="105">
        <v>0.375</v>
      </c>
      <c r="D5339" s="110"/>
      <c r="E5339" s="3"/>
      <c r="F5339">
        <v>229</v>
      </c>
    </row>
    <row r="5340" spans="1:6" x14ac:dyDescent="0.25">
      <c r="A5340">
        <v>8228</v>
      </c>
      <c r="B5340" s="15">
        <v>45275</v>
      </c>
      <c r="C5340" s="110"/>
      <c r="D5340" s="151" t="s">
        <v>374</v>
      </c>
      <c r="E5340" s="3"/>
      <c r="F5340">
        <v>230</v>
      </c>
    </row>
    <row r="5341" spans="1:6" x14ac:dyDescent="0.25">
      <c r="A5341">
        <v>8228</v>
      </c>
      <c r="B5341" s="15">
        <v>45276</v>
      </c>
      <c r="C5341" s="133"/>
      <c r="D5341" s="133"/>
      <c r="E5341" s="3"/>
      <c r="F5341">
        <v>231</v>
      </c>
    </row>
    <row r="5342" spans="1:6" x14ac:dyDescent="0.25">
      <c r="A5342">
        <v>8228</v>
      </c>
      <c r="B5342" s="15">
        <v>45277</v>
      </c>
      <c r="C5342" s="133"/>
      <c r="D5342" s="133"/>
      <c r="E5342" s="3"/>
      <c r="F5342">
        <v>232</v>
      </c>
    </row>
    <row r="5343" spans="1:6" x14ac:dyDescent="0.25">
      <c r="A5343">
        <v>8228</v>
      </c>
      <c r="B5343" s="15">
        <v>45278</v>
      </c>
      <c r="C5343" s="105">
        <v>0.375</v>
      </c>
      <c r="D5343" s="110"/>
      <c r="E5343" s="3"/>
      <c r="F5343">
        <v>233</v>
      </c>
    </row>
    <row r="5344" spans="1:6" x14ac:dyDescent="0.25">
      <c r="A5344">
        <v>8228</v>
      </c>
      <c r="B5344" s="15">
        <v>45279</v>
      </c>
      <c r="C5344" s="110"/>
      <c r="D5344" s="151">
        <v>0.79166666666666663</v>
      </c>
      <c r="E5344" s="3"/>
      <c r="F5344">
        <v>234</v>
      </c>
    </row>
    <row r="5345" spans="1:6" x14ac:dyDescent="0.25">
      <c r="A5345">
        <v>8228</v>
      </c>
      <c r="B5345" s="15">
        <v>45280</v>
      </c>
      <c r="C5345" s="104" t="s">
        <v>2</v>
      </c>
      <c r="D5345" s="104" t="s">
        <v>2</v>
      </c>
      <c r="E5345" s="3"/>
      <c r="F5345">
        <v>235</v>
      </c>
    </row>
    <row r="5346" spans="1:6" x14ac:dyDescent="0.25">
      <c r="A5346">
        <v>8228</v>
      </c>
      <c r="B5346" s="15">
        <v>45281</v>
      </c>
      <c r="C5346" s="110"/>
      <c r="D5346" s="110"/>
      <c r="E5346" s="3"/>
      <c r="F5346">
        <v>236</v>
      </c>
    </row>
    <row r="5347" spans="1:6" x14ac:dyDescent="0.25">
      <c r="A5347">
        <v>8228</v>
      </c>
      <c r="B5347" s="15">
        <v>45282</v>
      </c>
      <c r="C5347" s="110" t="s">
        <v>157</v>
      </c>
      <c r="D5347" s="110"/>
      <c r="E5347" s="3"/>
      <c r="F5347">
        <v>237</v>
      </c>
    </row>
    <row r="5348" spans="1:6" x14ac:dyDescent="0.25">
      <c r="A5348">
        <v>8228</v>
      </c>
      <c r="B5348" s="15">
        <v>45283</v>
      </c>
      <c r="C5348" s="133"/>
      <c r="D5348" s="133"/>
      <c r="E5348" s="3"/>
      <c r="F5348">
        <v>238</v>
      </c>
    </row>
    <row r="5349" spans="1:6" x14ac:dyDescent="0.25">
      <c r="A5349">
        <v>8228</v>
      </c>
      <c r="B5349" s="15">
        <v>45284</v>
      </c>
      <c r="C5349" s="133"/>
      <c r="D5349" s="133"/>
      <c r="E5349" s="3"/>
      <c r="F5349">
        <v>239</v>
      </c>
    </row>
    <row r="5350" spans="1:6" x14ac:dyDescent="0.25">
      <c r="A5350">
        <v>8228</v>
      </c>
      <c r="B5350" s="15">
        <v>45285</v>
      </c>
      <c r="C5350" s="133"/>
      <c r="D5350" s="133"/>
      <c r="E5350" s="3"/>
      <c r="F5350">
        <v>240</v>
      </c>
    </row>
    <row r="5351" spans="1:6" x14ac:dyDescent="0.25">
      <c r="A5351">
        <v>8228</v>
      </c>
      <c r="B5351" s="15">
        <v>45286</v>
      </c>
      <c r="C5351" s="104" t="s">
        <v>2</v>
      </c>
      <c r="D5351" s="104" t="s">
        <v>2</v>
      </c>
      <c r="E5351" s="3"/>
      <c r="F5351">
        <v>241</v>
      </c>
    </row>
    <row r="5352" spans="1:6" x14ac:dyDescent="0.25">
      <c r="A5352">
        <v>8228</v>
      </c>
      <c r="B5352" s="15">
        <v>45287</v>
      </c>
      <c r="C5352" s="104" t="s">
        <v>2</v>
      </c>
      <c r="D5352" s="104" t="s">
        <v>2</v>
      </c>
      <c r="E5352" s="3"/>
      <c r="F5352">
        <v>242</v>
      </c>
    </row>
    <row r="5353" spans="1:6" x14ac:dyDescent="0.25">
      <c r="A5353">
        <v>8228</v>
      </c>
      <c r="B5353" s="15">
        <v>45288</v>
      </c>
      <c r="C5353" s="104" t="s">
        <v>2</v>
      </c>
      <c r="D5353" s="104" t="s">
        <v>2</v>
      </c>
      <c r="E5353" s="3"/>
      <c r="F5353">
        <v>243</v>
      </c>
    </row>
    <row r="5354" spans="1:6" x14ac:dyDescent="0.25">
      <c r="A5354">
        <v>8228</v>
      </c>
      <c r="B5354" s="15">
        <v>45289</v>
      </c>
      <c r="C5354" s="104" t="s">
        <v>2</v>
      </c>
      <c r="D5354" s="104" t="s">
        <v>2</v>
      </c>
      <c r="E5354" s="3"/>
      <c r="F5354">
        <v>244</v>
      </c>
    </row>
    <row r="5355" spans="1:6" x14ac:dyDescent="0.25">
      <c r="A5355">
        <v>8228</v>
      </c>
      <c r="B5355" s="15">
        <v>45290</v>
      </c>
      <c r="C5355" s="133"/>
      <c r="D5355" s="133"/>
      <c r="E5355" s="3"/>
      <c r="F5355">
        <v>245</v>
      </c>
    </row>
    <row r="5356" spans="1:6" x14ac:dyDescent="0.25">
      <c r="A5356">
        <v>8228</v>
      </c>
      <c r="B5356" s="15">
        <v>45291</v>
      </c>
      <c r="C5356" s="133"/>
      <c r="D5356" s="133"/>
      <c r="E5356" s="3"/>
      <c r="F5356">
        <v>246</v>
      </c>
    </row>
    <row r="5357" spans="1:6" x14ac:dyDescent="0.25">
      <c r="A5357">
        <v>8228</v>
      </c>
      <c r="B5357" s="15">
        <v>45292</v>
      </c>
      <c r="C5357" s="133"/>
      <c r="D5357" s="133"/>
      <c r="E5357" s="3"/>
      <c r="F5357">
        <v>247</v>
      </c>
    </row>
    <row r="5358" spans="1:6" x14ac:dyDescent="0.25">
      <c r="A5358">
        <v>8228</v>
      </c>
      <c r="B5358" s="15">
        <v>45293</v>
      </c>
      <c r="C5358" s="110"/>
      <c r="D5358" s="151">
        <v>0.79166666666666663</v>
      </c>
      <c r="E5358" s="3"/>
      <c r="F5358">
        <v>248</v>
      </c>
    </row>
    <row r="5359" spans="1:6" x14ac:dyDescent="0.25">
      <c r="A5359">
        <v>8228</v>
      </c>
      <c r="B5359" s="15">
        <v>45294</v>
      </c>
      <c r="C5359" s="110" t="s">
        <v>317</v>
      </c>
      <c r="D5359" s="110" t="s">
        <v>317</v>
      </c>
      <c r="E5359" s="3"/>
      <c r="F5359">
        <v>249</v>
      </c>
    </row>
    <row r="5360" spans="1:6" x14ac:dyDescent="0.25">
      <c r="A5360">
        <v>8228</v>
      </c>
      <c r="B5360" s="15">
        <v>45295</v>
      </c>
      <c r="C5360" s="110"/>
      <c r="D5360" s="110"/>
      <c r="E5360" s="3"/>
      <c r="F5360">
        <v>250</v>
      </c>
    </row>
    <row r="5361" spans="1:6" x14ac:dyDescent="0.25">
      <c r="A5361">
        <v>8228</v>
      </c>
      <c r="B5361" s="15">
        <v>45296</v>
      </c>
      <c r="C5361" s="110"/>
      <c r="D5361" s="110"/>
      <c r="E5361" s="3"/>
      <c r="F5361">
        <v>251</v>
      </c>
    </row>
    <row r="5362" spans="1:6" x14ac:dyDescent="0.25">
      <c r="A5362">
        <v>8228</v>
      </c>
      <c r="B5362" s="15">
        <v>45297</v>
      </c>
      <c r="C5362" s="133"/>
      <c r="D5362" s="133"/>
      <c r="E5362" s="3"/>
      <c r="F5362">
        <v>252</v>
      </c>
    </row>
    <row r="5363" spans="1:6" x14ac:dyDescent="0.25">
      <c r="A5363">
        <v>8228</v>
      </c>
      <c r="B5363" s="15">
        <v>45298</v>
      </c>
      <c r="C5363" s="133"/>
      <c r="D5363" s="133"/>
      <c r="E5363" s="3"/>
      <c r="F5363">
        <v>253</v>
      </c>
    </row>
    <row r="5364" spans="1:6" x14ac:dyDescent="0.25">
      <c r="A5364">
        <v>8228</v>
      </c>
      <c r="B5364" s="15">
        <v>45299</v>
      </c>
      <c r="C5364" s="110"/>
      <c r="D5364" s="151">
        <v>0.79166666666666663</v>
      </c>
      <c r="E5364" s="3"/>
      <c r="F5364">
        <v>254</v>
      </c>
    </row>
    <row r="5365" spans="1:6" x14ac:dyDescent="0.25">
      <c r="A5365">
        <v>8228</v>
      </c>
      <c r="B5365" s="15">
        <v>45300</v>
      </c>
      <c r="C5365" s="110"/>
      <c r="D5365" s="151">
        <v>0.79166666666666663</v>
      </c>
      <c r="E5365" s="3"/>
      <c r="F5365">
        <v>255</v>
      </c>
    </row>
    <row r="5366" spans="1:6" x14ac:dyDescent="0.25">
      <c r="A5366">
        <v>8228</v>
      </c>
      <c r="B5366" s="15">
        <v>45301</v>
      </c>
      <c r="C5366" s="105" t="s">
        <v>318</v>
      </c>
      <c r="D5366" s="110" t="s">
        <v>319</v>
      </c>
      <c r="E5366" s="3"/>
      <c r="F5366">
        <v>256</v>
      </c>
    </row>
    <row r="5367" spans="1:6" x14ac:dyDescent="0.25">
      <c r="A5367">
        <v>8228</v>
      </c>
      <c r="B5367" s="15">
        <v>45302</v>
      </c>
      <c r="C5367" s="110"/>
      <c r="D5367" s="110"/>
      <c r="E5367" s="3"/>
      <c r="F5367">
        <v>257</v>
      </c>
    </row>
    <row r="5368" spans="1:6" x14ac:dyDescent="0.25">
      <c r="A5368">
        <v>8228</v>
      </c>
      <c r="B5368" s="15">
        <v>45303</v>
      </c>
      <c r="C5368" s="105">
        <v>0.375</v>
      </c>
      <c r="D5368" s="110"/>
      <c r="E5368" s="3"/>
      <c r="F5368">
        <v>258</v>
      </c>
    </row>
    <row r="5369" spans="1:6" x14ac:dyDescent="0.25">
      <c r="A5369">
        <v>8228</v>
      </c>
      <c r="B5369" s="15">
        <v>45304</v>
      </c>
      <c r="C5369" s="133"/>
      <c r="D5369" s="133"/>
      <c r="E5369" s="3"/>
      <c r="F5369">
        <v>259</v>
      </c>
    </row>
    <row r="5370" spans="1:6" x14ac:dyDescent="0.25">
      <c r="A5370">
        <v>8228</v>
      </c>
      <c r="B5370" s="15">
        <v>45305</v>
      </c>
      <c r="C5370" s="133"/>
      <c r="D5370" s="133"/>
      <c r="E5370" s="3"/>
      <c r="F5370">
        <v>260</v>
      </c>
    </row>
    <row r="5371" spans="1:6" x14ac:dyDescent="0.25">
      <c r="A5371">
        <v>8228</v>
      </c>
      <c r="B5371" s="15">
        <v>45306</v>
      </c>
      <c r="C5371" s="105">
        <v>0.375</v>
      </c>
      <c r="D5371" s="110"/>
      <c r="E5371" s="3"/>
      <c r="F5371">
        <v>261</v>
      </c>
    </row>
    <row r="5372" spans="1:6" x14ac:dyDescent="0.25">
      <c r="A5372">
        <v>8228</v>
      </c>
      <c r="B5372" s="15">
        <v>45307</v>
      </c>
      <c r="C5372" s="110"/>
      <c r="D5372" s="151">
        <v>0.79166666666666663</v>
      </c>
      <c r="E5372" s="3"/>
      <c r="F5372">
        <v>262</v>
      </c>
    </row>
    <row r="5373" spans="1:6" x14ac:dyDescent="0.25">
      <c r="A5373">
        <v>8228</v>
      </c>
      <c r="B5373" s="15">
        <v>45308</v>
      </c>
      <c r="C5373" s="110"/>
      <c r="D5373" s="110"/>
      <c r="E5373" s="3"/>
      <c r="F5373">
        <v>263</v>
      </c>
    </row>
    <row r="5374" spans="1:6" x14ac:dyDescent="0.25">
      <c r="A5374">
        <v>8228</v>
      </c>
      <c r="B5374" s="15">
        <v>45309</v>
      </c>
      <c r="C5374" s="110"/>
      <c r="D5374" s="110"/>
      <c r="E5374" s="3"/>
      <c r="F5374">
        <v>264</v>
      </c>
    </row>
    <row r="5375" spans="1:6" x14ac:dyDescent="0.25">
      <c r="A5375">
        <v>8228</v>
      </c>
      <c r="B5375" s="15">
        <v>45310</v>
      </c>
      <c r="C5375" s="110" t="s">
        <v>320</v>
      </c>
      <c r="D5375" s="110" t="s">
        <v>320</v>
      </c>
      <c r="E5375" s="3"/>
      <c r="F5375">
        <v>265</v>
      </c>
    </row>
    <row r="5376" spans="1:6" x14ac:dyDescent="0.25">
      <c r="A5376">
        <v>8228</v>
      </c>
      <c r="B5376" s="15">
        <v>45311</v>
      </c>
      <c r="C5376" s="133"/>
      <c r="D5376" s="133"/>
      <c r="E5376" s="3"/>
      <c r="F5376">
        <v>266</v>
      </c>
    </row>
    <row r="5377" spans="1:6" x14ac:dyDescent="0.25">
      <c r="A5377">
        <v>8228</v>
      </c>
      <c r="B5377" s="15">
        <v>45312</v>
      </c>
      <c r="C5377" s="133"/>
      <c r="D5377" s="133"/>
      <c r="E5377" s="3"/>
      <c r="F5377">
        <v>267</v>
      </c>
    </row>
    <row r="5378" spans="1:6" x14ac:dyDescent="0.25">
      <c r="A5378">
        <v>8228</v>
      </c>
      <c r="B5378" s="15">
        <v>45313</v>
      </c>
      <c r="C5378" s="104" t="s">
        <v>2</v>
      </c>
      <c r="D5378" s="104" t="s">
        <v>2</v>
      </c>
      <c r="E5378" s="3"/>
      <c r="F5378">
        <v>268</v>
      </c>
    </row>
    <row r="5379" spans="1:6" x14ac:dyDescent="0.25">
      <c r="A5379">
        <v>8228</v>
      </c>
      <c r="B5379" s="15">
        <v>45314</v>
      </c>
      <c r="C5379" s="127"/>
      <c r="D5379" s="127"/>
      <c r="E5379" s="3"/>
      <c r="F5379">
        <v>269</v>
      </c>
    </row>
    <row r="5380" spans="1:6" x14ac:dyDescent="0.25">
      <c r="A5380">
        <v>8228</v>
      </c>
      <c r="B5380" s="15">
        <v>45315</v>
      </c>
      <c r="C5380" s="110" t="s">
        <v>321</v>
      </c>
      <c r="D5380" s="110" t="s">
        <v>321</v>
      </c>
      <c r="E5380" s="3"/>
      <c r="F5380">
        <v>270</v>
      </c>
    </row>
    <row r="5381" spans="1:6" x14ac:dyDescent="0.25">
      <c r="A5381">
        <v>8228</v>
      </c>
      <c r="B5381" s="15">
        <v>45316</v>
      </c>
      <c r="C5381" s="110"/>
      <c r="D5381" s="110"/>
      <c r="E5381" s="3"/>
      <c r="F5381">
        <v>271</v>
      </c>
    </row>
    <row r="5382" spans="1:6" x14ac:dyDescent="0.25">
      <c r="A5382">
        <v>8228</v>
      </c>
      <c r="B5382" s="15">
        <v>45317</v>
      </c>
      <c r="C5382" s="110"/>
      <c r="D5382" s="110"/>
      <c r="E5382" s="3"/>
      <c r="F5382">
        <v>272</v>
      </c>
    </row>
    <row r="5383" spans="1:6" x14ac:dyDescent="0.25">
      <c r="A5383">
        <v>8228</v>
      </c>
      <c r="B5383" s="15">
        <v>45318</v>
      </c>
      <c r="C5383" s="133"/>
      <c r="D5383" s="133"/>
      <c r="E5383" s="3"/>
      <c r="F5383">
        <v>273</v>
      </c>
    </row>
    <row r="5384" spans="1:6" x14ac:dyDescent="0.25">
      <c r="A5384">
        <v>8228</v>
      </c>
      <c r="B5384" s="15">
        <v>45319</v>
      </c>
      <c r="C5384" s="133"/>
      <c r="D5384" s="133"/>
      <c r="E5384" s="3"/>
      <c r="F5384">
        <v>274</v>
      </c>
    </row>
    <row r="5385" spans="1:6" x14ac:dyDescent="0.25">
      <c r="A5385">
        <v>8228</v>
      </c>
      <c r="B5385" s="15">
        <v>45320</v>
      </c>
      <c r="C5385" s="105">
        <v>0.375</v>
      </c>
      <c r="D5385" s="110"/>
      <c r="E5385" s="3"/>
      <c r="F5385">
        <v>275</v>
      </c>
    </row>
    <row r="5386" spans="1:6" x14ac:dyDescent="0.25">
      <c r="A5386">
        <v>8228</v>
      </c>
      <c r="B5386" s="15">
        <v>45321</v>
      </c>
      <c r="C5386" s="110"/>
      <c r="D5386" s="151">
        <v>0.79166666666666663</v>
      </c>
      <c r="E5386" s="3"/>
      <c r="F5386">
        <v>276</v>
      </c>
    </row>
    <row r="5387" spans="1:6" x14ac:dyDescent="0.25">
      <c r="A5387">
        <v>8228</v>
      </c>
      <c r="B5387" s="15">
        <v>45322</v>
      </c>
      <c r="C5387" s="110"/>
      <c r="D5387" s="110"/>
      <c r="E5387" s="3"/>
      <c r="F5387">
        <v>277</v>
      </c>
    </row>
    <row r="5388" spans="1:6" x14ac:dyDescent="0.25">
      <c r="A5388">
        <v>8228</v>
      </c>
      <c r="B5388" s="15">
        <v>45323</v>
      </c>
      <c r="C5388" s="110"/>
      <c r="D5388" s="110"/>
      <c r="E5388" s="3"/>
      <c r="F5388">
        <v>278</v>
      </c>
    </row>
    <row r="5389" spans="1:6" x14ac:dyDescent="0.25">
      <c r="A5389">
        <v>8228</v>
      </c>
      <c r="B5389" s="15">
        <v>45324</v>
      </c>
      <c r="C5389" s="110"/>
      <c r="D5389" s="110"/>
      <c r="E5389" s="3"/>
      <c r="F5389">
        <v>279</v>
      </c>
    </row>
    <row r="5390" spans="1:6" x14ac:dyDescent="0.25">
      <c r="A5390">
        <v>8228</v>
      </c>
      <c r="B5390" s="15">
        <v>45325</v>
      </c>
      <c r="C5390" s="133"/>
      <c r="D5390" s="133"/>
      <c r="E5390" s="3"/>
      <c r="F5390">
        <v>280</v>
      </c>
    </row>
    <row r="5391" spans="1:6" x14ac:dyDescent="0.25">
      <c r="A5391">
        <v>8228</v>
      </c>
      <c r="B5391" s="15">
        <v>45326</v>
      </c>
      <c r="C5391" s="133"/>
      <c r="D5391" s="133"/>
      <c r="E5391" s="3"/>
      <c r="F5391">
        <v>281</v>
      </c>
    </row>
    <row r="5392" spans="1:6" x14ac:dyDescent="0.25">
      <c r="A5392">
        <v>8228</v>
      </c>
      <c r="B5392" s="15">
        <v>45327</v>
      </c>
      <c r="C5392" s="110"/>
      <c r="D5392" s="151">
        <v>0.79166666666666663</v>
      </c>
      <c r="E5392" s="3"/>
      <c r="F5392">
        <v>282</v>
      </c>
    </row>
    <row r="5393" spans="1:6" x14ac:dyDescent="0.25">
      <c r="A5393">
        <v>8228</v>
      </c>
      <c r="B5393" s="15">
        <v>45328</v>
      </c>
      <c r="C5393" s="110"/>
      <c r="D5393" s="110"/>
      <c r="E5393" s="3"/>
      <c r="F5393">
        <v>283</v>
      </c>
    </row>
    <row r="5394" spans="1:6" x14ac:dyDescent="0.25">
      <c r="A5394">
        <v>8228</v>
      </c>
      <c r="B5394" s="15">
        <v>45329</v>
      </c>
      <c r="C5394" s="110"/>
      <c r="D5394" s="110"/>
      <c r="E5394" s="3"/>
      <c r="F5394">
        <v>284</v>
      </c>
    </row>
    <row r="5395" spans="1:6" x14ac:dyDescent="0.25">
      <c r="A5395">
        <v>8228</v>
      </c>
      <c r="B5395" s="15">
        <v>45330</v>
      </c>
      <c r="C5395" s="110"/>
      <c r="D5395" s="110"/>
      <c r="E5395" s="3"/>
      <c r="F5395">
        <v>285</v>
      </c>
    </row>
    <row r="5396" spans="1:6" x14ac:dyDescent="0.25">
      <c r="A5396">
        <v>8228</v>
      </c>
      <c r="B5396" s="15">
        <v>45331</v>
      </c>
      <c r="C5396" s="110"/>
      <c r="D5396" s="110"/>
      <c r="E5396" s="3"/>
      <c r="F5396">
        <v>286</v>
      </c>
    </row>
    <row r="5397" spans="1:6" x14ac:dyDescent="0.25">
      <c r="A5397">
        <v>8228</v>
      </c>
      <c r="B5397" s="15">
        <v>45332</v>
      </c>
      <c r="C5397" s="133"/>
      <c r="D5397" s="133"/>
      <c r="E5397" s="3"/>
      <c r="F5397">
        <v>287</v>
      </c>
    </row>
    <row r="5398" spans="1:6" x14ac:dyDescent="0.25">
      <c r="A5398">
        <v>8228</v>
      </c>
      <c r="B5398" s="15">
        <v>45333</v>
      </c>
      <c r="C5398" s="133"/>
      <c r="D5398" s="133"/>
      <c r="E5398" s="3"/>
      <c r="F5398">
        <v>288</v>
      </c>
    </row>
    <row r="5399" spans="1:6" x14ac:dyDescent="0.25">
      <c r="A5399">
        <v>8228</v>
      </c>
      <c r="B5399" s="15">
        <v>45334</v>
      </c>
      <c r="C5399" s="110"/>
      <c r="D5399" s="110"/>
      <c r="E5399" s="3"/>
      <c r="F5399">
        <v>289</v>
      </c>
    </row>
    <row r="5400" spans="1:6" x14ac:dyDescent="0.25">
      <c r="A5400">
        <v>8228</v>
      </c>
      <c r="B5400" s="15">
        <v>45335</v>
      </c>
      <c r="C5400" s="110"/>
      <c r="D5400" s="151">
        <v>0.79166666666666663</v>
      </c>
      <c r="E5400" s="3"/>
      <c r="F5400">
        <v>290</v>
      </c>
    </row>
    <row r="5401" spans="1:6" x14ac:dyDescent="0.25">
      <c r="A5401">
        <v>8228</v>
      </c>
      <c r="B5401" s="15">
        <v>45336</v>
      </c>
      <c r="C5401" s="110"/>
      <c r="D5401" s="110"/>
      <c r="E5401" s="3"/>
      <c r="F5401">
        <v>291</v>
      </c>
    </row>
    <row r="5402" spans="1:6" x14ac:dyDescent="0.25">
      <c r="A5402">
        <v>8228</v>
      </c>
      <c r="B5402" s="15">
        <v>45337</v>
      </c>
      <c r="C5402" s="110"/>
      <c r="D5402" s="110"/>
      <c r="E5402" s="3"/>
      <c r="F5402">
        <v>292</v>
      </c>
    </row>
    <row r="5403" spans="1:6" x14ac:dyDescent="0.25">
      <c r="A5403">
        <v>8228</v>
      </c>
      <c r="B5403" s="15">
        <v>45338</v>
      </c>
      <c r="C5403" s="110"/>
      <c r="D5403" s="110"/>
      <c r="E5403" s="3"/>
      <c r="F5403">
        <v>293</v>
      </c>
    </row>
    <row r="5404" spans="1:6" x14ac:dyDescent="0.25">
      <c r="A5404">
        <v>8228</v>
      </c>
      <c r="B5404" s="15">
        <v>45339</v>
      </c>
      <c r="C5404" s="133"/>
      <c r="D5404" s="133"/>
      <c r="E5404" s="3"/>
      <c r="F5404">
        <v>294</v>
      </c>
    </row>
    <row r="5405" spans="1:6" x14ac:dyDescent="0.25">
      <c r="A5405">
        <v>8228</v>
      </c>
      <c r="B5405" s="15">
        <v>45340</v>
      </c>
      <c r="C5405" s="133"/>
      <c r="D5405" s="133"/>
      <c r="E5405" s="3"/>
      <c r="F5405">
        <v>295</v>
      </c>
    </row>
    <row r="5406" spans="1:6" x14ac:dyDescent="0.25">
      <c r="A5406">
        <v>8228</v>
      </c>
      <c r="B5406" s="15">
        <v>45341</v>
      </c>
      <c r="C5406" s="105">
        <v>0.375</v>
      </c>
      <c r="D5406" s="151">
        <v>0.79166666666666663</v>
      </c>
      <c r="E5406" s="3"/>
      <c r="F5406">
        <v>296</v>
      </c>
    </row>
    <row r="5407" spans="1:6" x14ac:dyDescent="0.25">
      <c r="A5407">
        <v>8228</v>
      </c>
      <c r="B5407" s="15">
        <v>45342</v>
      </c>
      <c r="C5407" s="127"/>
      <c r="D5407" s="127"/>
      <c r="E5407" s="3"/>
      <c r="F5407">
        <v>297</v>
      </c>
    </row>
    <row r="5408" spans="1:6" x14ac:dyDescent="0.25">
      <c r="A5408">
        <v>8228</v>
      </c>
      <c r="B5408" s="15">
        <v>45343</v>
      </c>
      <c r="C5408" s="110"/>
      <c r="D5408" s="151">
        <v>0.79166666666666663</v>
      </c>
      <c r="E5408" s="3"/>
      <c r="F5408">
        <v>298</v>
      </c>
    </row>
    <row r="5409" spans="1:6" x14ac:dyDescent="0.25">
      <c r="A5409">
        <v>8228</v>
      </c>
      <c r="B5409" s="15">
        <v>45344</v>
      </c>
      <c r="C5409" s="110"/>
      <c r="D5409" s="110"/>
      <c r="E5409" s="3"/>
      <c r="F5409">
        <v>299</v>
      </c>
    </row>
    <row r="5410" spans="1:6" x14ac:dyDescent="0.25">
      <c r="A5410">
        <v>8228</v>
      </c>
      <c r="B5410" s="15">
        <v>45345</v>
      </c>
      <c r="C5410" s="110"/>
      <c r="D5410" s="151">
        <v>0.79166666666666663</v>
      </c>
      <c r="E5410" s="3"/>
      <c r="F5410">
        <v>300</v>
      </c>
    </row>
    <row r="5411" spans="1:6" x14ac:dyDescent="0.25">
      <c r="A5411">
        <v>8228</v>
      </c>
      <c r="B5411" s="15">
        <v>45346</v>
      </c>
      <c r="C5411" s="133"/>
      <c r="D5411" s="133"/>
      <c r="E5411" s="3"/>
      <c r="F5411">
        <v>301</v>
      </c>
    </row>
    <row r="5412" spans="1:6" x14ac:dyDescent="0.25">
      <c r="A5412">
        <v>8228</v>
      </c>
      <c r="B5412" s="15">
        <v>45347</v>
      </c>
      <c r="C5412" s="133"/>
      <c r="D5412" s="133"/>
      <c r="E5412" s="3"/>
      <c r="F5412">
        <v>302</v>
      </c>
    </row>
    <row r="5413" spans="1:6" x14ac:dyDescent="0.25">
      <c r="A5413">
        <v>8228</v>
      </c>
      <c r="B5413" s="15">
        <v>45348</v>
      </c>
      <c r="C5413" s="110"/>
      <c r="D5413" s="110"/>
      <c r="E5413" s="3"/>
      <c r="F5413">
        <v>303</v>
      </c>
    </row>
    <row r="5414" spans="1:6" x14ac:dyDescent="0.25">
      <c r="A5414">
        <v>8228</v>
      </c>
      <c r="B5414" s="15">
        <v>45349</v>
      </c>
      <c r="C5414" s="110"/>
      <c r="D5414" s="151">
        <v>0.79166666666666663</v>
      </c>
      <c r="E5414" s="3"/>
      <c r="F5414">
        <v>304</v>
      </c>
    </row>
    <row r="5415" spans="1:6" x14ac:dyDescent="0.25">
      <c r="A5415">
        <v>8228</v>
      </c>
      <c r="B5415" s="15">
        <v>45350</v>
      </c>
      <c r="C5415" s="110"/>
      <c r="D5415" s="110"/>
      <c r="E5415" s="3"/>
      <c r="F5415">
        <v>305</v>
      </c>
    </row>
    <row r="5416" spans="1:6" x14ac:dyDescent="0.25">
      <c r="A5416">
        <v>8228</v>
      </c>
      <c r="B5416" s="15">
        <v>45351</v>
      </c>
      <c r="C5416" s="110"/>
      <c r="D5416" s="110"/>
      <c r="E5416" s="3"/>
      <c r="F5416">
        <v>306</v>
      </c>
    </row>
    <row r="5417" spans="1:6" x14ac:dyDescent="0.25">
      <c r="A5417">
        <v>8228</v>
      </c>
      <c r="B5417" s="15">
        <v>45352</v>
      </c>
      <c r="C5417" s="110"/>
      <c r="D5417" s="110"/>
      <c r="E5417" s="3"/>
      <c r="F5417">
        <v>307</v>
      </c>
    </row>
    <row r="5418" spans="1:6" x14ac:dyDescent="0.25">
      <c r="A5418">
        <v>8228</v>
      </c>
      <c r="B5418" s="15">
        <v>45353</v>
      </c>
      <c r="C5418" s="133"/>
      <c r="D5418" s="133"/>
      <c r="E5418" s="3"/>
      <c r="F5418">
        <v>308</v>
      </c>
    </row>
    <row r="5419" spans="1:6" x14ac:dyDescent="0.25">
      <c r="A5419">
        <v>8228</v>
      </c>
      <c r="B5419" s="15">
        <v>45354</v>
      </c>
      <c r="C5419" s="133"/>
      <c r="D5419" s="133"/>
      <c r="E5419" s="3"/>
      <c r="F5419">
        <v>309</v>
      </c>
    </row>
    <row r="5420" spans="1:6" x14ac:dyDescent="0.25">
      <c r="A5420">
        <v>8228</v>
      </c>
      <c r="B5420" s="15">
        <v>45355</v>
      </c>
      <c r="C5420" s="104" t="s">
        <v>2</v>
      </c>
      <c r="D5420" s="104" t="s">
        <v>2</v>
      </c>
      <c r="E5420" s="3"/>
      <c r="F5420">
        <v>310</v>
      </c>
    </row>
    <row r="5421" spans="1:6" x14ac:dyDescent="0.25">
      <c r="A5421">
        <v>8228</v>
      </c>
      <c r="B5421" s="15">
        <v>45356</v>
      </c>
      <c r="C5421" s="104" t="s">
        <v>2</v>
      </c>
      <c r="D5421" s="104" t="s">
        <v>2</v>
      </c>
      <c r="E5421" s="3"/>
      <c r="F5421">
        <v>311</v>
      </c>
    </row>
    <row r="5422" spans="1:6" x14ac:dyDescent="0.25">
      <c r="A5422">
        <v>8228</v>
      </c>
      <c r="B5422" s="15">
        <v>45357</v>
      </c>
      <c r="C5422" s="104" t="s">
        <v>2</v>
      </c>
      <c r="D5422" s="104" t="s">
        <v>2</v>
      </c>
      <c r="E5422" s="3"/>
      <c r="F5422">
        <v>312</v>
      </c>
    </row>
    <row r="5423" spans="1:6" x14ac:dyDescent="0.25">
      <c r="A5423">
        <v>8228</v>
      </c>
      <c r="B5423" s="15">
        <v>45358</v>
      </c>
      <c r="C5423" s="104" t="s">
        <v>2</v>
      </c>
      <c r="D5423" s="104" t="s">
        <v>2</v>
      </c>
      <c r="E5423" s="3"/>
      <c r="F5423">
        <v>313</v>
      </c>
    </row>
    <row r="5424" spans="1:6" x14ac:dyDescent="0.25">
      <c r="A5424">
        <v>8228</v>
      </c>
      <c r="B5424" s="15">
        <v>45359</v>
      </c>
      <c r="C5424" s="104" t="s">
        <v>2</v>
      </c>
      <c r="D5424" s="104" t="s">
        <v>2</v>
      </c>
      <c r="E5424" s="3"/>
      <c r="F5424">
        <v>314</v>
      </c>
    </row>
    <row r="5425" spans="1:6" x14ac:dyDescent="0.25">
      <c r="A5425">
        <v>8228</v>
      </c>
      <c r="B5425" s="15">
        <v>45360</v>
      </c>
      <c r="C5425" s="133"/>
      <c r="D5425" s="133"/>
      <c r="E5425" s="3"/>
      <c r="F5425">
        <v>315</v>
      </c>
    </row>
    <row r="5426" spans="1:6" x14ac:dyDescent="0.25">
      <c r="A5426">
        <v>8228</v>
      </c>
      <c r="B5426" s="15">
        <v>45361</v>
      </c>
      <c r="C5426" s="133"/>
      <c r="D5426" s="133"/>
      <c r="E5426" s="3"/>
      <c r="F5426">
        <v>316</v>
      </c>
    </row>
    <row r="5427" spans="1:6" x14ac:dyDescent="0.25">
      <c r="A5427">
        <v>8228</v>
      </c>
      <c r="B5427" s="15">
        <v>45362</v>
      </c>
      <c r="C5427" s="110"/>
      <c r="D5427" s="110"/>
      <c r="E5427" s="3"/>
      <c r="F5427">
        <v>317</v>
      </c>
    </row>
    <row r="5428" spans="1:6" x14ac:dyDescent="0.25">
      <c r="A5428">
        <v>8228</v>
      </c>
      <c r="B5428" s="15">
        <v>45363</v>
      </c>
      <c r="C5428" s="110"/>
      <c r="D5428" s="115" t="s">
        <v>158</v>
      </c>
      <c r="E5428" s="3"/>
      <c r="F5428">
        <v>318</v>
      </c>
    </row>
    <row r="5429" spans="1:6" x14ac:dyDescent="0.25">
      <c r="A5429">
        <v>8228</v>
      </c>
      <c r="B5429" s="15">
        <v>45364</v>
      </c>
      <c r="C5429" s="110"/>
      <c r="D5429" s="110"/>
      <c r="E5429" s="3"/>
      <c r="F5429">
        <v>319</v>
      </c>
    </row>
    <row r="5430" spans="1:6" x14ac:dyDescent="0.25">
      <c r="A5430">
        <v>8228</v>
      </c>
      <c r="B5430" s="15">
        <v>45365</v>
      </c>
      <c r="C5430" s="110"/>
      <c r="D5430" s="110"/>
      <c r="E5430" s="3"/>
      <c r="F5430">
        <v>320</v>
      </c>
    </row>
    <row r="5431" spans="1:6" x14ac:dyDescent="0.25">
      <c r="A5431">
        <v>8228</v>
      </c>
      <c r="B5431" s="15">
        <v>45366</v>
      </c>
      <c r="C5431" s="110"/>
      <c r="D5431" s="110"/>
      <c r="E5431" s="3"/>
      <c r="F5431">
        <v>321</v>
      </c>
    </row>
    <row r="5432" spans="1:6" x14ac:dyDescent="0.25">
      <c r="A5432">
        <v>8228</v>
      </c>
      <c r="B5432" s="15">
        <v>45367</v>
      </c>
      <c r="C5432" s="133"/>
      <c r="D5432" s="133"/>
      <c r="E5432" s="3"/>
      <c r="F5432">
        <v>322</v>
      </c>
    </row>
    <row r="5433" spans="1:6" x14ac:dyDescent="0.25">
      <c r="A5433">
        <v>8228</v>
      </c>
      <c r="B5433" s="15">
        <v>45368</v>
      </c>
      <c r="C5433" s="133"/>
      <c r="D5433" s="133"/>
      <c r="E5433" s="3"/>
      <c r="F5433">
        <v>323</v>
      </c>
    </row>
    <row r="5434" spans="1:6" x14ac:dyDescent="0.25">
      <c r="A5434">
        <v>8228</v>
      </c>
      <c r="B5434" s="15">
        <v>45369</v>
      </c>
      <c r="C5434" s="110"/>
      <c r="D5434" s="151">
        <v>0.79166666666666663</v>
      </c>
      <c r="E5434" s="3"/>
      <c r="F5434">
        <v>324</v>
      </c>
    </row>
    <row r="5435" spans="1:6" x14ac:dyDescent="0.25">
      <c r="A5435">
        <v>8228</v>
      </c>
      <c r="B5435" s="15">
        <v>45370</v>
      </c>
      <c r="C5435" s="127"/>
      <c r="D5435" s="127"/>
      <c r="E5435" s="3"/>
      <c r="F5435">
        <v>325</v>
      </c>
    </row>
    <row r="5436" spans="1:6" x14ac:dyDescent="0.25">
      <c r="A5436">
        <v>8228</v>
      </c>
      <c r="B5436" s="15">
        <v>45371</v>
      </c>
      <c r="C5436" s="110"/>
      <c r="D5436" s="110"/>
      <c r="E5436" s="3"/>
      <c r="F5436">
        <v>326</v>
      </c>
    </row>
    <row r="5437" spans="1:6" x14ac:dyDescent="0.25">
      <c r="A5437">
        <v>8228</v>
      </c>
      <c r="B5437" s="15">
        <v>45372</v>
      </c>
      <c r="C5437" s="110"/>
      <c r="D5437" s="110"/>
      <c r="E5437" s="3"/>
      <c r="F5437">
        <v>327</v>
      </c>
    </row>
    <row r="5438" spans="1:6" x14ac:dyDescent="0.25">
      <c r="A5438">
        <v>8228</v>
      </c>
      <c r="B5438" s="15">
        <v>45373</v>
      </c>
      <c r="C5438" s="110"/>
      <c r="D5438" s="110"/>
      <c r="E5438" s="3"/>
      <c r="F5438">
        <v>328</v>
      </c>
    </row>
    <row r="5439" spans="1:6" x14ac:dyDescent="0.25">
      <c r="A5439">
        <v>8228</v>
      </c>
      <c r="B5439" s="15">
        <v>45374</v>
      </c>
      <c r="C5439" s="133"/>
      <c r="D5439" s="133"/>
      <c r="E5439" s="3"/>
      <c r="F5439">
        <v>329</v>
      </c>
    </row>
    <row r="5440" spans="1:6" x14ac:dyDescent="0.25">
      <c r="A5440">
        <v>8228</v>
      </c>
      <c r="B5440" s="15">
        <v>45375</v>
      </c>
      <c r="C5440" s="133"/>
      <c r="D5440" s="133"/>
      <c r="E5440" s="3"/>
      <c r="F5440">
        <v>330</v>
      </c>
    </row>
    <row r="5441" spans="1:6" x14ac:dyDescent="0.25">
      <c r="A5441">
        <v>8228</v>
      </c>
      <c r="B5441" s="15">
        <v>45376</v>
      </c>
      <c r="C5441" s="110"/>
      <c r="D5441" s="151">
        <v>0.79166666666666663</v>
      </c>
      <c r="E5441" s="3"/>
      <c r="F5441">
        <v>331</v>
      </c>
    </row>
    <row r="5442" spans="1:6" x14ac:dyDescent="0.25">
      <c r="A5442">
        <v>8228</v>
      </c>
      <c r="B5442" s="15">
        <v>45377</v>
      </c>
      <c r="C5442" s="110"/>
      <c r="D5442" s="110"/>
      <c r="E5442" s="3"/>
      <c r="F5442">
        <v>332</v>
      </c>
    </row>
    <row r="5443" spans="1:6" x14ac:dyDescent="0.25">
      <c r="A5443">
        <v>8228</v>
      </c>
      <c r="B5443" s="15">
        <v>45378</v>
      </c>
      <c r="C5443" s="110"/>
      <c r="D5443" s="110"/>
      <c r="E5443" s="3"/>
      <c r="F5443">
        <v>333</v>
      </c>
    </row>
    <row r="5444" spans="1:6" x14ac:dyDescent="0.25">
      <c r="A5444">
        <v>8228</v>
      </c>
      <c r="B5444" s="15">
        <v>45379</v>
      </c>
      <c r="C5444" s="110"/>
      <c r="D5444" s="110"/>
      <c r="E5444" s="3"/>
      <c r="F5444">
        <v>334</v>
      </c>
    </row>
    <row r="5445" spans="1:6" x14ac:dyDescent="0.25">
      <c r="A5445">
        <v>8228</v>
      </c>
      <c r="B5445" s="15">
        <v>45380</v>
      </c>
      <c r="C5445" s="110"/>
      <c r="D5445" s="110"/>
      <c r="E5445" s="3"/>
      <c r="F5445">
        <v>335</v>
      </c>
    </row>
    <row r="5446" spans="1:6" x14ac:dyDescent="0.25">
      <c r="A5446">
        <v>8228</v>
      </c>
      <c r="B5446" s="15">
        <v>45381</v>
      </c>
      <c r="C5446" s="133"/>
      <c r="D5446" s="133"/>
      <c r="E5446" s="3"/>
      <c r="F5446">
        <v>336</v>
      </c>
    </row>
    <row r="5447" spans="1:6" x14ac:dyDescent="0.25">
      <c r="A5447">
        <v>8228</v>
      </c>
      <c r="B5447" s="15">
        <v>45382</v>
      </c>
      <c r="C5447" s="133"/>
      <c r="D5447" s="133"/>
      <c r="E5447" s="3"/>
      <c r="F5447">
        <v>337</v>
      </c>
    </row>
    <row r="5448" spans="1:6" x14ac:dyDescent="0.25">
      <c r="A5448">
        <v>8228</v>
      </c>
      <c r="B5448" s="15">
        <v>45383</v>
      </c>
      <c r="C5448" s="133"/>
      <c r="D5448" s="133"/>
      <c r="E5448" s="3"/>
      <c r="F5448">
        <v>338</v>
      </c>
    </row>
    <row r="5449" spans="1:6" x14ac:dyDescent="0.25">
      <c r="A5449">
        <v>8228</v>
      </c>
      <c r="B5449" s="15">
        <v>45384</v>
      </c>
      <c r="C5449" s="110"/>
      <c r="D5449" s="110"/>
      <c r="E5449" s="3"/>
      <c r="F5449">
        <v>339</v>
      </c>
    </row>
    <row r="5450" spans="1:6" x14ac:dyDescent="0.25">
      <c r="A5450">
        <v>8228</v>
      </c>
      <c r="B5450" s="15">
        <v>45385</v>
      </c>
      <c r="C5450" s="110"/>
      <c r="D5450" s="151">
        <v>0.79166666666666663</v>
      </c>
      <c r="E5450" s="3"/>
      <c r="F5450">
        <v>340</v>
      </c>
    </row>
    <row r="5451" spans="1:6" x14ac:dyDescent="0.25">
      <c r="A5451">
        <v>8228</v>
      </c>
      <c r="B5451" s="15">
        <v>45386</v>
      </c>
      <c r="C5451" s="110"/>
      <c r="D5451" s="110"/>
      <c r="E5451" s="3"/>
      <c r="F5451">
        <v>341</v>
      </c>
    </row>
    <row r="5452" spans="1:6" x14ac:dyDescent="0.25">
      <c r="A5452">
        <v>8228</v>
      </c>
      <c r="B5452" s="15">
        <v>45387</v>
      </c>
      <c r="C5452" s="110"/>
      <c r="D5452" s="151">
        <v>0.79166666666666663</v>
      </c>
      <c r="E5452" s="3"/>
      <c r="F5452">
        <v>342</v>
      </c>
    </row>
    <row r="5453" spans="1:6" x14ac:dyDescent="0.25">
      <c r="A5453">
        <v>8228</v>
      </c>
      <c r="B5453" s="15">
        <v>45388</v>
      </c>
      <c r="C5453" s="133"/>
      <c r="D5453" s="133"/>
      <c r="E5453" s="3"/>
      <c r="F5453">
        <v>343</v>
      </c>
    </row>
    <row r="5454" spans="1:6" x14ac:dyDescent="0.25">
      <c r="A5454">
        <v>8228</v>
      </c>
      <c r="B5454" s="15">
        <v>45389</v>
      </c>
      <c r="C5454" s="133"/>
      <c r="D5454" s="133"/>
      <c r="E5454" s="3"/>
      <c r="F5454">
        <v>344</v>
      </c>
    </row>
    <row r="5455" spans="1:6" x14ac:dyDescent="0.25">
      <c r="A5455">
        <v>8228</v>
      </c>
      <c r="B5455" s="15">
        <v>45390</v>
      </c>
      <c r="C5455" s="151">
        <v>0.375</v>
      </c>
      <c r="D5455" s="110"/>
      <c r="E5455" s="3"/>
      <c r="F5455">
        <v>345</v>
      </c>
    </row>
    <row r="5456" spans="1:6" x14ac:dyDescent="0.25">
      <c r="A5456">
        <v>8228</v>
      </c>
      <c r="B5456" s="15">
        <v>45391</v>
      </c>
      <c r="C5456" s="110"/>
      <c r="D5456" s="151">
        <v>0.79166666666666663</v>
      </c>
      <c r="E5456" s="3"/>
      <c r="F5456">
        <v>346</v>
      </c>
    </row>
    <row r="5457" spans="1:6" x14ac:dyDescent="0.25">
      <c r="A5457">
        <v>8228</v>
      </c>
      <c r="B5457" s="15">
        <v>45392</v>
      </c>
      <c r="C5457" s="115" t="s">
        <v>314</v>
      </c>
      <c r="D5457" s="104" t="s">
        <v>315</v>
      </c>
      <c r="E5457" s="3"/>
      <c r="F5457">
        <v>347</v>
      </c>
    </row>
    <row r="5458" spans="1:6" x14ac:dyDescent="0.25">
      <c r="A5458">
        <v>8228</v>
      </c>
      <c r="B5458" s="15">
        <v>45393</v>
      </c>
      <c r="C5458" s="110"/>
      <c r="D5458" s="110"/>
      <c r="E5458" s="3"/>
      <c r="F5458">
        <v>348</v>
      </c>
    </row>
    <row r="5459" spans="1:6" x14ac:dyDescent="0.25">
      <c r="A5459">
        <v>8228</v>
      </c>
      <c r="B5459" s="15">
        <v>45394</v>
      </c>
      <c r="C5459" s="151">
        <v>0.375</v>
      </c>
      <c r="D5459" s="110"/>
      <c r="E5459" s="3"/>
      <c r="F5459">
        <v>349</v>
      </c>
    </row>
    <row r="5460" spans="1:6" x14ac:dyDescent="0.25">
      <c r="A5460">
        <v>8228</v>
      </c>
      <c r="B5460" s="15">
        <v>45395</v>
      </c>
      <c r="C5460" s="133"/>
      <c r="D5460" s="133"/>
      <c r="E5460" s="3"/>
      <c r="F5460">
        <v>350</v>
      </c>
    </row>
    <row r="5461" spans="1:6" x14ac:dyDescent="0.25">
      <c r="A5461">
        <v>8228</v>
      </c>
      <c r="B5461" s="15">
        <v>45396</v>
      </c>
      <c r="C5461" s="133"/>
      <c r="D5461" s="133"/>
      <c r="E5461" s="3"/>
      <c r="F5461">
        <v>351</v>
      </c>
    </row>
    <row r="5462" spans="1:6" x14ac:dyDescent="0.25">
      <c r="A5462">
        <v>8228</v>
      </c>
      <c r="B5462" s="15">
        <v>45397</v>
      </c>
      <c r="C5462" s="110"/>
      <c r="D5462" s="151">
        <v>0.79166666666666663</v>
      </c>
      <c r="E5462" s="3"/>
      <c r="F5462">
        <v>352</v>
      </c>
    </row>
    <row r="5463" spans="1:6" x14ac:dyDescent="0.25">
      <c r="A5463">
        <v>8228</v>
      </c>
      <c r="B5463" s="15">
        <v>45398</v>
      </c>
      <c r="C5463" s="127"/>
      <c r="D5463" s="151">
        <v>0.79166666666666663</v>
      </c>
      <c r="E5463" s="3"/>
      <c r="F5463">
        <v>353</v>
      </c>
    </row>
    <row r="5464" spans="1:6" x14ac:dyDescent="0.25">
      <c r="A5464">
        <v>8228</v>
      </c>
      <c r="B5464" s="15">
        <v>45399</v>
      </c>
      <c r="C5464" s="110"/>
      <c r="D5464" s="110"/>
      <c r="E5464" s="3"/>
      <c r="F5464">
        <v>354</v>
      </c>
    </row>
    <row r="5465" spans="1:6" x14ac:dyDescent="0.25">
      <c r="A5465">
        <v>8228</v>
      </c>
      <c r="B5465" s="15">
        <v>45400</v>
      </c>
      <c r="C5465" s="110"/>
      <c r="D5465" s="110"/>
      <c r="E5465" s="3"/>
      <c r="F5465">
        <v>355</v>
      </c>
    </row>
    <row r="5466" spans="1:6" x14ac:dyDescent="0.25">
      <c r="A5466">
        <v>8228</v>
      </c>
      <c r="B5466" s="15">
        <v>45401</v>
      </c>
      <c r="C5466" s="110"/>
      <c r="D5466" s="110"/>
      <c r="E5466" s="3"/>
      <c r="F5466">
        <v>356</v>
      </c>
    </row>
    <row r="5467" spans="1:6" x14ac:dyDescent="0.25">
      <c r="A5467">
        <v>8228</v>
      </c>
      <c r="B5467" s="15">
        <v>45402</v>
      </c>
      <c r="C5467" s="133"/>
      <c r="D5467" s="133"/>
      <c r="E5467" s="3"/>
      <c r="F5467">
        <v>357</v>
      </c>
    </row>
    <row r="5468" spans="1:6" x14ac:dyDescent="0.25">
      <c r="A5468">
        <v>8228</v>
      </c>
      <c r="B5468" s="15">
        <v>45403</v>
      </c>
      <c r="C5468" s="133"/>
      <c r="D5468" s="133"/>
      <c r="E5468" s="3"/>
      <c r="F5468">
        <v>358</v>
      </c>
    </row>
    <row r="5469" spans="1:6" x14ac:dyDescent="0.25">
      <c r="A5469">
        <v>8228</v>
      </c>
      <c r="B5469" s="15">
        <v>45404</v>
      </c>
      <c r="C5469" s="104" t="s">
        <v>2</v>
      </c>
      <c r="D5469" s="104" t="s">
        <v>2</v>
      </c>
      <c r="E5469" s="3"/>
      <c r="F5469">
        <v>359</v>
      </c>
    </row>
    <row r="5470" spans="1:6" x14ac:dyDescent="0.25">
      <c r="A5470">
        <v>8228</v>
      </c>
      <c r="B5470" s="15">
        <v>45405</v>
      </c>
      <c r="C5470" s="104" t="s">
        <v>2</v>
      </c>
      <c r="D5470" s="104" t="s">
        <v>2</v>
      </c>
      <c r="E5470" s="3"/>
      <c r="F5470">
        <v>360</v>
      </c>
    </row>
    <row r="5471" spans="1:6" x14ac:dyDescent="0.25">
      <c r="A5471">
        <v>8228</v>
      </c>
      <c r="B5471" s="15">
        <v>45406</v>
      </c>
      <c r="C5471" s="104" t="s">
        <v>2</v>
      </c>
      <c r="D5471" s="104" t="s">
        <v>2</v>
      </c>
      <c r="E5471" s="3"/>
      <c r="F5471">
        <v>361</v>
      </c>
    </row>
    <row r="5472" spans="1:6" x14ac:dyDescent="0.25">
      <c r="A5472">
        <v>8228</v>
      </c>
      <c r="B5472" s="15">
        <v>45407</v>
      </c>
      <c r="C5472" s="104" t="s">
        <v>2</v>
      </c>
      <c r="D5472" s="104" t="s">
        <v>2</v>
      </c>
      <c r="E5472" s="3"/>
      <c r="F5472">
        <v>362</v>
      </c>
    </row>
    <row r="5473" spans="1:6" x14ac:dyDescent="0.25">
      <c r="A5473">
        <v>8228</v>
      </c>
      <c r="B5473" s="15">
        <v>45408</v>
      </c>
      <c r="C5473" s="104" t="s">
        <v>2</v>
      </c>
      <c r="D5473" s="104" t="s">
        <v>2</v>
      </c>
      <c r="E5473" s="3"/>
      <c r="F5473">
        <v>363</v>
      </c>
    </row>
    <row r="5474" spans="1:6" x14ac:dyDescent="0.25">
      <c r="A5474">
        <v>8228</v>
      </c>
      <c r="B5474" s="15">
        <v>45409</v>
      </c>
      <c r="C5474" s="133"/>
      <c r="D5474" s="133"/>
      <c r="E5474" s="3"/>
      <c r="F5474">
        <v>364</v>
      </c>
    </row>
    <row r="5475" spans="1:6" x14ac:dyDescent="0.25">
      <c r="A5475">
        <v>8228</v>
      </c>
      <c r="B5475" s="15">
        <v>45410</v>
      </c>
      <c r="C5475" s="133"/>
      <c r="D5475" s="133"/>
      <c r="E5475" s="3"/>
      <c r="F5475">
        <v>365</v>
      </c>
    </row>
    <row r="5476" spans="1:6" x14ac:dyDescent="0.25">
      <c r="A5476">
        <v>8228</v>
      </c>
      <c r="B5476" s="15">
        <v>45411</v>
      </c>
      <c r="C5476" s="110"/>
      <c r="D5476" s="151">
        <v>0.79166666666666663</v>
      </c>
      <c r="E5476" s="3"/>
      <c r="F5476">
        <v>366</v>
      </c>
    </row>
    <row r="5477" spans="1:6" x14ac:dyDescent="0.25">
      <c r="A5477">
        <v>8228</v>
      </c>
      <c r="B5477" s="15">
        <v>45412</v>
      </c>
      <c r="C5477" s="151">
        <v>0.375</v>
      </c>
      <c r="D5477" s="110"/>
      <c r="E5477" s="3"/>
      <c r="F5477">
        <v>367</v>
      </c>
    </row>
    <row r="5478" spans="1:6" x14ac:dyDescent="0.25">
      <c r="A5478">
        <v>8228</v>
      </c>
      <c r="B5478" s="15">
        <v>45413</v>
      </c>
      <c r="C5478" s="119"/>
      <c r="D5478" s="119"/>
      <c r="E5478" s="3"/>
      <c r="F5478">
        <v>368</v>
      </c>
    </row>
    <row r="5479" spans="1:6" x14ac:dyDescent="0.25">
      <c r="A5479">
        <v>8228</v>
      </c>
      <c r="B5479" s="15">
        <v>45414</v>
      </c>
      <c r="C5479" s="110"/>
      <c r="D5479" s="110"/>
      <c r="E5479" s="3"/>
      <c r="F5479">
        <v>369</v>
      </c>
    </row>
    <row r="5480" spans="1:6" x14ac:dyDescent="0.25">
      <c r="A5480">
        <v>8228</v>
      </c>
      <c r="B5480" s="15">
        <v>45415</v>
      </c>
      <c r="C5480" s="110"/>
      <c r="D5480" s="110"/>
      <c r="E5480" s="3"/>
      <c r="F5480">
        <v>370</v>
      </c>
    </row>
    <row r="5481" spans="1:6" x14ac:dyDescent="0.25">
      <c r="A5481">
        <v>8228</v>
      </c>
      <c r="B5481" s="15">
        <v>45416</v>
      </c>
      <c r="C5481" s="133"/>
      <c r="D5481" s="133"/>
      <c r="E5481" s="3"/>
      <c r="F5481">
        <v>371</v>
      </c>
    </row>
    <row r="5482" spans="1:6" x14ac:dyDescent="0.25">
      <c r="A5482">
        <v>8228</v>
      </c>
      <c r="B5482" s="15">
        <v>45417</v>
      </c>
      <c r="C5482" s="133"/>
      <c r="D5482" s="133"/>
      <c r="E5482" s="3"/>
      <c r="F5482">
        <v>372</v>
      </c>
    </row>
    <row r="5483" spans="1:6" x14ac:dyDescent="0.25">
      <c r="A5483">
        <v>8228</v>
      </c>
      <c r="B5483" s="15">
        <v>45418</v>
      </c>
      <c r="C5483" s="110"/>
      <c r="D5483" s="110"/>
      <c r="E5483" s="3"/>
      <c r="F5483">
        <v>373</v>
      </c>
    </row>
    <row r="5484" spans="1:6" x14ac:dyDescent="0.25">
      <c r="A5484">
        <v>8228</v>
      </c>
      <c r="B5484" s="15">
        <v>45419</v>
      </c>
      <c r="C5484" s="110"/>
      <c r="D5484" s="110"/>
      <c r="E5484" s="3"/>
      <c r="F5484">
        <v>374</v>
      </c>
    </row>
    <row r="5485" spans="1:6" x14ac:dyDescent="0.25">
      <c r="A5485">
        <v>8228</v>
      </c>
      <c r="B5485" s="15">
        <v>45420</v>
      </c>
      <c r="C5485" s="119"/>
      <c r="D5485" s="119"/>
      <c r="E5485" s="3"/>
      <c r="F5485">
        <v>375</v>
      </c>
    </row>
    <row r="5486" spans="1:6" x14ac:dyDescent="0.25">
      <c r="A5486">
        <v>8228</v>
      </c>
      <c r="B5486" s="15">
        <v>45421</v>
      </c>
      <c r="C5486" s="110"/>
      <c r="D5486" s="110"/>
      <c r="E5486" s="3"/>
      <c r="F5486">
        <v>376</v>
      </c>
    </row>
    <row r="5487" spans="1:6" x14ac:dyDescent="0.25">
      <c r="A5487">
        <v>8228</v>
      </c>
      <c r="B5487" s="15">
        <v>45422</v>
      </c>
      <c r="C5487" s="110"/>
      <c r="D5487" s="110"/>
      <c r="E5487" s="3"/>
      <c r="F5487">
        <v>377</v>
      </c>
    </row>
    <row r="5488" spans="1:6" x14ac:dyDescent="0.25">
      <c r="A5488">
        <v>8228</v>
      </c>
      <c r="B5488" s="15">
        <v>45423</v>
      </c>
      <c r="C5488" s="133"/>
      <c r="D5488" s="133"/>
      <c r="E5488" s="3"/>
      <c r="F5488">
        <v>378</v>
      </c>
    </row>
    <row r="5489" spans="1:6" x14ac:dyDescent="0.25">
      <c r="A5489">
        <v>8228</v>
      </c>
      <c r="B5489" s="15">
        <v>45424</v>
      </c>
      <c r="C5489" s="133"/>
      <c r="D5489" s="133"/>
      <c r="E5489" s="3"/>
      <c r="F5489">
        <v>379</v>
      </c>
    </row>
    <row r="5490" spans="1:6" x14ac:dyDescent="0.25">
      <c r="A5490">
        <v>8228</v>
      </c>
      <c r="B5490" s="15">
        <v>45425</v>
      </c>
      <c r="C5490" s="110"/>
      <c r="D5490" s="110"/>
      <c r="E5490" s="3"/>
      <c r="F5490">
        <v>380</v>
      </c>
    </row>
    <row r="5491" spans="1:6" x14ac:dyDescent="0.25">
      <c r="A5491">
        <v>8228</v>
      </c>
      <c r="B5491" s="15">
        <v>45426</v>
      </c>
      <c r="C5491" s="127"/>
      <c r="D5491" s="127"/>
      <c r="E5491" s="3"/>
      <c r="F5491">
        <v>381</v>
      </c>
    </row>
    <row r="5492" spans="1:6" x14ac:dyDescent="0.25">
      <c r="A5492">
        <v>8228</v>
      </c>
      <c r="B5492" s="15">
        <v>45427</v>
      </c>
      <c r="C5492" s="110"/>
      <c r="D5492" s="110" t="s">
        <v>158</v>
      </c>
      <c r="E5492" s="3"/>
      <c r="F5492">
        <v>382</v>
      </c>
    </row>
    <row r="5493" spans="1:6" x14ac:dyDescent="0.25">
      <c r="A5493">
        <v>8228</v>
      </c>
      <c r="B5493" s="15">
        <v>45428</v>
      </c>
      <c r="C5493" s="110"/>
      <c r="D5493" s="110"/>
      <c r="E5493" s="3"/>
      <c r="F5493">
        <v>383</v>
      </c>
    </row>
    <row r="5494" spans="1:6" x14ac:dyDescent="0.25">
      <c r="A5494">
        <v>8228</v>
      </c>
      <c r="B5494" s="15">
        <v>45429</v>
      </c>
      <c r="C5494" s="110"/>
      <c r="D5494" s="110"/>
      <c r="E5494" s="3"/>
      <c r="F5494">
        <v>384</v>
      </c>
    </row>
    <row r="5495" spans="1:6" x14ac:dyDescent="0.25">
      <c r="A5495">
        <v>8228</v>
      </c>
      <c r="B5495" s="15">
        <v>45430</v>
      </c>
      <c r="C5495" s="133"/>
      <c r="D5495" s="133"/>
      <c r="E5495" s="3"/>
      <c r="F5495">
        <v>385</v>
      </c>
    </row>
    <row r="5496" spans="1:6" x14ac:dyDescent="0.25">
      <c r="A5496">
        <v>8228</v>
      </c>
      <c r="B5496" s="15">
        <v>45431</v>
      </c>
      <c r="C5496" s="133"/>
      <c r="D5496" s="133"/>
      <c r="E5496" s="3"/>
      <c r="F5496">
        <v>386</v>
      </c>
    </row>
    <row r="5497" spans="1:6" x14ac:dyDescent="0.25">
      <c r="A5497">
        <v>8228</v>
      </c>
      <c r="B5497" s="15">
        <v>45432</v>
      </c>
      <c r="C5497" s="110"/>
      <c r="D5497" s="110"/>
      <c r="E5497" s="3"/>
      <c r="F5497">
        <v>387</v>
      </c>
    </row>
    <row r="5498" spans="1:6" x14ac:dyDescent="0.25">
      <c r="A5498">
        <v>8228</v>
      </c>
      <c r="B5498" s="15">
        <v>45433</v>
      </c>
      <c r="C5498" s="110"/>
      <c r="D5498" s="110" t="s">
        <v>158</v>
      </c>
      <c r="E5498" s="3"/>
      <c r="F5498">
        <v>388</v>
      </c>
    </row>
    <row r="5499" spans="1:6" x14ac:dyDescent="0.25">
      <c r="A5499">
        <v>8228</v>
      </c>
      <c r="B5499" s="15">
        <v>45434</v>
      </c>
      <c r="C5499" s="110"/>
      <c r="D5499" s="110"/>
      <c r="E5499" s="3"/>
      <c r="F5499">
        <v>389</v>
      </c>
    </row>
    <row r="5500" spans="1:6" x14ac:dyDescent="0.25">
      <c r="A5500">
        <v>8228</v>
      </c>
      <c r="B5500" s="15">
        <v>45435</v>
      </c>
      <c r="C5500" s="110"/>
      <c r="D5500" s="110"/>
      <c r="E5500" s="3"/>
      <c r="F5500">
        <v>390</v>
      </c>
    </row>
    <row r="5501" spans="1:6" x14ac:dyDescent="0.25">
      <c r="A5501">
        <v>8228</v>
      </c>
      <c r="B5501" s="15">
        <v>45436</v>
      </c>
      <c r="C5501" s="110"/>
      <c r="D5501" s="110"/>
      <c r="E5501" s="3"/>
      <c r="F5501">
        <v>391</v>
      </c>
    </row>
    <row r="5502" spans="1:6" x14ac:dyDescent="0.25">
      <c r="A5502">
        <v>8228</v>
      </c>
      <c r="B5502" s="15">
        <v>45437</v>
      </c>
      <c r="C5502" s="133"/>
      <c r="D5502" s="133"/>
      <c r="E5502" s="3"/>
      <c r="F5502">
        <v>392</v>
      </c>
    </row>
    <row r="5503" spans="1:6" x14ac:dyDescent="0.25">
      <c r="A5503">
        <v>8228</v>
      </c>
      <c r="B5503" s="15">
        <v>45438</v>
      </c>
      <c r="C5503" s="133"/>
      <c r="D5503" s="133"/>
      <c r="E5503" s="3"/>
      <c r="F5503">
        <v>393</v>
      </c>
    </row>
    <row r="5504" spans="1:6" x14ac:dyDescent="0.25">
      <c r="A5504">
        <v>8228</v>
      </c>
      <c r="B5504" s="15">
        <v>45439</v>
      </c>
      <c r="C5504" s="110"/>
      <c r="D5504" s="110"/>
      <c r="E5504" s="3"/>
      <c r="F5504">
        <v>394</v>
      </c>
    </row>
    <row r="5505" spans="1:6" x14ac:dyDescent="0.25">
      <c r="A5505">
        <v>8228</v>
      </c>
      <c r="B5505" s="15">
        <v>45440</v>
      </c>
      <c r="C5505" s="110"/>
      <c r="D5505" s="110"/>
      <c r="E5505" s="3"/>
      <c r="F5505">
        <v>395</v>
      </c>
    </row>
    <row r="5506" spans="1:6" x14ac:dyDescent="0.25">
      <c r="A5506">
        <v>8228</v>
      </c>
      <c r="B5506" s="15">
        <v>45441</v>
      </c>
      <c r="C5506" s="110"/>
      <c r="D5506" s="110" t="s">
        <v>158</v>
      </c>
      <c r="E5506" s="3"/>
      <c r="F5506">
        <v>396</v>
      </c>
    </row>
    <row r="5507" spans="1:6" x14ac:dyDescent="0.25">
      <c r="A5507">
        <v>8228</v>
      </c>
      <c r="B5507" s="15">
        <v>45442</v>
      </c>
      <c r="C5507" s="110"/>
      <c r="D5507" s="110"/>
      <c r="E5507" s="3"/>
      <c r="F5507">
        <v>397</v>
      </c>
    </row>
    <row r="5508" spans="1:6" x14ac:dyDescent="0.25">
      <c r="A5508">
        <v>8228</v>
      </c>
      <c r="B5508" s="15">
        <v>45443</v>
      </c>
      <c r="C5508" s="110"/>
      <c r="D5508" s="110"/>
      <c r="E5508" s="3"/>
      <c r="F5508">
        <v>398</v>
      </c>
    </row>
    <row r="5509" spans="1:6" x14ac:dyDescent="0.25">
      <c r="A5509">
        <v>8228</v>
      </c>
      <c r="B5509" s="15">
        <v>45444</v>
      </c>
      <c r="C5509" s="133"/>
      <c r="D5509" s="133"/>
      <c r="E5509" s="3"/>
      <c r="F5509">
        <v>399</v>
      </c>
    </row>
    <row r="5510" spans="1:6" x14ac:dyDescent="0.25">
      <c r="A5510">
        <v>8228</v>
      </c>
      <c r="B5510" s="15">
        <v>45445</v>
      </c>
      <c r="C5510" s="133"/>
      <c r="D5510" s="133"/>
      <c r="E5510" s="3"/>
      <c r="F5510">
        <v>400</v>
      </c>
    </row>
    <row r="5511" spans="1:6" x14ac:dyDescent="0.25">
      <c r="A5511">
        <v>8228</v>
      </c>
      <c r="B5511" s="15">
        <v>45446</v>
      </c>
      <c r="C5511" s="110"/>
      <c r="D5511" s="110"/>
      <c r="E5511" s="3"/>
      <c r="F5511">
        <v>401</v>
      </c>
    </row>
    <row r="5512" spans="1:6" x14ac:dyDescent="0.25">
      <c r="A5512">
        <v>8228</v>
      </c>
      <c r="B5512" s="15">
        <v>45447</v>
      </c>
      <c r="C5512" s="110"/>
      <c r="D5512" s="110" t="s">
        <v>158</v>
      </c>
      <c r="E5512" s="3"/>
      <c r="F5512">
        <v>402</v>
      </c>
    </row>
    <row r="5513" spans="1:6" x14ac:dyDescent="0.25">
      <c r="A5513">
        <v>8228</v>
      </c>
      <c r="B5513" s="15">
        <v>45448</v>
      </c>
      <c r="C5513" s="110"/>
      <c r="D5513" s="110"/>
      <c r="E5513" s="3"/>
      <c r="F5513">
        <v>403</v>
      </c>
    </row>
    <row r="5514" spans="1:6" x14ac:dyDescent="0.25">
      <c r="A5514">
        <v>8228</v>
      </c>
      <c r="B5514" s="15">
        <v>45449</v>
      </c>
      <c r="C5514" s="110"/>
      <c r="D5514" s="110"/>
      <c r="E5514" s="3"/>
      <c r="F5514">
        <v>404</v>
      </c>
    </row>
    <row r="5515" spans="1:6" x14ac:dyDescent="0.25">
      <c r="A5515">
        <v>8228</v>
      </c>
      <c r="B5515" s="15">
        <v>45450</v>
      </c>
      <c r="C5515" s="110"/>
      <c r="D5515" s="110"/>
      <c r="E5515" s="3"/>
      <c r="F5515">
        <v>405</v>
      </c>
    </row>
    <row r="5516" spans="1:6" x14ac:dyDescent="0.25">
      <c r="A5516">
        <v>8228</v>
      </c>
      <c r="B5516" s="15">
        <v>45451</v>
      </c>
      <c r="C5516" s="133"/>
      <c r="D5516" s="133"/>
      <c r="E5516" s="3"/>
      <c r="F5516">
        <v>406</v>
      </c>
    </row>
    <row r="5517" spans="1:6" x14ac:dyDescent="0.25">
      <c r="A5517">
        <v>8228</v>
      </c>
      <c r="B5517" s="15">
        <v>45452</v>
      </c>
      <c r="C5517" s="133"/>
      <c r="D5517" s="133"/>
      <c r="E5517" s="3"/>
      <c r="F5517">
        <v>407</v>
      </c>
    </row>
    <row r="5518" spans="1:6" x14ac:dyDescent="0.25">
      <c r="A5518">
        <v>8228</v>
      </c>
      <c r="B5518" s="15">
        <v>45453</v>
      </c>
      <c r="C5518" s="110"/>
      <c r="D5518" s="110"/>
      <c r="E5518" s="3"/>
      <c r="F5518">
        <v>408</v>
      </c>
    </row>
    <row r="5519" spans="1:6" x14ac:dyDescent="0.25">
      <c r="A5519">
        <v>8228</v>
      </c>
      <c r="B5519" s="15">
        <v>45454</v>
      </c>
      <c r="C5519" s="127"/>
      <c r="D5519" s="127"/>
      <c r="E5519" s="3"/>
      <c r="F5519">
        <v>409</v>
      </c>
    </row>
    <row r="5520" spans="1:6" x14ac:dyDescent="0.25">
      <c r="A5520">
        <v>8228</v>
      </c>
      <c r="B5520" s="15">
        <v>45455</v>
      </c>
      <c r="C5520" s="110"/>
      <c r="D5520" s="110" t="s">
        <v>158</v>
      </c>
      <c r="E5520" s="3"/>
      <c r="F5520">
        <v>410</v>
      </c>
    </row>
    <row r="5521" spans="1:6" x14ac:dyDescent="0.25">
      <c r="A5521">
        <v>8228</v>
      </c>
      <c r="B5521" s="15">
        <v>45456</v>
      </c>
      <c r="C5521" s="110"/>
      <c r="D5521" s="110"/>
      <c r="E5521" s="3"/>
      <c r="F5521">
        <v>411</v>
      </c>
    </row>
    <row r="5522" spans="1:6" x14ac:dyDescent="0.25">
      <c r="A5522">
        <v>8228</v>
      </c>
      <c r="B5522" s="15">
        <v>45457</v>
      </c>
      <c r="C5522" s="110"/>
      <c r="D5522" s="110"/>
      <c r="E5522" s="3"/>
      <c r="F5522">
        <v>412</v>
      </c>
    </row>
    <row r="5523" spans="1:6" x14ac:dyDescent="0.25">
      <c r="A5523">
        <v>8228</v>
      </c>
      <c r="B5523" s="15">
        <v>45458</v>
      </c>
      <c r="C5523" s="133"/>
      <c r="D5523" s="133"/>
      <c r="E5523" s="3"/>
      <c r="F5523">
        <v>413</v>
      </c>
    </row>
    <row r="5524" spans="1:6" x14ac:dyDescent="0.25">
      <c r="A5524">
        <v>8228</v>
      </c>
      <c r="B5524" s="15">
        <v>45459</v>
      </c>
      <c r="C5524" s="133"/>
      <c r="D5524" s="133"/>
      <c r="E5524" s="3"/>
      <c r="F5524">
        <v>414</v>
      </c>
    </row>
    <row r="5525" spans="1:6" x14ac:dyDescent="0.25">
      <c r="A5525">
        <v>8228</v>
      </c>
      <c r="B5525" s="15">
        <v>45460</v>
      </c>
      <c r="C5525" s="110"/>
      <c r="D5525" s="110"/>
      <c r="E5525" s="3"/>
      <c r="F5525">
        <v>415</v>
      </c>
    </row>
    <row r="5526" spans="1:6" x14ac:dyDescent="0.25">
      <c r="A5526">
        <v>8228</v>
      </c>
      <c r="B5526" s="15">
        <v>45461</v>
      </c>
      <c r="C5526" s="110"/>
      <c r="D5526" s="110"/>
      <c r="E5526" s="3"/>
      <c r="F5526">
        <v>416</v>
      </c>
    </row>
    <row r="5527" spans="1:6" x14ac:dyDescent="0.25">
      <c r="A5527">
        <v>8228</v>
      </c>
      <c r="B5527" s="15">
        <v>45462</v>
      </c>
      <c r="C5527" s="110"/>
      <c r="D5527" s="110"/>
      <c r="E5527" s="3"/>
      <c r="F5527">
        <v>417</v>
      </c>
    </row>
    <row r="5528" spans="1:6" x14ac:dyDescent="0.25">
      <c r="A5528">
        <v>8228</v>
      </c>
      <c r="B5528" s="15">
        <v>45463</v>
      </c>
      <c r="C5528" s="110"/>
      <c r="D5528" s="110"/>
      <c r="E5528" s="3"/>
      <c r="F5528">
        <v>418</v>
      </c>
    </row>
    <row r="5529" spans="1:6" x14ac:dyDescent="0.25">
      <c r="A5529">
        <v>8228</v>
      </c>
      <c r="B5529" s="15">
        <v>45464</v>
      </c>
      <c r="C5529" s="110"/>
      <c r="D5529" s="110"/>
      <c r="E5529" s="3"/>
      <c r="F5529">
        <v>419</v>
      </c>
    </row>
    <row r="5530" spans="1:6" x14ac:dyDescent="0.25">
      <c r="A5530">
        <v>8228</v>
      </c>
      <c r="B5530" s="15">
        <v>45465</v>
      </c>
      <c r="C5530" s="133"/>
      <c r="D5530" s="133"/>
      <c r="E5530" s="3"/>
      <c r="F5530">
        <v>420</v>
      </c>
    </row>
    <row r="5531" spans="1:6" x14ac:dyDescent="0.25">
      <c r="A5531">
        <v>8228</v>
      </c>
      <c r="B5531" s="15">
        <v>45466</v>
      </c>
      <c r="C5531" s="133"/>
      <c r="D5531" s="133"/>
      <c r="E5531" s="3"/>
      <c r="F5531">
        <v>421</v>
      </c>
    </row>
    <row r="5532" spans="1:6" x14ac:dyDescent="0.25">
      <c r="A5532">
        <v>8228</v>
      </c>
      <c r="B5532" s="15">
        <v>45467</v>
      </c>
      <c r="C5532" s="110"/>
      <c r="D5532" s="110"/>
      <c r="E5532" s="3"/>
      <c r="F5532">
        <v>422</v>
      </c>
    </row>
    <row r="5533" spans="1:6" x14ac:dyDescent="0.25">
      <c r="A5533">
        <v>8228</v>
      </c>
      <c r="B5533" s="15">
        <v>45468</v>
      </c>
      <c r="C5533" s="110"/>
      <c r="D5533" s="110"/>
      <c r="E5533" s="3"/>
      <c r="F5533">
        <v>423</v>
      </c>
    </row>
    <row r="5534" spans="1:6" x14ac:dyDescent="0.25">
      <c r="A5534">
        <v>8228</v>
      </c>
      <c r="B5534" s="15">
        <v>45469</v>
      </c>
      <c r="C5534" s="110"/>
      <c r="D5534" s="110"/>
      <c r="E5534" s="3"/>
      <c r="F5534">
        <v>424</v>
      </c>
    </row>
    <row r="5535" spans="1:6" x14ac:dyDescent="0.25">
      <c r="A5535">
        <v>8228</v>
      </c>
      <c r="B5535" s="15">
        <v>45470</v>
      </c>
      <c r="C5535" s="110"/>
      <c r="D5535" s="110"/>
      <c r="E5535" s="3"/>
      <c r="F5535">
        <v>425</v>
      </c>
    </row>
    <row r="5536" spans="1:6" x14ac:dyDescent="0.25">
      <c r="A5536">
        <v>8228</v>
      </c>
      <c r="B5536" s="15">
        <v>45471</v>
      </c>
      <c r="C5536" s="110"/>
      <c r="D5536" s="110"/>
      <c r="E5536" s="3"/>
      <c r="F5536">
        <v>426</v>
      </c>
    </row>
    <row r="5537" spans="1:6" x14ac:dyDescent="0.25">
      <c r="A5537">
        <v>8228</v>
      </c>
      <c r="B5537" s="15">
        <v>45472</v>
      </c>
      <c r="C5537" s="133"/>
      <c r="D5537" s="133"/>
      <c r="E5537" s="3"/>
      <c r="F5537">
        <v>427</v>
      </c>
    </row>
    <row r="5538" spans="1:6" x14ac:dyDescent="0.25">
      <c r="A5538">
        <v>8228</v>
      </c>
      <c r="B5538" s="15">
        <v>45473</v>
      </c>
      <c r="C5538" s="133"/>
      <c r="D5538" s="133"/>
      <c r="E5538" s="3"/>
      <c r="F5538">
        <v>428</v>
      </c>
    </row>
    <row r="5539" spans="1:6" x14ac:dyDescent="0.25">
      <c r="A5539">
        <v>8228</v>
      </c>
      <c r="B5539" s="15">
        <v>45474</v>
      </c>
      <c r="C5539" s="110"/>
      <c r="D5539" s="110"/>
      <c r="E5539" s="3"/>
      <c r="F5539">
        <v>429</v>
      </c>
    </row>
    <row r="5540" spans="1:6" x14ac:dyDescent="0.25">
      <c r="A5540">
        <v>8228</v>
      </c>
      <c r="B5540" s="15">
        <v>45475</v>
      </c>
      <c r="C5540" s="110"/>
      <c r="D5540" s="110"/>
      <c r="E5540" s="3"/>
      <c r="F5540">
        <v>430</v>
      </c>
    </row>
    <row r="5541" spans="1:6" x14ac:dyDescent="0.25">
      <c r="A5541">
        <v>8228</v>
      </c>
      <c r="B5541" s="15">
        <v>45476</v>
      </c>
      <c r="C5541" s="110"/>
      <c r="D5541" s="110"/>
      <c r="E5541" s="3"/>
      <c r="F5541">
        <v>431</v>
      </c>
    </row>
    <row r="5542" spans="1:6" x14ac:dyDescent="0.25">
      <c r="A5542">
        <v>8228</v>
      </c>
      <c r="B5542" s="15">
        <v>45477</v>
      </c>
      <c r="C5542" s="110"/>
      <c r="D5542" s="110"/>
      <c r="E5542" s="3"/>
      <c r="F5542">
        <v>432</v>
      </c>
    </row>
    <row r="5543" spans="1:6" x14ac:dyDescent="0.25">
      <c r="A5543">
        <v>8228</v>
      </c>
      <c r="B5543" s="15">
        <v>45478</v>
      </c>
      <c r="C5543" s="110"/>
      <c r="D5543" s="110"/>
      <c r="E5543" s="3"/>
      <c r="F5543">
        <v>433</v>
      </c>
    </row>
    <row r="5544" spans="1:6" x14ac:dyDescent="0.25">
      <c r="A5544">
        <v>8228</v>
      </c>
      <c r="B5544" s="15">
        <v>45479</v>
      </c>
      <c r="C5544" s="133"/>
      <c r="D5544" s="133"/>
      <c r="E5544" s="3"/>
      <c r="F5544">
        <v>434</v>
      </c>
    </row>
    <row r="5545" spans="1:6" x14ac:dyDescent="0.25">
      <c r="A5545">
        <v>8228</v>
      </c>
      <c r="B5545" s="15">
        <v>45480</v>
      </c>
      <c r="C5545" s="133"/>
      <c r="D5545" s="133"/>
      <c r="E5545" s="3"/>
      <c r="F5545">
        <v>435</v>
      </c>
    </row>
    <row r="5546" spans="1:6" x14ac:dyDescent="0.25">
      <c r="A5546">
        <v>8228</v>
      </c>
      <c r="B5546" s="15">
        <v>45481</v>
      </c>
      <c r="C5546" s="110"/>
      <c r="D5546" s="110"/>
      <c r="E5546" s="3"/>
      <c r="F5546">
        <v>436</v>
      </c>
    </row>
    <row r="5547" spans="1:6" x14ac:dyDescent="0.25">
      <c r="A5547">
        <v>8228</v>
      </c>
      <c r="B5547" s="15">
        <v>45482</v>
      </c>
      <c r="C5547" s="127"/>
      <c r="D5547" s="127"/>
      <c r="E5547" s="3"/>
      <c r="F5547">
        <v>437</v>
      </c>
    </row>
    <row r="5548" spans="1:6" x14ac:dyDescent="0.25">
      <c r="A5548">
        <v>8228</v>
      </c>
      <c r="B5548" s="15">
        <v>45483</v>
      </c>
      <c r="C5548" s="110"/>
      <c r="D5548" s="110"/>
      <c r="E5548" s="3"/>
      <c r="F5548">
        <v>438</v>
      </c>
    </row>
    <row r="5549" spans="1:6" x14ac:dyDescent="0.25">
      <c r="A5549">
        <v>8228</v>
      </c>
      <c r="B5549" s="15">
        <v>45484</v>
      </c>
      <c r="C5549" s="110"/>
      <c r="D5549" s="110"/>
      <c r="E5549" s="3"/>
      <c r="F5549">
        <v>439</v>
      </c>
    </row>
    <row r="5550" spans="1:6" x14ac:dyDescent="0.25">
      <c r="A5550">
        <v>8228</v>
      </c>
      <c r="B5550" s="15">
        <v>45485</v>
      </c>
      <c r="C5550" s="110"/>
      <c r="D5550" s="110"/>
      <c r="E5550" s="3"/>
      <c r="F5550">
        <v>440</v>
      </c>
    </row>
    <row r="5551" spans="1:6" x14ac:dyDescent="0.25">
      <c r="A5551">
        <v>8228</v>
      </c>
      <c r="B5551" s="15">
        <v>45486</v>
      </c>
      <c r="C5551" s="133"/>
      <c r="D5551" s="133"/>
      <c r="E5551" s="3"/>
      <c r="F5551">
        <v>441</v>
      </c>
    </row>
    <row r="5552" spans="1:6" x14ac:dyDescent="0.25">
      <c r="A5552">
        <v>8228</v>
      </c>
      <c r="B5552" s="15">
        <v>45487</v>
      </c>
      <c r="C5552" s="133"/>
      <c r="D5552" s="133"/>
      <c r="E5552" s="3"/>
      <c r="F5552">
        <v>442</v>
      </c>
    </row>
    <row r="5553" spans="1:6" x14ac:dyDescent="0.25">
      <c r="A5553">
        <v>8228</v>
      </c>
      <c r="B5553" s="15">
        <v>45488</v>
      </c>
      <c r="C5553" s="110"/>
      <c r="D5553" s="110"/>
      <c r="E5553" s="3"/>
      <c r="F5553">
        <v>443</v>
      </c>
    </row>
    <row r="5554" spans="1:6" x14ac:dyDescent="0.25">
      <c r="A5554">
        <v>8228</v>
      </c>
      <c r="B5554" s="15">
        <v>45489</v>
      </c>
      <c r="C5554" s="110"/>
      <c r="D5554" s="110"/>
      <c r="E5554" s="3"/>
      <c r="F5554">
        <v>444</v>
      </c>
    </row>
    <row r="5555" spans="1:6" x14ac:dyDescent="0.25">
      <c r="A5555">
        <v>8228</v>
      </c>
      <c r="B5555" s="15">
        <v>45490</v>
      </c>
      <c r="C5555" s="110"/>
      <c r="D5555" s="110"/>
      <c r="E5555" s="3"/>
      <c r="F5555">
        <v>445</v>
      </c>
    </row>
    <row r="5556" spans="1:6" x14ac:dyDescent="0.25">
      <c r="A5556">
        <v>8228</v>
      </c>
      <c r="B5556" s="15">
        <v>45491</v>
      </c>
      <c r="C5556" s="110"/>
      <c r="D5556" s="110"/>
      <c r="E5556" s="3"/>
      <c r="F5556">
        <v>446</v>
      </c>
    </row>
    <row r="5557" spans="1:6" x14ac:dyDescent="0.25">
      <c r="A5557">
        <v>8228</v>
      </c>
      <c r="B5557" s="15">
        <v>45492</v>
      </c>
      <c r="C5557" s="110"/>
      <c r="D5557" s="110"/>
      <c r="E5557" s="3"/>
      <c r="F5557">
        <v>447</v>
      </c>
    </row>
    <row r="5558" spans="1:6" x14ac:dyDescent="0.25">
      <c r="A5558">
        <v>8228</v>
      </c>
      <c r="B5558" s="15">
        <v>45493</v>
      </c>
      <c r="C5558" s="133"/>
      <c r="D5558" s="133"/>
      <c r="E5558" s="3"/>
      <c r="F5558">
        <v>448</v>
      </c>
    </row>
    <row r="5559" spans="1:6" x14ac:dyDescent="0.25">
      <c r="A5559">
        <v>8228</v>
      </c>
      <c r="B5559" s="15">
        <v>45494</v>
      </c>
      <c r="C5559" s="133"/>
      <c r="D5559" s="133"/>
      <c r="E5559" s="3"/>
      <c r="F5559">
        <v>449</v>
      </c>
    </row>
    <row r="5560" spans="1:6" x14ac:dyDescent="0.25">
      <c r="A5560">
        <v>8228</v>
      </c>
      <c r="B5560" s="15">
        <v>45495</v>
      </c>
      <c r="C5560" s="110"/>
      <c r="D5560" s="110"/>
      <c r="E5560" s="3"/>
      <c r="F5560">
        <v>450</v>
      </c>
    </row>
    <row r="5561" spans="1:6" x14ac:dyDescent="0.25">
      <c r="A5561">
        <v>8228</v>
      </c>
      <c r="B5561" s="15">
        <v>45496</v>
      </c>
      <c r="C5561" s="110"/>
      <c r="D5561" s="110"/>
      <c r="E5561" s="3"/>
      <c r="F5561">
        <v>451</v>
      </c>
    </row>
    <row r="5562" spans="1:6" x14ac:dyDescent="0.25">
      <c r="A5562">
        <v>8228</v>
      </c>
      <c r="B5562" s="15">
        <v>45497</v>
      </c>
      <c r="C5562" s="110"/>
      <c r="D5562" s="110"/>
      <c r="E5562" s="3"/>
      <c r="F5562">
        <v>452</v>
      </c>
    </row>
    <row r="5563" spans="1:6" x14ac:dyDescent="0.25">
      <c r="A5563">
        <v>8228</v>
      </c>
      <c r="B5563" s="15">
        <v>45498</v>
      </c>
      <c r="C5563" s="110"/>
      <c r="D5563" s="110"/>
      <c r="E5563" s="3"/>
      <c r="F5563">
        <v>453</v>
      </c>
    </row>
    <row r="5564" spans="1:6" x14ac:dyDescent="0.25">
      <c r="A5564">
        <v>8228</v>
      </c>
      <c r="B5564" s="15">
        <v>45499</v>
      </c>
      <c r="C5564" s="110"/>
      <c r="D5564" s="110"/>
      <c r="E5564" s="3"/>
      <c r="F5564">
        <v>454</v>
      </c>
    </row>
    <row r="5565" spans="1:6" x14ac:dyDescent="0.25">
      <c r="A5565">
        <v>8228</v>
      </c>
      <c r="B5565" s="15">
        <v>45500</v>
      </c>
      <c r="C5565" s="133"/>
      <c r="D5565" s="133"/>
      <c r="E5565" s="3"/>
      <c r="F5565">
        <v>455</v>
      </c>
    </row>
    <row r="5566" spans="1:6" x14ac:dyDescent="0.25">
      <c r="A5566">
        <v>8228</v>
      </c>
      <c r="B5566" s="15">
        <v>45501</v>
      </c>
      <c r="C5566" s="133"/>
      <c r="D5566" s="133"/>
      <c r="E5566" s="3"/>
      <c r="F5566">
        <v>456</v>
      </c>
    </row>
    <row r="5567" spans="1:6" x14ac:dyDescent="0.25">
      <c r="A5567">
        <v>8228</v>
      </c>
      <c r="B5567" s="15">
        <v>45502</v>
      </c>
      <c r="C5567" s="110"/>
      <c r="D5567" s="110"/>
      <c r="E5567" s="3"/>
      <c r="F5567">
        <v>457</v>
      </c>
    </row>
    <row r="5568" spans="1:6" x14ac:dyDescent="0.25">
      <c r="A5568">
        <v>8228</v>
      </c>
      <c r="B5568" s="15">
        <v>45503</v>
      </c>
      <c r="C5568" s="110"/>
      <c r="D5568" s="110"/>
      <c r="E5568" s="3"/>
      <c r="F5568">
        <v>458</v>
      </c>
    </row>
    <row r="5569" spans="1:6" x14ac:dyDescent="0.25">
      <c r="A5569">
        <v>8228</v>
      </c>
      <c r="B5569" s="15">
        <v>45504</v>
      </c>
      <c r="C5569" s="110"/>
      <c r="D5569" s="110"/>
      <c r="E5569" s="3"/>
      <c r="F5569">
        <v>459</v>
      </c>
    </row>
    <row r="5570" spans="1:6" x14ac:dyDescent="0.25">
      <c r="A5570">
        <v>8228</v>
      </c>
      <c r="B5570" s="15">
        <v>45505</v>
      </c>
      <c r="C5570" s="110"/>
      <c r="D5570" s="110"/>
      <c r="E5570" s="3"/>
      <c r="F5570">
        <v>460</v>
      </c>
    </row>
    <row r="5571" spans="1:6" x14ac:dyDescent="0.25">
      <c r="A5571">
        <v>8228</v>
      </c>
      <c r="B5571" s="15">
        <v>45506</v>
      </c>
      <c r="C5571" s="110"/>
      <c r="D5571" s="110"/>
      <c r="E5571" s="3"/>
      <c r="F5571">
        <v>461</v>
      </c>
    </row>
    <row r="5572" spans="1:6" x14ac:dyDescent="0.25">
      <c r="A5572">
        <v>8228</v>
      </c>
      <c r="B5572" s="15">
        <v>45507</v>
      </c>
      <c r="C5572" s="133"/>
      <c r="D5572" s="133"/>
      <c r="E5572" s="3"/>
      <c r="F5572">
        <v>462</v>
      </c>
    </row>
    <row r="5573" spans="1:6" x14ac:dyDescent="0.25">
      <c r="A5573">
        <v>8228</v>
      </c>
      <c r="B5573" s="15">
        <v>45508</v>
      </c>
      <c r="C5573" s="133"/>
      <c r="D5573" s="133"/>
      <c r="E5573" s="3"/>
      <c r="F5573">
        <v>463</v>
      </c>
    </row>
    <row r="5574" spans="1:6" x14ac:dyDescent="0.25">
      <c r="A5574">
        <v>8228</v>
      </c>
      <c r="B5574" s="15">
        <v>45509</v>
      </c>
      <c r="C5574" s="110"/>
      <c r="D5574" s="110"/>
      <c r="E5574" s="3"/>
      <c r="F5574">
        <v>464</v>
      </c>
    </row>
    <row r="5575" spans="1:6" x14ac:dyDescent="0.25">
      <c r="A5575">
        <v>8228</v>
      </c>
      <c r="B5575" s="15">
        <v>45510</v>
      </c>
      <c r="C5575" s="127"/>
      <c r="D5575" s="127"/>
      <c r="E5575" s="3"/>
      <c r="F5575">
        <v>465</v>
      </c>
    </row>
    <row r="5576" spans="1:6" x14ac:dyDescent="0.25">
      <c r="A5576">
        <v>8228</v>
      </c>
      <c r="B5576" s="15">
        <v>45511</v>
      </c>
      <c r="C5576" s="110"/>
      <c r="D5576" s="110"/>
      <c r="E5576" s="3"/>
      <c r="F5576">
        <v>466</v>
      </c>
    </row>
    <row r="5577" spans="1:6" x14ac:dyDescent="0.25">
      <c r="A5577">
        <v>8228</v>
      </c>
      <c r="B5577" s="15">
        <v>45512</v>
      </c>
      <c r="C5577" s="110"/>
      <c r="D5577" s="110"/>
      <c r="E5577" s="3"/>
      <c r="F5577">
        <v>467</v>
      </c>
    </row>
    <row r="5578" spans="1:6" x14ac:dyDescent="0.25">
      <c r="A5578">
        <v>8228</v>
      </c>
      <c r="B5578" s="15">
        <v>45513</v>
      </c>
      <c r="C5578" s="110"/>
      <c r="D5578" s="110"/>
      <c r="E5578" s="3"/>
      <c r="F5578">
        <v>468</v>
      </c>
    </row>
    <row r="5579" spans="1:6" x14ac:dyDescent="0.25">
      <c r="A5579">
        <v>8228</v>
      </c>
      <c r="B5579" s="15">
        <v>45514</v>
      </c>
      <c r="C5579" s="133"/>
      <c r="D5579" s="133"/>
      <c r="E5579" s="3"/>
      <c r="F5579">
        <v>469</v>
      </c>
    </row>
    <row r="5580" spans="1:6" x14ac:dyDescent="0.25">
      <c r="A5580">
        <v>8228</v>
      </c>
      <c r="B5580" s="15">
        <v>45515</v>
      </c>
      <c r="C5580" s="133"/>
      <c r="D5580" s="133"/>
      <c r="E5580" s="3"/>
      <c r="F5580">
        <v>470</v>
      </c>
    </row>
    <row r="5581" spans="1:6" x14ac:dyDescent="0.25">
      <c r="A5581">
        <v>8228</v>
      </c>
      <c r="B5581" s="15">
        <v>45516</v>
      </c>
      <c r="C5581" s="110"/>
      <c r="D5581" s="110"/>
      <c r="E5581" s="3"/>
      <c r="F5581">
        <v>471</v>
      </c>
    </row>
    <row r="5582" spans="1:6" x14ac:dyDescent="0.25">
      <c r="A5582">
        <v>8228</v>
      </c>
      <c r="B5582" s="15">
        <v>45517</v>
      </c>
      <c r="C5582" s="110"/>
      <c r="D5582" s="110"/>
      <c r="E5582" s="3"/>
      <c r="F5582">
        <v>472</v>
      </c>
    </row>
    <row r="5583" spans="1:6" x14ac:dyDescent="0.25">
      <c r="A5583">
        <v>8228</v>
      </c>
      <c r="B5583" s="15">
        <v>45518</v>
      </c>
      <c r="C5583" s="110"/>
      <c r="D5583" s="110"/>
      <c r="E5583" s="3"/>
      <c r="F5583">
        <v>473</v>
      </c>
    </row>
    <row r="5584" spans="1:6" x14ac:dyDescent="0.25">
      <c r="A5584">
        <v>8228</v>
      </c>
      <c r="B5584" s="15">
        <v>45519</v>
      </c>
      <c r="C5584" s="110"/>
      <c r="D5584" s="110"/>
      <c r="E5584" s="3"/>
      <c r="F5584">
        <v>474</v>
      </c>
    </row>
    <row r="5585" spans="1:6" x14ac:dyDescent="0.25">
      <c r="A5585">
        <v>8228</v>
      </c>
      <c r="B5585" s="15">
        <v>45520</v>
      </c>
      <c r="C5585" s="110"/>
      <c r="D5585" s="110"/>
      <c r="E5585" s="3"/>
      <c r="F5585">
        <v>475</v>
      </c>
    </row>
    <row r="5586" spans="1:6" x14ac:dyDescent="0.25">
      <c r="A5586">
        <v>8228</v>
      </c>
      <c r="B5586" s="15">
        <v>45521</v>
      </c>
      <c r="C5586" s="133"/>
      <c r="D5586" s="133"/>
      <c r="E5586" s="3"/>
      <c r="F5586">
        <v>476</v>
      </c>
    </row>
    <row r="5587" spans="1:6" x14ac:dyDescent="0.25">
      <c r="A5587">
        <v>8228</v>
      </c>
      <c r="B5587" s="15">
        <v>45522</v>
      </c>
      <c r="C5587" s="133"/>
      <c r="D5587" s="133"/>
      <c r="E5587" s="3"/>
      <c r="F5587">
        <v>477</v>
      </c>
    </row>
    <row r="5588" spans="1:6" x14ac:dyDescent="0.25">
      <c r="A5588">
        <v>8228</v>
      </c>
      <c r="B5588" s="15">
        <v>45523</v>
      </c>
      <c r="C5588" s="110"/>
      <c r="D5588" s="110"/>
      <c r="E5588" s="3"/>
      <c r="F5588">
        <v>478</v>
      </c>
    </row>
    <row r="5589" spans="1:6" x14ac:dyDescent="0.25">
      <c r="A5589">
        <v>8228</v>
      </c>
      <c r="B5589" s="15">
        <v>45524</v>
      </c>
      <c r="C5589" s="110"/>
      <c r="D5589" s="110"/>
      <c r="E5589" s="3"/>
      <c r="F5589">
        <v>479</v>
      </c>
    </row>
    <row r="5590" spans="1:6" x14ac:dyDescent="0.25">
      <c r="A5590">
        <v>8228</v>
      </c>
      <c r="B5590" s="15">
        <v>45525</v>
      </c>
      <c r="C5590" s="110"/>
      <c r="D5590" s="110"/>
      <c r="E5590" s="3"/>
      <c r="F5590">
        <v>480</v>
      </c>
    </row>
    <row r="5591" spans="1:6" x14ac:dyDescent="0.25">
      <c r="A5591">
        <v>8228</v>
      </c>
      <c r="B5591" s="15">
        <v>45526</v>
      </c>
      <c r="C5591" s="110"/>
      <c r="D5591" s="110"/>
      <c r="E5591" s="3"/>
      <c r="F5591">
        <v>481</v>
      </c>
    </row>
    <row r="5592" spans="1:6" x14ac:dyDescent="0.25">
      <c r="A5592">
        <v>8228</v>
      </c>
      <c r="B5592" s="15">
        <v>45527</v>
      </c>
      <c r="C5592" s="110"/>
      <c r="D5592" s="110"/>
      <c r="E5592" s="3"/>
      <c r="F5592">
        <v>482</v>
      </c>
    </row>
    <row r="5593" spans="1:6" x14ac:dyDescent="0.25">
      <c r="A5593">
        <v>8228</v>
      </c>
      <c r="B5593" s="15">
        <v>45528</v>
      </c>
      <c r="C5593" s="133"/>
      <c r="D5593" s="133"/>
      <c r="E5593" s="3"/>
      <c r="F5593">
        <v>483</v>
      </c>
    </row>
    <row r="5594" spans="1:6" x14ac:dyDescent="0.25">
      <c r="A5594">
        <v>8228</v>
      </c>
      <c r="B5594" s="15">
        <v>45529</v>
      </c>
      <c r="C5594" s="133"/>
      <c r="D5594" s="133"/>
      <c r="E5594" s="3"/>
      <c r="F5594">
        <v>484</v>
      </c>
    </row>
    <row r="5595" spans="1:6" x14ac:dyDescent="0.25">
      <c r="A5595">
        <v>8228</v>
      </c>
      <c r="B5595" s="15">
        <v>45530</v>
      </c>
      <c r="C5595" s="110"/>
      <c r="D5595" s="110"/>
      <c r="E5595" s="3"/>
      <c r="F5595">
        <v>485</v>
      </c>
    </row>
    <row r="5596" spans="1:6" x14ac:dyDescent="0.25">
      <c r="A5596">
        <v>8228</v>
      </c>
      <c r="B5596" s="15">
        <v>45531</v>
      </c>
      <c r="C5596" s="110"/>
      <c r="D5596" s="110"/>
      <c r="E5596" s="3"/>
      <c r="F5596">
        <v>486</v>
      </c>
    </row>
    <row r="5597" spans="1:6" x14ac:dyDescent="0.25">
      <c r="A5597">
        <v>8228</v>
      </c>
      <c r="B5597" s="15">
        <v>45532</v>
      </c>
      <c r="C5597" s="110"/>
      <c r="D5597" s="110"/>
      <c r="E5597" s="3"/>
      <c r="F5597">
        <v>487</v>
      </c>
    </row>
    <row r="5598" spans="1:6" x14ac:dyDescent="0.25">
      <c r="A5598">
        <v>8228</v>
      </c>
      <c r="B5598" s="15">
        <v>45533</v>
      </c>
      <c r="C5598" s="110"/>
      <c r="D5598" s="110"/>
      <c r="E5598" s="3"/>
      <c r="F5598">
        <v>488</v>
      </c>
    </row>
    <row r="5599" spans="1:6" x14ac:dyDescent="0.25">
      <c r="A5599">
        <v>8228</v>
      </c>
      <c r="B5599" s="15">
        <v>45534</v>
      </c>
      <c r="C5599" s="110"/>
      <c r="D5599" s="110"/>
      <c r="E5599" s="3"/>
      <c r="F5599">
        <v>489</v>
      </c>
    </row>
    <row r="5600" spans="1:6" x14ac:dyDescent="0.25">
      <c r="A5600">
        <v>8228</v>
      </c>
      <c r="B5600" s="15">
        <v>45535</v>
      </c>
      <c r="C5600" s="133"/>
      <c r="D5600" s="133"/>
      <c r="E5600" s="3"/>
      <c r="F5600">
        <v>490</v>
      </c>
    </row>
    <row r="5601" spans="1:6" x14ac:dyDescent="0.25">
      <c r="A5601">
        <v>8228</v>
      </c>
      <c r="B5601" s="15">
        <v>45536</v>
      </c>
      <c r="C5601" s="133"/>
      <c r="D5601" s="133"/>
      <c r="E5601" s="3"/>
      <c r="F5601">
        <v>491</v>
      </c>
    </row>
    <row r="5602" spans="1:6" x14ac:dyDescent="0.25">
      <c r="A5602">
        <v>8228</v>
      </c>
      <c r="B5602" s="15">
        <v>45537</v>
      </c>
      <c r="C5602" s="110"/>
      <c r="D5602" s="110"/>
      <c r="E5602" s="3"/>
      <c r="F5602">
        <v>492</v>
      </c>
    </row>
    <row r="5603" spans="1:6" x14ac:dyDescent="0.25">
      <c r="A5603">
        <v>8228</v>
      </c>
      <c r="B5603" s="15">
        <v>45538</v>
      </c>
      <c r="C5603" s="127"/>
      <c r="D5603" s="127"/>
      <c r="E5603" s="3"/>
      <c r="F5603">
        <v>493</v>
      </c>
    </row>
    <row r="5604" spans="1:6" x14ac:dyDescent="0.25">
      <c r="A5604">
        <v>8228</v>
      </c>
      <c r="B5604" s="15">
        <v>45539</v>
      </c>
      <c r="C5604" s="110"/>
      <c r="D5604" s="110"/>
      <c r="E5604" s="3"/>
      <c r="F5604">
        <v>494</v>
      </c>
    </row>
    <row r="5605" spans="1:6" x14ac:dyDescent="0.25">
      <c r="A5605">
        <v>8228</v>
      </c>
      <c r="B5605" s="15">
        <v>45540</v>
      </c>
      <c r="C5605" s="110"/>
      <c r="D5605" s="110"/>
      <c r="E5605" s="3"/>
      <c r="F5605">
        <v>495</v>
      </c>
    </row>
    <row r="5606" spans="1:6" x14ac:dyDescent="0.25">
      <c r="A5606">
        <v>8228</v>
      </c>
      <c r="B5606" s="15">
        <v>45541</v>
      </c>
      <c r="C5606" s="110"/>
      <c r="D5606" s="110"/>
      <c r="E5606" s="3"/>
      <c r="F5606">
        <v>496</v>
      </c>
    </row>
    <row r="5607" spans="1:6" x14ac:dyDescent="0.25">
      <c r="A5607">
        <v>8228</v>
      </c>
      <c r="B5607" s="15">
        <v>45542</v>
      </c>
      <c r="C5607" s="133"/>
      <c r="D5607" s="133"/>
      <c r="E5607" s="3"/>
      <c r="F5607">
        <v>497</v>
      </c>
    </row>
    <row r="5608" spans="1:6" x14ac:dyDescent="0.25">
      <c r="A5608">
        <v>8228</v>
      </c>
      <c r="B5608" s="15">
        <v>45543</v>
      </c>
      <c r="C5608" s="133"/>
      <c r="D5608" s="133"/>
      <c r="E5608" s="3"/>
      <c r="F5608">
        <v>498</v>
      </c>
    </row>
    <row r="5609" spans="1:6" x14ac:dyDescent="0.25">
      <c r="A5609">
        <v>8228</v>
      </c>
      <c r="B5609" s="15">
        <v>45544</v>
      </c>
      <c r="C5609" s="110"/>
      <c r="D5609" s="110"/>
      <c r="E5609" s="3"/>
      <c r="F5609">
        <v>499</v>
      </c>
    </row>
    <row r="5610" spans="1:6" x14ac:dyDescent="0.25">
      <c r="A5610">
        <v>8228</v>
      </c>
      <c r="B5610" s="15">
        <v>45545</v>
      </c>
      <c r="C5610" s="110"/>
      <c r="D5610" s="110"/>
      <c r="E5610" s="3"/>
      <c r="F5610">
        <v>500</v>
      </c>
    </row>
    <row r="5611" spans="1:6" x14ac:dyDescent="0.25">
      <c r="A5611">
        <v>8228</v>
      </c>
      <c r="B5611" s="15">
        <v>45546</v>
      </c>
      <c r="C5611" s="110"/>
      <c r="D5611" s="110"/>
      <c r="E5611" s="3"/>
      <c r="F5611">
        <v>501</v>
      </c>
    </row>
    <row r="5612" spans="1:6" x14ac:dyDescent="0.25">
      <c r="A5612">
        <v>8228</v>
      </c>
      <c r="B5612" s="15">
        <v>45547</v>
      </c>
      <c r="C5612" s="110"/>
      <c r="D5612" s="110"/>
      <c r="E5612" s="3"/>
      <c r="F5612">
        <v>502</v>
      </c>
    </row>
    <row r="5613" spans="1:6" x14ac:dyDescent="0.25">
      <c r="A5613">
        <v>8228</v>
      </c>
      <c r="B5613" s="15">
        <v>45548</v>
      </c>
      <c r="C5613" s="110"/>
      <c r="D5613" s="110"/>
      <c r="E5613" s="3"/>
      <c r="F5613">
        <v>503</v>
      </c>
    </row>
    <row r="5614" spans="1:6" x14ac:dyDescent="0.25">
      <c r="A5614">
        <v>8228</v>
      </c>
      <c r="B5614" s="15">
        <v>45549</v>
      </c>
      <c r="C5614" s="133"/>
      <c r="D5614" s="133"/>
      <c r="E5614" s="3"/>
      <c r="F5614">
        <v>504</v>
      </c>
    </row>
    <row r="5615" spans="1:6" x14ac:dyDescent="0.25">
      <c r="A5615">
        <v>8228</v>
      </c>
      <c r="B5615" s="15">
        <v>45550</v>
      </c>
      <c r="C5615" s="133"/>
      <c r="D5615" s="133"/>
      <c r="E5615" s="3"/>
      <c r="F5615">
        <v>505</v>
      </c>
    </row>
    <row r="5616" spans="1:6" x14ac:dyDescent="0.25">
      <c r="A5616">
        <v>8228</v>
      </c>
      <c r="B5616" s="15">
        <v>45551</v>
      </c>
      <c r="C5616" s="110"/>
      <c r="D5616" s="110"/>
      <c r="E5616" s="3"/>
      <c r="F5616">
        <v>506</v>
      </c>
    </row>
    <row r="5617" spans="1:6" x14ac:dyDescent="0.25">
      <c r="A5617">
        <v>8228</v>
      </c>
      <c r="B5617" s="15">
        <v>45552</v>
      </c>
      <c r="C5617" s="110"/>
      <c r="D5617" s="110"/>
      <c r="E5617" s="3"/>
      <c r="F5617">
        <v>507</v>
      </c>
    </row>
    <row r="5618" spans="1:6" x14ac:dyDescent="0.25">
      <c r="A5618">
        <v>8228</v>
      </c>
      <c r="B5618" s="15">
        <v>45553</v>
      </c>
      <c r="C5618" s="110"/>
      <c r="D5618" s="110"/>
      <c r="E5618" s="3"/>
      <c r="F5618">
        <v>508</v>
      </c>
    </row>
    <row r="5619" spans="1:6" x14ac:dyDescent="0.25">
      <c r="A5619">
        <v>8228</v>
      </c>
      <c r="B5619" s="15">
        <v>45554</v>
      </c>
      <c r="C5619" s="110"/>
      <c r="D5619" s="110"/>
      <c r="E5619" s="3"/>
      <c r="F5619">
        <v>509</v>
      </c>
    </row>
    <row r="5620" spans="1:6" x14ac:dyDescent="0.25">
      <c r="A5620">
        <v>8228</v>
      </c>
      <c r="B5620" s="15">
        <v>45555</v>
      </c>
      <c r="C5620" s="110"/>
      <c r="D5620" s="110"/>
      <c r="E5620" s="3"/>
      <c r="F5620">
        <v>510</v>
      </c>
    </row>
    <row r="5621" spans="1:6" x14ac:dyDescent="0.25">
      <c r="A5621">
        <v>8228</v>
      </c>
      <c r="B5621" s="15">
        <v>45556</v>
      </c>
      <c r="C5621" s="133"/>
      <c r="D5621" s="133"/>
      <c r="E5621" s="3"/>
      <c r="F5621">
        <v>511</v>
      </c>
    </row>
    <row r="5622" spans="1:6" x14ac:dyDescent="0.25">
      <c r="A5622">
        <v>8228</v>
      </c>
      <c r="B5622" s="15">
        <v>45557</v>
      </c>
      <c r="C5622" s="133"/>
      <c r="D5622" s="133"/>
      <c r="E5622" s="3"/>
      <c r="F5622">
        <v>512</v>
      </c>
    </row>
    <row r="5623" spans="1:6" x14ac:dyDescent="0.25">
      <c r="A5623">
        <v>8228</v>
      </c>
      <c r="B5623" s="15">
        <v>45558</v>
      </c>
      <c r="C5623" s="110"/>
      <c r="D5623" s="110"/>
      <c r="E5623" s="3"/>
      <c r="F5623">
        <v>513</v>
      </c>
    </row>
    <row r="5624" spans="1:6" x14ac:dyDescent="0.25">
      <c r="A5624">
        <v>8228</v>
      </c>
      <c r="B5624" s="15">
        <v>45559</v>
      </c>
      <c r="C5624" s="110"/>
      <c r="D5624" s="110"/>
      <c r="E5624" s="3"/>
      <c r="F5624">
        <v>514</v>
      </c>
    </row>
    <row r="5625" spans="1:6" x14ac:dyDescent="0.25">
      <c r="A5625">
        <v>8228</v>
      </c>
      <c r="B5625" s="15">
        <v>45560</v>
      </c>
      <c r="C5625" s="110"/>
      <c r="D5625" s="110"/>
      <c r="E5625" s="3"/>
      <c r="F5625">
        <v>515</v>
      </c>
    </row>
    <row r="5626" spans="1:6" x14ac:dyDescent="0.25">
      <c r="A5626">
        <v>8228</v>
      </c>
      <c r="B5626" s="15">
        <v>45561</v>
      </c>
      <c r="C5626" s="110"/>
      <c r="D5626" s="110"/>
      <c r="E5626" s="3"/>
      <c r="F5626">
        <v>516</v>
      </c>
    </row>
    <row r="5627" spans="1:6" x14ac:dyDescent="0.25">
      <c r="A5627">
        <v>8228</v>
      </c>
      <c r="B5627" s="15">
        <v>45562</v>
      </c>
      <c r="C5627" s="110"/>
      <c r="D5627" s="110"/>
      <c r="E5627" s="3"/>
      <c r="F5627">
        <v>517</v>
      </c>
    </row>
    <row r="5628" spans="1:6" x14ac:dyDescent="0.25">
      <c r="A5628">
        <v>8228</v>
      </c>
      <c r="B5628" s="15">
        <v>45563</v>
      </c>
      <c r="C5628" s="133"/>
      <c r="D5628" s="133"/>
      <c r="E5628" s="3"/>
      <c r="F5628">
        <v>518</v>
      </c>
    </row>
    <row r="5629" spans="1:6" x14ac:dyDescent="0.25">
      <c r="A5629">
        <v>8228</v>
      </c>
      <c r="B5629" s="15">
        <v>45564</v>
      </c>
      <c r="C5629" s="133"/>
      <c r="D5629" s="133"/>
      <c r="E5629" s="3"/>
      <c r="F5629">
        <v>519</v>
      </c>
    </row>
    <row r="5630" spans="1:6" x14ac:dyDescent="0.25">
      <c r="A5630">
        <v>8228</v>
      </c>
      <c r="B5630" s="15">
        <v>45565</v>
      </c>
      <c r="C5630" s="110"/>
      <c r="D5630" s="110"/>
      <c r="E5630" s="3"/>
      <c r="F5630">
        <v>520</v>
      </c>
    </row>
    <row r="5631" spans="1:6" x14ac:dyDescent="0.25">
      <c r="A5631">
        <v>8228</v>
      </c>
      <c r="B5631" s="15">
        <v>45566</v>
      </c>
      <c r="C5631" s="127"/>
      <c r="D5631" s="127"/>
      <c r="E5631" s="3"/>
      <c r="F5631">
        <v>521</v>
      </c>
    </row>
    <row r="5632" spans="1:6" x14ac:dyDescent="0.25">
      <c r="A5632">
        <v>8228</v>
      </c>
      <c r="B5632" s="15">
        <v>45567</v>
      </c>
      <c r="C5632" s="110"/>
      <c r="D5632" s="110"/>
      <c r="E5632" s="3"/>
      <c r="F5632">
        <v>522</v>
      </c>
    </row>
    <row r="5633" spans="1:6" x14ac:dyDescent="0.25">
      <c r="A5633">
        <v>8228</v>
      </c>
      <c r="B5633" s="15">
        <v>45568</v>
      </c>
      <c r="C5633" s="110"/>
      <c r="D5633" s="110"/>
      <c r="E5633" s="3"/>
      <c r="F5633">
        <v>523</v>
      </c>
    </row>
    <row r="5634" spans="1:6" x14ac:dyDescent="0.25">
      <c r="A5634">
        <v>8228</v>
      </c>
      <c r="B5634" s="15">
        <v>45569</v>
      </c>
      <c r="C5634" s="110"/>
      <c r="D5634" s="110"/>
      <c r="E5634" s="3"/>
      <c r="F5634">
        <v>524</v>
      </c>
    </row>
    <row r="5635" spans="1:6" x14ac:dyDescent="0.25">
      <c r="A5635">
        <v>8228</v>
      </c>
      <c r="B5635" s="15">
        <v>45570</v>
      </c>
      <c r="C5635" s="133"/>
      <c r="D5635" s="133"/>
      <c r="E5635" s="3"/>
      <c r="F5635">
        <v>525</v>
      </c>
    </row>
    <row r="5636" spans="1:6" x14ac:dyDescent="0.25">
      <c r="A5636">
        <v>8228</v>
      </c>
      <c r="B5636" s="15">
        <v>45571</v>
      </c>
      <c r="C5636" s="133"/>
      <c r="D5636" s="133"/>
      <c r="E5636" s="3"/>
      <c r="F5636">
        <v>526</v>
      </c>
    </row>
    <row r="5637" spans="1:6" x14ac:dyDescent="0.25">
      <c r="A5637">
        <v>8228</v>
      </c>
      <c r="B5637" s="15">
        <v>45572</v>
      </c>
      <c r="C5637" s="110"/>
      <c r="D5637" s="110"/>
      <c r="E5637" s="3"/>
      <c r="F5637">
        <v>527</v>
      </c>
    </row>
    <row r="5638" spans="1:6" x14ac:dyDescent="0.25">
      <c r="A5638">
        <v>8228</v>
      </c>
      <c r="B5638" s="15">
        <v>45573</v>
      </c>
      <c r="C5638" s="110"/>
      <c r="D5638" s="110"/>
      <c r="E5638" s="3"/>
      <c r="F5638">
        <v>528</v>
      </c>
    </row>
    <row r="5639" spans="1:6" x14ac:dyDescent="0.25">
      <c r="A5639">
        <v>8228</v>
      </c>
      <c r="B5639" s="15">
        <v>45574</v>
      </c>
      <c r="C5639" s="110"/>
      <c r="D5639" s="110"/>
      <c r="E5639" s="3"/>
      <c r="F5639">
        <v>529</v>
      </c>
    </row>
    <row r="5640" spans="1:6" x14ac:dyDescent="0.25">
      <c r="A5640">
        <v>8228</v>
      </c>
      <c r="B5640" s="15">
        <v>45575</v>
      </c>
      <c r="C5640" s="110"/>
      <c r="D5640" s="110"/>
      <c r="E5640" s="3"/>
      <c r="F5640">
        <v>530</v>
      </c>
    </row>
    <row r="5641" spans="1:6" x14ac:dyDescent="0.25">
      <c r="A5641">
        <v>8228</v>
      </c>
      <c r="B5641" s="15">
        <v>45576</v>
      </c>
      <c r="C5641" s="110"/>
      <c r="D5641" s="110"/>
      <c r="E5641" s="3"/>
      <c r="F5641">
        <v>531</v>
      </c>
    </row>
    <row r="5642" spans="1:6" x14ac:dyDescent="0.25">
      <c r="A5642">
        <v>8228</v>
      </c>
      <c r="B5642" s="15">
        <v>45577</v>
      </c>
      <c r="C5642" s="133"/>
      <c r="D5642" s="133"/>
      <c r="E5642" s="3"/>
      <c r="F5642">
        <v>532</v>
      </c>
    </row>
    <row r="5643" spans="1:6" x14ac:dyDescent="0.25">
      <c r="A5643">
        <v>8228</v>
      </c>
      <c r="B5643" s="15">
        <v>45578</v>
      </c>
      <c r="C5643" s="133"/>
      <c r="D5643" s="133"/>
      <c r="E5643" s="3"/>
      <c r="F5643">
        <v>533</v>
      </c>
    </row>
    <row r="5644" spans="1:6" x14ac:dyDescent="0.25">
      <c r="A5644">
        <v>8228</v>
      </c>
      <c r="B5644" s="15">
        <v>45579</v>
      </c>
      <c r="C5644" s="110"/>
      <c r="D5644" s="110"/>
      <c r="E5644" s="3"/>
      <c r="F5644">
        <v>534</v>
      </c>
    </row>
    <row r="5645" spans="1:6" x14ac:dyDescent="0.25">
      <c r="A5645">
        <v>8228</v>
      </c>
      <c r="B5645" s="15">
        <v>45580</v>
      </c>
      <c r="C5645" s="110"/>
      <c r="D5645" s="110"/>
      <c r="E5645" s="3"/>
      <c r="F5645">
        <v>535</v>
      </c>
    </row>
    <row r="5646" spans="1:6" x14ac:dyDescent="0.25">
      <c r="A5646">
        <v>8228</v>
      </c>
      <c r="B5646" s="15">
        <v>45581</v>
      </c>
      <c r="C5646" s="110"/>
      <c r="D5646" s="110"/>
      <c r="E5646" s="3"/>
      <c r="F5646">
        <v>536</v>
      </c>
    </row>
    <row r="5647" spans="1:6" x14ac:dyDescent="0.25">
      <c r="A5647">
        <v>8228</v>
      </c>
      <c r="B5647" s="15">
        <v>45582</v>
      </c>
      <c r="C5647" s="110"/>
      <c r="D5647" s="110"/>
      <c r="E5647" s="3"/>
      <c r="F5647">
        <v>537</v>
      </c>
    </row>
    <row r="5648" spans="1:6" x14ac:dyDescent="0.25">
      <c r="A5648">
        <v>8228</v>
      </c>
      <c r="B5648" s="15">
        <v>45583</v>
      </c>
      <c r="C5648" s="110"/>
      <c r="D5648" s="110"/>
      <c r="E5648" s="3"/>
      <c r="F5648">
        <v>538</v>
      </c>
    </row>
    <row r="5649" spans="1:6" x14ac:dyDescent="0.25">
      <c r="A5649">
        <v>8228</v>
      </c>
      <c r="B5649" s="15">
        <v>45584</v>
      </c>
      <c r="C5649" s="133"/>
      <c r="D5649" s="133"/>
      <c r="E5649" s="3"/>
      <c r="F5649">
        <v>539</v>
      </c>
    </row>
    <row r="5650" spans="1:6" x14ac:dyDescent="0.25">
      <c r="A5650">
        <v>8228</v>
      </c>
      <c r="B5650" s="15">
        <v>45585</v>
      </c>
      <c r="C5650" s="133"/>
      <c r="D5650" s="133"/>
      <c r="E5650" s="3"/>
      <c r="F5650">
        <v>540</v>
      </c>
    </row>
    <row r="5651" spans="1:6" x14ac:dyDescent="0.25">
      <c r="A5651">
        <v>8228</v>
      </c>
      <c r="B5651" s="15">
        <v>45586</v>
      </c>
      <c r="C5651" s="110"/>
      <c r="D5651" s="110"/>
      <c r="E5651" s="3"/>
      <c r="F5651">
        <v>541</v>
      </c>
    </row>
    <row r="5652" spans="1:6" x14ac:dyDescent="0.25">
      <c r="A5652">
        <v>8228</v>
      </c>
      <c r="B5652" s="15">
        <v>45587</v>
      </c>
      <c r="C5652" s="110"/>
      <c r="D5652" s="110"/>
      <c r="E5652" s="3"/>
      <c r="F5652">
        <v>542</v>
      </c>
    </row>
    <row r="5653" spans="1:6" x14ac:dyDescent="0.25">
      <c r="A5653">
        <v>8228</v>
      </c>
      <c r="B5653" s="15">
        <v>45588</v>
      </c>
      <c r="C5653" s="110"/>
      <c r="D5653" s="110"/>
      <c r="E5653" s="3"/>
      <c r="F5653">
        <v>543</v>
      </c>
    </row>
    <row r="5654" spans="1:6" x14ac:dyDescent="0.25">
      <c r="A5654">
        <v>8228</v>
      </c>
      <c r="B5654" s="15">
        <v>45589</v>
      </c>
      <c r="C5654" s="110"/>
      <c r="D5654" s="110"/>
      <c r="E5654" s="3"/>
      <c r="F5654">
        <v>544</v>
      </c>
    </row>
    <row r="5655" spans="1:6" x14ac:dyDescent="0.25">
      <c r="A5655">
        <v>8228</v>
      </c>
      <c r="B5655" s="15">
        <v>45590</v>
      </c>
      <c r="C5655" s="110"/>
      <c r="D5655" s="110"/>
      <c r="E5655" s="3"/>
      <c r="F5655">
        <v>545</v>
      </c>
    </row>
    <row r="5656" spans="1:6" x14ac:dyDescent="0.25">
      <c r="A5656">
        <v>8228</v>
      </c>
      <c r="B5656" s="15">
        <v>45591</v>
      </c>
      <c r="C5656" s="133"/>
      <c r="D5656" s="133"/>
      <c r="E5656" s="3"/>
      <c r="F5656">
        <v>546</v>
      </c>
    </row>
    <row r="5657" spans="1:6" x14ac:dyDescent="0.25">
      <c r="A5657">
        <v>8228</v>
      </c>
      <c r="B5657" s="15">
        <v>45592</v>
      </c>
      <c r="C5657" s="133"/>
      <c r="D5657" s="133"/>
      <c r="E5657" s="3"/>
      <c r="F5657">
        <v>547</v>
      </c>
    </row>
    <row r="5658" spans="1:6" x14ac:dyDescent="0.25">
      <c r="A5658">
        <v>8228</v>
      </c>
      <c r="B5658" s="15">
        <v>45593</v>
      </c>
      <c r="C5658" s="110"/>
      <c r="D5658" s="110"/>
      <c r="E5658" s="3"/>
      <c r="F5658">
        <v>548</v>
      </c>
    </row>
    <row r="5659" spans="1:6" x14ac:dyDescent="0.25">
      <c r="A5659">
        <v>8228</v>
      </c>
      <c r="B5659" s="15">
        <v>45594</v>
      </c>
      <c r="C5659" s="127"/>
      <c r="D5659" s="127"/>
      <c r="E5659" s="3"/>
      <c r="F5659">
        <v>549</v>
      </c>
    </row>
    <row r="5660" spans="1:6" x14ac:dyDescent="0.25">
      <c r="A5660">
        <v>8228</v>
      </c>
      <c r="B5660" s="15">
        <v>45595</v>
      </c>
      <c r="C5660" s="110"/>
      <c r="D5660" s="110"/>
      <c r="E5660" s="3"/>
      <c r="F5660">
        <v>550</v>
      </c>
    </row>
    <row r="5661" spans="1:6" x14ac:dyDescent="0.25">
      <c r="A5661">
        <v>8228</v>
      </c>
      <c r="B5661" s="15">
        <v>45596</v>
      </c>
      <c r="C5661" s="110"/>
      <c r="D5661" s="110"/>
      <c r="E5661" s="3"/>
      <c r="F5661">
        <v>551</v>
      </c>
    </row>
    <row r="5662" spans="1:6" x14ac:dyDescent="0.25">
      <c r="A5662">
        <v>8228</v>
      </c>
      <c r="B5662" s="15">
        <v>45597</v>
      </c>
      <c r="C5662" s="110"/>
      <c r="D5662" s="110"/>
      <c r="E5662" s="3"/>
      <c r="F5662">
        <v>552</v>
      </c>
    </row>
    <row r="5663" spans="1:6" x14ac:dyDescent="0.25">
      <c r="A5663">
        <v>8228</v>
      </c>
      <c r="B5663" s="15">
        <v>45598</v>
      </c>
      <c r="C5663" s="133"/>
      <c r="D5663" s="133"/>
      <c r="E5663" s="3"/>
      <c r="F5663">
        <v>553</v>
      </c>
    </row>
    <row r="5664" spans="1:6" x14ac:dyDescent="0.25">
      <c r="A5664">
        <v>8228</v>
      </c>
      <c r="B5664" s="15">
        <v>45599</v>
      </c>
      <c r="C5664" s="133"/>
      <c r="D5664" s="133"/>
      <c r="E5664" s="3"/>
      <c r="F5664">
        <v>554</v>
      </c>
    </row>
    <row r="5665" spans="1:6" x14ac:dyDescent="0.25">
      <c r="A5665">
        <v>8228</v>
      </c>
      <c r="B5665" s="15">
        <v>45600</v>
      </c>
      <c r="C5665" s="110"/>
      <c r="D5665" s="110"/>
      <c r="E5665" s="3"/>
      <c r="F5665">
        <v>555</v>
      </c>
    </row>
    <row r="5666" spans="1:6" x14ac:dyDescent="0.25">
      <c r="A5666">
        <v>8228</v>
      </c>
      <c r="B5666" s="15">
        <v>45601</v>
      </c>
      <c r="C5666" s="110"/>
      <c r="D5666" s="110"/>
      <c r="E5666" s="3"/>
      <c r="F5666">
        <v>556</v>
      </c>
    </row>
    <row r="5667" spans="1:6" x14ac:dyDescent="0.25">
      <c r="A5667">
        <v>8228</v>
      </c>
      <c r="B5667" s="15">
        <v>45602</v>
      </c>
      <c r="C5667" s="110"/>
      <c r="D5667" s="110"/>
      <c r="E5667" s="3"/>
      <c r="F5667">
        <v>557</v>
      </c>
    </row>
    <row r="5668" spans="1:6" x14ac:dyDescent="0.25">
      <c r="A5668">
        <v>8228</v>
      </c>
      <c r="B5668" s="15">
        <v>45603</v>
      </c>
      <c r="C5668" s="110"/>
      <c r="D5668" s="110"/>
      <c r="E5668" s="3"/>
      <c r="F5668">
        <v>558</v>
      </c>
    </row>
    <row r="5669" spans="1:6" x14ac:dyDescent="0.25">
      <c r="A5669">
        <v>8228</v>
      </c>
      <c r="B5669" s="15">
        <v>45604</v>
      </c>
      <c r="C5669" s="110"/>
      <c r="D5669" s="110"/>
      <c r="E5669" s="3"/>
      <c r="F5669">
        <v>559</v>
      </c>
    </row>
    <row r="5670" spans="1:6" x14ac:dyDescent="0.25">
      <c r="A5670">
        <v>8228</v>
      </c>
      <c r="B5670" s="15">
        <v>45605</v>
      </c>
      <c r="C5670" s="133"/>
      <c r="D5670" s="133"/>
      <c r="E5670" s="3"/>
      <c r="F5670">
        <v>560</v>
      </c>
    </row>
    <row r="5671" spans="1:6" x14ac:dyDescent="0.25">
      <c r="A5671">
        <v>8228</v>
      </c>
      <c r="B5671" s="15">
        <v>45606</v>
      </c>
      <c r="C5671" s="133"/>
      <c r="D5671" s="133"/>
      <c r="E5671" s="3"/>
      <c r="F5671">
        <v>561</v>
      </c>
    </row>
    <row r="5672" spans="1:6" x14ac:dyDescent="0.25">
      <c r="A5672">
        <v>8228</v>
      </c>
      <c r="B5672" s="15">
        <v>45607</v>
      </c>
      <c r="C5672" s="110"/>
      <c r="D5672" s="110"/>
      <c r="E5672" s="3"/>
      <c r="F5672">
        <v>562</v>
      </c>
    </row>
    <row r="5673" spans="1:6" x14ac:dyDescent="0.25">
      <c r="A5673">
        <v>8228</v>
      </c>
      <c r="B5673" s="15">
        <v>45608</v>
      </c>
      <c r="C5673" s="110"/>
      <c r="D5673" s="110"/>
      <c r="E5673" s="3"/>
      <c r="F5673">
        <v>563</v>
      </c>
    </row>
    <row r="5674" spans="1:6" x14ac:dyDescent="0.25">
      <c r="A5674">
        <v>8228</v>
      </c>
      <c r="B5674" s="15">
        <v>45609</v>
      </c>
      <c r="C5674" s="110"/>
      <c r="D5674" s="110"/>
      <c r="E5674" s="3"/>
      <c r="F5674">
        <v>564</v>
      </c>
    </row>
    <row r="5675" spans="1:6" x14ac:dyDescent="0.25">
      <c r="A5675">
        <v>8228</v>
      </c>
      <c r="B5675" s="15">
        <v>45610</v>
      </c>
      <c r="C5675" s="110"/>
      <c r="D5675" s="110"/>
      <c r="E5675" s="3"/>
      <c r="F5675">
        <v>565</v>
      </c>
    </row>
    <row r="5676" spans="1:6" x14ac:dyDescent="0.25">
      <c r="A5676">
        <v>8228</v>
      </c>
      <c r="B5676" s="15">
        <v>45611</v>
      </c>
      <c r="C5676" s="110"/>
      <c r="D5676" s="110"/>
      <c r="E5676" s="3"/>
      <c r="F5676">
        <v>566</v>
      </c>
    </row>
    <row r="5677" spans="1:6" x14ac:dyDescent="0.25">
      <c r="A5677">
        <v>8228</v>
      </c>
      <c r="B5677" s="15">
        <v>45612</v>
      </c>
      <c r="C5677" s="133"/>
      <c r="D5677" s="133"/>
      <c r="E5677" s="3"/>
      <c r="F5677">
        <v>567</v>
      </c>
    </row>
    <row r="5678" spans="1:6" x14ac:dyDescent="0.25">
      <c r="A5678">
        <v>8228</v>
      </c>
      <c r="B5678" s="15">
        <v>45613</v>
      </c>
      <c r="C5678" s="133"/>
      <c r="D5678" s="133"/>
      <c r="E5678" s="3"/>
      <c r="F5678">
        <v>568</v>
      </c>
    </row>
    <row r="5679" spans="1:6" x14ac:dyDescent="0.25">
      <c r="A5679">
        <v>8228</v>
      </c>
      <c r="B5679" s="15">
        <v>45614</v>
      </c>
      <c r="C5679" s="110"/>
      <c r="D5679" s="110"/>
      <c r="E5679" s="3"/>
      <c r="F5679">
        <v>569</v>
      </c>
    </row>
    <row r="5680" spans="1:6" x14ac:dyDescent="0.25">
      <c r="A5680">
        <v>8228</v>
      </c>
      <c r="B5680" s="15">
        <v>45615</v>
      </c>
      <c r="C5680" s="110"/>
      <c r="D5680" s="110"/>
      <c r="E5680" s="3"/>
      <c r="F5680">
        <v>570</v>
      </c>
    </row>
    <row r="5681" spans="1:6" x14ac:dyDescent="0.25">
      <c r="A5681">
        <v>8228</v>
      </c>
      <c r="B5681" s="15">
        <v>45616</v>
      </c>
      <c r="C5681" s="110"/>
      <c r="D5681" s="110"/>
      <c r="E5681" s="3"/>
      <c r="F5681">
        <v>571</v>
      </c>
    </row>
    <row r="5682" spans="1:6" x14ac:dyDescent="0.25">
      <c r="A5682">
        <v>8228</v>
      </c>
      <c r="B5682" s="15">
        <v>45617</v>
      </c>
      <c r="C5682" s="110"/>
      <c r="D5682" s="110"/>
      <c r="E5682" s="3"/>
      <c r="F5682">
        <v>572</v>
      </c>
    </row>
    <row r="5683" spans="1:6" x14ac:dyDescent="0.25">
      <c r="A5683">
        <v>8228</v>
      </c>
      <c r="B5683" s="15">
        <v>45618</v>
      </c>
      <c r="C5683" s="110"/>
      <c r="D5683" s="110"/>
      <c r="E5683" s="3"/>
      <c r="F5683">
        <v>573</v>
      </c>
    </row>
    <row r="5684" spans="1:6" x14ac:dyDescent="0.25">
      <c r="A5684">
        <v>8228</v>
      </c>
      <c r="B5684" s="15">
        <v>45619</v>
      </c>
      <c r="C5684" s="133"/>
      <c r="D5684" s="133"/>
      <c r="E5684" s="3"/>
      <c r="F5684">
        <v>574</v>
      </c>
    </row>
    <row r="5685" spans="1:6" x14ac:dyDescent="0.25">
      <c r="A5685">
        <v>8228</v>
      </c>
      <c r="B5685" s="15">
        <v>45620</v>
      </c>
      <c r="C5685" s="133"/>
      <c r="D5685" s="133"/>
      <c r="E5685" s="3"/>
      <c r="F5685">
        <v>575</v>
      </c>
    </row>
    <row r="5686" spans="1:6" x14ac:dyDescent="0.25">
      <c r="A5686">
        <v>8302</v>
      </c>
      <c r="B5686" s="15">
        <v>45264</v>
      </c>
      <c r="E5686" s="160" t="s">
        <v>267</v>
      </c>
      <c r="F5686">
        <v>3838</v>
      </c>
    </row>
    <row r="5687" spans="1:6" x14ac:dyDescent="0.25">
      <c r="A5687">
        <v>8302</v>
      </c>
      <c r="B5687" s="15">
        <v>45265</v>
      </c>
      <c r="E5687" s="197" t="s">
        <v>267</v>
      </c>
      <c r="F5687">
        <v>3839</v>
      </c>
    </row>
    <row r="5688" spans="1:6" x14ac:dyDescent="0.25">
      <c r="A5688">
        <v>8302</v>
      </c>
      <c r="B5688" s="15">
        <v>45266</v>
      </c>
      <c r="E5688" s="160" t="s">
        <v>264</v>
      </c>
      <c r="F5688">
        <v>3840</v>
      </c>
    </row>
    <row r="5689" spans="1:6" x14ac:dyDescent="0.25">
      <c r="A5689">
        <v>8302</v>
      </c>
      <c r="B5689" s="15">
        <v>45267</v>
      </c>
      <c r="E5689" s="158"/>
      <c r="F5689">
        <v>3841</v>
      </c>
    </row>
    <row r="5690" spans="1:6" x14ac:dyDescent="0.25">
      <c r="A5690">
        <v>8302</v>
      </c>
      <c r="B5690" s="15">
        <v>45268</v>
      </c>
      <c r="E5690" s="117" t="s">
        <v>2</v>
      </c>
      <c r="F5690">
        <v>3842</v>
      </c>
    </row>
    <row r="5691" spans="1:6" x14ac:dyDescent="0.25">
      <c r="A5691">
        <v>8302</v>
      </c>
      <c r="B5691" s="15">
        <v>45269</v>
      </c>
      <c r="E5691" s="121" t="s">
        <v>2</v>
      </c>
      <c r="F5691">
        <v>3843</v>
      </c>
    </row>
    <row r="5692" spans="1:6" x14ac:dyDescent="0.25">
      <c r="A5692">
        <v>8302</v>
      </c>
      <c r="B5692" s="15">
        <v>45270</v>
      </c>
      <c r="E5692" s="158"/>
      <c r="F5692">
        <v>3844</v>
      </c>
    </row>
    <row r="5693" spans="1:6" x14ac:dyDescent="0.25">
      <c r="A5693">
        <v>8302</v>
      </c>
      <c r="B5693" s="15">
        <v>45271</v>
      </c>
      <c r="E5693" s="117" t="s">
        <v>1</v>
      </c>
      <c r="F5693">
        <v>3845</v>
      </c>
    </row>
    <row r="5694" spans="1:6" x14ac:dyDescent="0.25">
      <c r="A5694">
        <v>8302</v>
      </c>
      <c r="B5694" s="15">
        <v>45272</v>
      </c>
      <c r="E5694" s="120" t="s">
        <v>1</v>
      </c>
      <c r="F5694">
        <v>3846</v>
      </c>
    </row>
    <row r="5695" spans="1:6" x14ac:dyDescent="0.25">
      <c r="A5695">
        <v>8302</v>
      </c>
      <c r="B5695" s="15">
        <v>45273</v>
      </c>
      <c r="E5695" s="117" t="s">
        <v>1</v>
      </c>
      <c r="F5695">
        <v>3847</v>
      </c>
    </row>
    <row r="5696" spans="1:6" x14ac:dyDescent="0.25">
      <c r="A5696">
        <v>8302</v>
      </c>
      <c r="B5696" s="15">
        <v>45274</v>
      </c>
      <c r="E5696" s="120" t="s">
        <v>1</v>
      </c>
      <c r="F5696">
        <v>3848</v>
      </c>
    </row>
    <row r="5697" spans="1:6" x14ac:dyDescent="0.25">
      <c r="A5697">
        <v>8302</v>
      </c>
      <c r="B5697" s="15">
        <v>45275</v>
      </c>
      <c r="E5697" s="120" t="s">
        <v>1</v>
      </c>
      <c r="F5697">
        <v>3849</v>
      </c>
    </row>
    <row r="5698" spans="1:6" x14ac:dyDescent="0.25">
      <c r="A5698">
        <v>8302</v>
      </c>
      <c r="B5698" s="15">
        <v>45276</v>
      </c>
      <c r="E5698" s="158"/>
      <c r="F5698">
        <v>3850</v>
      </c>
    </row>
    <row r="5699" spans="1:6" x14ac:dyDescent="0.25">
      <c r="A5699">
        <v>8302</v>
      </c>
      <c r="B5699" s="15">
        <v>45277</v>
      </c>
      <c r="E5699" s="158"/>
      <c r="F5699">
        <v>3851</v>
      </c>
    </row>
    <row r="5700" spans="1:6" x14ac:dyDescent="0.25">
      <c r="A5700">
        <v>8302</v>
      </c>
      <c r="B5700" s="15">
        <v>45278</v>
      </c>
      <c r="E5700" s="160" t="s">
        <v>267</v>
      </c>
      <c r="F5700">
        <v>3852</v>
      </c>
    </row>
    <row r="5701" spans="1:6" x14ac:dyDescent="0.25">
      <c r="A5701">
        <v>8302</v>
      </c>
      <c r="B5701" s="15">
        <v>45279</v>
      </c>
      <c r="E5701" s="197" t="s">
        <v>267</v>
      </c>
      <c r="F5701">
        <v>3853</v>
      </c>
    </row>
    <row r="5702" spans="1:6" x14ac:dyDescent="0.25">
      <c r="A5702">
        <v>8302</v>
      </c>
      <c r="B5702" s="15">
        <v>45280</v>
      </c>
      <c r="E5702" s="160" t="s">
        <v>264</v>
      </c>
      <c r="F5702">
        <v>3854</v>
      </c>
    </row>
    <row r="5703" spans="1:6" x14ac:dyDescent="0.25">
      <c r="A5703">
        <v>8302</v>
      </c>
      <c r="B5703" s="15">
        <v>45281</v>
      </c>
      <c r="E5703" s="158"/>
      <c r="F5703">
        <v>3855</v>
      </c>
    </row>
    <row r="5704" spans="1:6" x14ac:dyDescent="0.25">
      <c r="A5704">
        <v>8302</v>
      </c>
      <c r="B5704" s="15">
        <v>45282</v>
      </c>
      <c r="E5704" s="197" t="s">
        <v>175</v>
      </c>
      <c r="F5704">
        <v>3856</v>
      </c>
    </row>
    <row r="5705" spans="1:6" x14ac:dyDescent="0.25">
      <c r="A5705">
        <v>8302</v>
      </c>
      <c r="B5705" s="15">
        <v>45283</v>
      </c>
      <c r="E5705" s="121" t="s">
        <v>378</v>
      </c>
      <c r="F5705">
        <v>3857</v>
      </c>
    </row>
    <row r="5706" spans="1:6" x14ac:dyDescent="0.25">
      <c r="A5706">
        <v>8302</v>
      </c>
      <c r="B5706" s="15">
        <v>45284</v>
      </c>
      <c r="E5706" s="158"/>
      <c r="F5706">
        <v>3858</v>
      </c>
    </row>
    <row r="5707" spans="1:6" x14ac:dyDescent="0.25">
      <c r="A5707">
        <v>8302</v>
      </c>
      <c r="B5707" s="15">
        <v>45285</v>
      </c>
      <c r="E5707" s="155"/>
      <c r="F5707">
        <v>3859</v>
      </c>
    </row>
    <row r="5708" spans="1:6" x14ac:dyDescent="0.25">
      <c r="A5708">
        <v>8302</v>
      </c>
      <c r="B5708" s="15">
        <v>45286</v>
      </c>
      <c r="E5708" s="197" t="s">
        <v>267</v>
      </c>
      <c r="F5708">
        <v>3860</v>
      </c>
    </row>
    <row r="5709" spans="1:6" x14ac:dyDescent="0.25">
      <c r="A5709">
        <v>8302</v>
      </c>
      <c r="B5709" s="15">
        <v>45287</v>
      </c>
      <c r="E5709" s="160" t="s">
        <v>264</v>
      </c>
      <c r="F5709">
        <v>3861</v>
      </c>
    </row>
    <row r="5710" spans="1:6" x14ac:dyDescent="0.25">
      <c r="A5710">
        <v>8302</v>
      </c>
      <c r="B5710" s="15">
        <v>45288</v>
      </c>
      <c r="E5710" s="160" t="s">
        <v>267</v>
      </c>
      <c r="F5710">
        <v>3862</v>
      </c>
    </row>
    <row r="5711" spans="1:6" x14ac:dyDescent="0.25">
      <c r="A5711">
        <v>8302</v>
      </c>
      <c r="B5711" s="15">
        <v>45289</v>
      </c>
      <c r="E5711" s="197" t="s">
        <v>175</v>
      </c>
      <c r="F5711">
        <v>3863</v>
      </c>
    </row>
    <row r="5712" spans="1:6" x14ac:dyDescent="0.25">
      <c r="A5712">
        <v>8302</v>
      </c>
      <c r="B5712" s="15">
        <v>45290</v>
      </c>
      <c r="E5712" s="160" t="s">
        <v>175</v>
      </c>
      <c r="F5712">
        <v>3864</v>
      </c>
    </row>
    <row r="5713" spans="1:6" x14ac:dyDescent="0.25">
      <c r="A5713">
        <v>8302</v>
      </c>
      <c r="B5713" s="15">
        <v>45291</v>
      </c>
      <c r="E5713" s="158"/>
      <c r="F5713">
        <v>3865</v>
      </c>
    </row>
    <row r="5714" spans="1:6" x14ac:dyDescent="0.25">
      <c r="A5714">
        <v>8302</v>
      </c>
      <c r="B5714" s="15">
        <v>45292</v>
      </c>
      <c r="E5714" s="119"/>
      <c r="F5714">
        <v>4629</v>
      </c>
    </row>
    <row r="5715" spans="1:6" x14ac:dyDescent="0.25">
      <c r="A5715">
        <v>8302</v>
      </c>
      <c r="B5715" s="15">
        <v>45293</v>
      </c>
      <c r="E5715" s="198" t="s">
        <v>286</v>
      </c>
      <c r="F5715">
        <v>4630</v>
      </c>
    </row>
    <row r="5716" spans="1:6" x14ac:dyDescent="0.25">
      <c r="A5716">
        <v>8302</v>
      </c>
      <c r="B5716" s="15">
        <v>45294</v>
      </c>
      <c r="E5716" s="160" t="s">
        <v>264</v>
      </c>
      <c r="F5716">
        <v>4631</v>
      </c>
    </row>
    <row r="5717" spans="1:6" x14ac:dyDescent="0.25">
      <c r="A5717">
        <v>8302</v>
      </c>
      <c r="B5717" s="15">
        <v>45295</v>
      </c>
      <c r="E5717" s="158"/>
      <c r="F5717">
        <v>4632</v>
      </c>
    </row>
    <row r="5718" spans="1:6" x14ac:dyDescent="0.25">
      <c r="A5718">
        <v>8302</v>
      </c>
      <c r="B5718" s="15">
        <v>45296</v>
      </c>
      <c r="E5718" s="160" t="s">
        <v>264</v>
      </c>
      <c r="F5718">
        <v>4633</v>
      </c>
    </row>
    <row r="5719" spans="1:6" x14ac:dyDescent="0.25">
      <c r="A5719">
        <v>8302</v>
      </c>
      <c r="B5719" s="15">
        <v>45297</v>
      </c>
      <c r="E5719" s="160" t="s">
        <v>175</v>
      </c>
      <c r="F5719">
        <v>4634</v>
      </c>
    </row>
    <row r="5720" spans="1:6" x14ac:dyDescent="0.25">
      <c r="A5720">
        <v>8302</v>
      </c>
      <c r="B5720" s="15">
        <v>45298</v>
      </c>
      <c r="E5720" s="158"/>
      <c r="F5720">
        <v>4635</v>
      </c>
    </row>
    <row r="5721" spans="1:6" x14ac:dyDescent="0.25">
      <c r="A5721">
        <v>8302</v>
      </c>
      <c r="B5721" s="15">
        <v>45299</v>
      </c>
      <c r="E5721" s="160" t="s">
        <v>265</v>
      </c>
      <c r="F5721">
        <v>4636</v>
      </c>
    </row>
    <row r="5722" spans="1:6" x14ac:dyDescent="0.25">
      <c r="A5722">
        <v>8302</v>
      </c>
      <c r="B5722" s="15">
        <v>45300</v>
      </c>
      <c r="E5722" s="197" t="s">
        <v>267</v>
      </c>
      <c r="F5722">
        <v>4637</v>
      </c>
    </row>
    <row r="5723" spans="1:6" x14ac:dyDescent="0.25">
      <c r="A5723">
        <v>8302</v>
      </c>
      <c r="B5723" s="15">
        <v>45301</v>
      </c>
      <c r="E5723" s="160" t="s">
        <v>264</v>
      </c>
      <c r="F5723">
        <v>4638</v>
      </c>
    </row>
    <row r="5724" spans="1:6" x14ac:dyDescent="0.25">
      <c r="A5724">
        <v>8302</v>
      </c>
      <c r="B5724" s="15">
        <v>45302</v>
      </c>
      <c r="E5724" s="160" t="s">
        <v>267</v>
      </c>
      <c r="F5724">
        <v>4639</v>
      </c>
    </row>
    <row r="5725" spans="1:6" x14ac:dyDescent="0.25">
      <c r="A5725">
        <v>8302</v>
      </c>
      <c r="B5725" s="15">
        <v>45303</v>
      </c>
      <c r="E5725" s="197" t="s">
        <v>267</v>
      </c>
      <c r="F5725">
        <v>4640</v>
      </c>
    </row>
    <row r="5726" spans="1:6" x14ac:dyDescent="0.25">
      <c r="A5726">
        <v>8302</v>
      </c>
      <c r="B5726" s="15">
        <v>45304</v>
      </c>
      <c r="E5726" s="158"/>
      <c r="F5726">
        <v>4641</v>
      </c>
    </row>
    <row r="5727" spans="1:6" x14ac:dyDescent="0.25">
      <c r="A5727">
        <v>8302</v>
      </c>
      <c r="B5727" s="15">
        <v>45305</v>
      </c>
      <c r="E5727" s="158"/>
      <c r="F5727">
        <v>4642</v>
      </c>
    </row>
    <row r="5728" spans="1:6" x14ac:dyDescent="0.25">
      <c r="A5728">
        <v>8302</v>
      </c>
      <c r="B5728" s="15">
        <v>45306</v>
      </c>
      <c r="E5728" s="160" t="s">
        <v>267</v>
      </c>
      <c r="F5728">
        <v>4643</v>
      </c>
    </row>
    <row r="5729" spans="1:6" x14ac:dyDescent="0.25">
      <c r="A5729">
        <v>8302</v>
      </c>
      <c r="B5729" s="15">
        <v>45307</v>
      </c>
      <c r="E5729" s="160" t="s">
        <v>267</v>
      </c>
      <c r="F5729">
        <v>4644</v>
      </c>
    </row>
    <row r="5730" spans="1:6" x14ac:dyDescent="0.25">
      <c r="A5730">
        <v>8302</v>
      </c>
      <c r="B5730" s="15">
        <v>45308</v>
      </c>
      <c r="E5730" s="117" t="s">
        <v>2</v>
      </c>
      <c r="F5730">
        <v>4645</v>
      </c>
    </row>
    <row r="5731" spans="1:6" x14ac:dyDescent="0.25">
      <c r="A5731">
        <v>8302</v>
      </c>
      <c r="B5731" s="15">
        <v>45309</v>
      </c>
      <c r="E5731" s="158"/>
      <c r="F5731">
        <v>4646</v>
      </c>
    </row>
    <row r="5732" spans="1:6" x14ac:dyDescent="0.25">
      <c r="A5732">
        <v>8302</v>
      </c>
      <c r="B5732" s="15">
        <v>45310</v>
      </c>
      <c r="E5732" s="117" t="s">
        <v>2</v>
      </c>
      <c r="F5732">
        <v>4647</v>
      </c>
    </row>
    <row r="5733" spans="1:6" x14ac:dyDescent="0.25">
      <c r="A5733">
        <v>8302</v>
      </c>
      <c r="B5733" s="15">
        <v>45311</v>
      </c>
      <c r="E5733" s="121" t="s">
        <v>2</v>
      </c>
      <c r="F5733">
        <v>4648</v>
      </c>
    </row>
    <row r="5734" spans="1:6" x14ac:dyDescent="0.25">
      <c r="A5734">
        <v>8302</v>
      </c>
      <c r="B5734" s="15">
        <v>45312</v>
      </c>
      <c r="E5734" s="158"/>
      <c r="F5734">
        <v>4649</v>
      </c>
    </row>
    <row r="5735" spans="1:6" x14ac:dyDescent="0.25">
      <c r="A5735">
        <v>8302</v>
      </c>
      <c r="B5735" s="15">
        <v>45313</v>
      </c>
      <c r="E5735" s="117" t="s">
        <v>2</v>
      </c>
      <c r="F5735">
        <v>4650</v>
      </c>
    </row>
    <row r="5736" spans="1:6" x14ac:dyDescent="0.25">
      <c r="A5736">
        <v>8302</v>
      </c>
      <c r="B5736" s="15">
        <v>45314</v>
      </c>
      <c r="E5736" s="120" t="s">
        <v>2</v>
      </c>
      <c r="F5736">
        <v>4651</v>
      </c>
    </row>
    <row r="5737" spans="1:6" x14ac:dyDescent="0.25">
      <c r="A5737">
        <v>8302</v>
      </c>
      <c r="B5737" s="15">
        <v>45315</v>
      </c>
      <c r="E5737" s="117" t="s">
        <v>2</v>
      </c>
      <c r="F5737">
        <v>4652</v>
      </c>
    </row>
    <row r="5738" spans="1:6" x14ac:dyDescent="0.25">
      <c r="A5738">
        <v>8302</v>
      </c>
      <c r="B5738" s="15">
        <v>45316</v>
      </c>
      <c r="E5738" s="120" t="s">
        <v>2</v>
      </c>
      <c r="F5738">
        <v>4653</v>
      </c>
    </row>
    <row r="5739" spans="1:6" x14ac:dyDescent="0.25">
      <c r="A5739">
        <v>8302</v>
      </c>
      <c r="B5739" s="15">
        <v>45317</v>
      </c>
      <c r="E5739" s="120" t="s">
        <v>2</v>
      </c>
      <c r="F5739">
        <v>4654</v>
      </c>
    </row>
    <row r="5740" spans="1:6" x14ac:dyDescent="0.25">
      <c r="A5740">
        <v>8302</v>
      </c>
      <c r="B5740" s="15">
        <v>45318</v>
      </c>
      <c r="E5740" s="158"/>
      <c r="F5740">
        <v>4655</v>
      </c>
    </row>
    <row r="5741" spans="1:6" x14ac:dyDescent="0.25">
      <c r="A5741">
        <v>8302</v>
      </c>
      <c r="B5741" s="15">
        <v>45319</v>
      </c>
      <c r="E5741" s="158"/>
      <c r="F5741">
        <v>4656</v>
      </c>
    </row>
    <row r="5742" spans="1:6" x14ac:dyDescent="0.25">
      <c r="A5742">
        <v>8302</v>
      </c>
      <c r="B5742" s="15">
        <v>45320</v>
      </c>
      <c r="E5742" s="160" t="s">
        <v>267</v>
      </c>
      <c r="F5742">
        <v>4657</v>
      </c>
    </row>
    <row r="5743" spans="1:6" x14ac:dyDescent="0.25">
      <c r="A5743">
        <v>8302</v>
      </c>
      <c r="B5743" s="15">
        <v>45321</v>
      </c>
      <c r="E5743" s="197" t="s">
        <v>267</v>
      </c>
      <c r="F5743">
        <v>4658</v>
      </c>
    </row>
    <row r="5744" spans="1:6" x14ac:dyDescent="0.25">
      <c r="A5744">
        <v>8302</v>
      </c>
      <c r="B5744" s="15">
        <v>45322</v>
      </c>
      <c r="E5744" s="160" t="s">
        <v>264</v>
      </c>
      <c r="F5744">
        <v>4659</v>
      </c>
    </row>
    <row r="5745" spans="1:6" x14ac:dyDescent="0.25">
      <c r="A5745">
        <v>8302</v>
      </c>
      <c r="B5745" s="15">
        <v>45323</v>
      </c>
      <c r="E5745" s="158"/>
      <c r="F5745">
        <v>4660</v>
      </c>
    </row>
    <row r="5746" spans="1:6" x14ac:dyDescent="0.25">
      <c r="A5746">
        <v>8302</v>
      </c>
      <c r="B5746" s="15">
        <v>45324</v>
      </c>
      <c r="E5746" s="160" t="s">
        <v>264</v>
      </c>
      <c r="F5746">
        <v>4661</v>
      </c>
    </row>
    <row r="5747" spans="1:6" x14ac:dyDescent="0.25">
      <c r="A5747">
        <v>8302</v>
      </c>
      <c r="B5747" s="15">
        <v>45325</v>
      </c>
      <c r="E5747" s="160" t="s">
        <v>175</v>
      </c>
      <c r="F5747">
        <v>4662</v>
      </c>
    </row>
    <row r="5748" spans="1:6" x14ac:dyDescent="0.25">
      <c r="A5748">
        <v>8302</v>
      </c>
      <c r="B5748" s="15">
        <v>45326</v>
      </c>
      <c r="E5748" s="158"/>
      <c r="F5748">
        <v>4663</v>
      </c>
    </row>
    <row r="5749" spans="1:6" x14ac:dyDescent="0.25">
      <c r="A5749">
        <v>8302</v>
      </c>
      <c r="B5749" s="15">
        <v>45327</v>
      </c>
      <c r="E5749" s="160" t="s">
        <v>265</v>
      </c>
      <c r="F5749">
        <v>5413</v>
      </c>
    </row>
    <row r="5750" spans="1:6" x14ac:dyDescent="0.25">
      <c r="A5750">
        <v>8302</v>
      </c>
      <c r="B5750" s="15">
        <v>45328</v>
      </c>
      <c r="E5750" s="197" t="s">
        <v>267</v>
      </c>
      <c r="F5750">
        <v>5414</v>
      </c>
    </row>
    <row r="5751" spans="1:6" x14ac:dyDescent="0.25">
      <c r="A5751">
        <v>8302</v>
      </c>
      <c r="B5751" s="15">
        <v>45329</v>
      </c>
      <c r="E5751" s="160" t="s">
        <v>264</v>
      </c>
      <c r="F5751">
        <v>5415</v>
      </c>
    </row>
    <row r="5752" spans="1:6" x14ac:dyDescent="0.25">
      <c r="A5752">
        <v>8302</v>
      </c>
      <c r="B5752" s="15">
        <v>45330</v>
      </c>
      <c r="E5752" s="160" t="s">
        <v>267</v>
      </c>
      <c r="F5752">
        <v>5416</v>
      </c>
    </row>
    <row r="5753" spans="1:6" x14ac:dyDescent="0.25">
      <c r="A5753">
        <v>8302</v>
      </c>
      <c r="B5753" s="15">
        <v>45331</v>
      </c>
      <c r="E5753" s="197" t="s">
        <v>267</v>
      </c>
      <c r="F5753">
        <v>5417</v>
      </c>
    </row>
    <row r="5754" spans="1:6" x14ac:dyDescent="0.25">
      <c r="A5754">
        <v>8302</v>
      </c>
      <c r="B5754" s="15">
        <v>45332</v>
      </c>
      <c r="E5754" s="158"/>
      <c r="F5754">
        <v>5418</v>
      </c>
    </row>
    <row r="5755" spans="1:6" x14ac:dyDescent="0.25">
      <c r="A5755">
        <v>8302</v>
      </c>
      <c r="B5755" s="15">
        <v>45333</v>
      </c>
      <c r="E5755" s="158"/>
      <c r="F5755">
        <v>5419</v>
      </c>
    </row>
    <row r="5756" spans="1:6" x14ac:dyDescent="0.25">
      <c r="A5756">
        <v>8302</v>
      </c>
      <c r="B5756" s="15">
        <v>45334</v>
      </c>
      <c r="E5756" s="160" t="s">
        <v>267</v>
      </c>
      <c r="F5756">
        <v>5420</v>
      </c>
    </row>
    <row r="5757" spans="1:6" x14ac:dyDescent="0.25">
      <c r="A5757">
        <v>8302</v>
      </c>
      <c r="B5757" s="15">
        <v>45335</v>
      </c>
      <c r="E5757" s="197" t="s">
        <v>267</v>
      </c>
      <c r="F5757">
        <v>5421</v>
      </c>
    </row>
    <row r="5758" spans="1:6" x14ac:dyDescent="0.25">
      <c r="A5758">
        <v>8302</v>
      </c>
      <c r="B5758" s="15">
        <v>45336</v>
      </c>
      <c r="E5758" s="160" t="s">
        <v>264</v>
      </c>
      <c r="F5758">
        <v>5422</v>
      </c>
    </row>
    <row r="5759" spans="1:6" x14ac:dyDescent="0.25">
      <c r="A5759">
        <v>8302</v>
      </c>
      <c r="B5759" s="15">
        <v>45337</v>
      </c>
      <c r="E5759" s="158"/>
      <c r="F5759">
        <v>5423</v>
      </c>
    </row>
    <row r="5760" spans="1:6" x14ac:dyDescent="0.25">
      <c r="A5760">
        <v>8302</v>
      </c>
      <c r="B5760" s="15">
        <v>45338</v>
      </c>
      <c r="E5760" s="117" t="s">
        <v>2</v>
      </c>
      <c r="F5760">
        <v>5424</v>
      </c>
    </row>
    <row r="5761" spans="1:6" x14ac:dyDescent="0.25">
      <c r="A5761">
        <v>8302</v>
      </c>
      <c r="B5761" s="15">
        <v>45339</v>
      </c>
      <c r="E5761" s="121" t="s">
        <v>2</v>
      </c>
      <c r="F5761">
        <v>5425</v>
      </c>
    </row>
    <row r="5762" spans="1:6" x14ac:dyDescent="0.25">
      <c r="A5762">
        <v>8302</v>
      </c>
      <c r="B5762" s="15">
        <v>45340</v>
      </c>
      <c r="E5762" s="158"/>
      <c r="F5762">
        <v>5426</v>
      </c>
    </row>
    <row r="5763" spans="1:6" x14ac:dyDescent="0.25">
      <c r="A5763">
        <v>8302</v>
      </c>
      <c r="B5763" s="15">
        <v>45341</v>
      </c>
      <c r="E5763" s="117" t="s">
        <v>2</v>
      </c>
      <c r="F5763">
        <v>5427</v>
      </c>
    </row>
    <row r="5764" spans="1:6" x14ac:dyDescent="0.25">
      <c r="A5764">
        <v>8302</v>
      </c>
      <c r="B5764" s="15">
        <v>45342</v>
      </c>
      <c r="E5764" s="197" t="s">
        <v>267</v>
      </c>
      <c r="F5764">
        <v>5428</v>
      </c>
    </row>
    <row r="5765" spans="1:6" x14ac:dyDescent="0.25">
      <c r="A5765">
        <v>8302</v>
      </c>
      <c r="B5765" s="15">
        <v>45343</v>
      </c>
      <c r="E5765" s="160" t="s">
        <v>264</v>
      </c>
      <c r="F5765">
        <v>5429</v>
      </c>
    </row>
    <row r="5766" spans="1:6" x14ac:dyDescent="0.25">
      <c r="A5766">
        <v>8302</v>
      </c>
      <c r="B5766" s="15">
        <v>45344</v>
      </c>
      <c r="E5766" s="160" t="s">
        <v>267</v>
      </c>
      <c r="F5766">
        <v>5430</v>
      </c>
    </row>
    <row r="5767" spans="1:6" x14ac:dyDescent="0.25">
      <c r="A5767">
        <v>8302</v>
      </c>
      <c r="B5767" s="15">
        <v>45345</v>
      </c>
      <c r="E5767" s="197" t="s">
        <v>267</v>
      </c>
      <c r="F5767">
        <v>5431</v>
      </c>
    </row>
    <row r="5768" spans="1:6" x14ac:dyDescent="0.25">
      <c r="A5768">
        <v>8302</v>
      </c>
      <c r="B5768" s="15">
        <v>45346</v>
      </c>
      <c r="E5768" s="158"/>
      <c r="F5768">
        <v>5432</v>
      </c>
    </row>
    <row r="5769" spans="1:6" x14ac:dyDescent="0.25">
      <c r="A5769">
        <v>8302</v>
      </c>
      <c r="B5769" s="15">
        <v>45347</v>
      </c>
      <c r="E5769" s="158"/>
      <c r="F5769">
        <v>5433</v>
      </c>
    </row>
    <row r="5770" spans="1:6" x14ac:dyDescent="0.25">
      <c r="A5770">
        <v>8302</v>
      </c>
      <c r="B5770" s="15">
        <v>45348</v>
      </c>
      <c r="E5770" s="160" t="s">
        <v>267</v>
      </c>
      <c r="F5770">
        <v>5434</v>
      </c>
    </row>
    <row r="5771" spans="1:6" x14ac:dyDescent="0.25">
      <c r="A5771">
        <v>8302</v>
      </c>
      <c r="B5771" s="15">
        <v>45349</v>
      </c>
      <c r="E5771" s="197" t="s">
        <v>267</v>
      </c>
      <c r="F5771">
        <v>5435</v>
      </c>
    </row>
    <row r="5772" spans="1:6" x14ac:dyDescent="0.25">
      <c r="A5772">
        <v>8302</v>
      </c>
      <c r="B5772" s="15">
        <v>45350</v>
      </c>
      <c r="E5772" s="160" t="s">
        <v>264</v>
      </c>
      <c r="F5772">
        <v>5436</v>
      </c>
    </row>
    <row r="5773" spans="1:6" x14ac:dyDescent="0.25">
      <c r="A5773">
        <v>8302</v>
      </c>
      <c r="B5773" s="15">
        <v>45351</v>
      </c>
      <c r="E5773" s="158"/>
      <c r="F5773">
        <v>5437</v>
      </c>
    </row>
    <row r="5774" spans="1:6" x14ac:dyDescent="0.25">
      <c r="A5774">
        <v>8302</v>
      </c>
      <c r="B5774" s="15">
        <v>45352</v>
      </c>
      <c r="E5774" s="160" t="s">
        <v>264</v>
      </c>
      <c r="F5774">
        <v>5438</v>
      </c>
    </row>
    <row r="5775" spans="1:6" x14ac:dyDescent="0.25">
      <c r="A5775">
        <v>8302</v>
      </c>
      <c r="B5775" s="15">
        <v>45353</v>
      </c>
      <c r="E5775" s="160" t="s">
        <v>175</v>
      </c>
      <c r="F5775">
        <v>5439</v>
      </c>
    </row>
    <row r="5776" spans="1:6" x14ac:dyDescent="0.25">
      <c r="A5776">
        <v>8302</v>
      </c>
      <c r="B5776" s="15">
        <v>45354</v>
      </c>
      <c r="E5776" s="158"/>
      <c r="F5776">
        <v>5440</v>
      </c>
    </row>
    <row r="5777" spans="1:6" x14ac:dyDescent="0.25">
      <c r="A5777">
        <v>8302</v>
      </c>
      <c r="B5777" s="15">
        <v>45355</v>
      </c>
      <c r="E5777" s="160" t="s">
        <v>265</v>
      </c>
      <c r="F5777">
        <v>6113</v>
      </c>
    </row>
    <row r="5778" spans="1:6" x14ac:dyDescent="0.25">
      <c r="A5778">
        <v>8302</v>
      </c>
      <c r="B5778" s="15">
        <v>45356</v>
      </c>
      <c r="E5778" s="197" t="s">
        <v>267</v>
      </c>
      <c r="F5778">
        <v>6114</v>
      </c>
    </row>
    <row r="5779" spans="1:6" x14ac:dyDescent="0.25">
      <c r="A5779">
        <v>8302</v>
      </c>
      <c r="B5779" s="15">
        <v>45357</v>
      </c>
      <c r="E5779" s="160" t="s">
        <v>264</v>
      </c>
      <c r="F5779">
        <v>6115</v>
      </c>
    </row>
    <row r="5780" spans="1:6" x14ac:dyDescent="0.25">
      <c r="A5780">
        <v>8302</v>
      </c>
      <c r="B5780" s="15">
        <v>45358</v>
      </c>
      <c r="E5780" s="160" t="s">
        <v>267</v>
      </c>
      <c r="F5780">
        <v>6116</v>
      </c>
    </row>
    <row r="5781" spans="1:6" x14ac:dyDescent="0.25">
      <c r="A5781">
        <v>8302</v>
      </c>
      <c r="B5781" s="15">
        <v>45359</v>
      </c>
      <c r="E5781" s="197" t="s">
        <v>267</v>
      </c>
      <c r="F5781">
        <v>6117</v>
      </c>
    </row>
    <row r="5782" spans="1:6" x14ac:dyDescent="0.25">
      <c r="A5782">
        <v>8302</v>
      </c>
      <c r="B5782" s="15">
        <v>45360</v>
      </c>
      <c r="E5782" s="158"/>
      <c r="F5782">
        <v>6118</v>
      </c>
    </row>
    <row r="5783" spans="1:6" x14ac:dyDescent="0.25">
      <c r="A5783">
        <v>8302</v>
      </c>
      <c r="B5783" s="15">
        <v>45361</v>
      </c>
      <c r="E5783" s="158"/>
      <c r="F5783">
        <v>6119</v>
      </c>
    </row>
    <row r="5784" spans="1:6" x14ac:dyDescent="0.25">
      <c r="A5784">
        <v>8302</v>
      </c>
      <c r="B5784" s="15">
        <v>45362</v>
      </c>
      <c r="E5784" s="160" t="s">
        <v>267</v>
      </c>
      <c r="F5784">
        <v>6120</v>
      </c>
    </row>
    <row r="5785" spans="1:6" x14ac:dyDescent="0.25">
      <c r="A5785">
        <v>8302</v>
      </c>
      <c r="B5785" s="15">
        <v>45363</v>
      </c>
      <c r="E5785" s="197" t="s">
        <v>267</v>
      </c>
      <c r="F5785">
        <v>6121</v>
      </c>
    </row>
    <row r="5786" spans="1:6" x14ac:dyDescent="0.25">
      <c r="A5786">
        <v>8302</v>
      </c>
      <c r="B5786" s="15">
        <v>45364</v>
      </c>
      <c r="E5786" s="160" t="s">
        <v>264</v>
      </c>
      <c r="F5786">
        <v>6122</v>
      </c>
    </row>
    <row r="5787" spans="1:6" x14ac:dyDescent="0.25">
      <c r="A5787">
        <v>8302</v>
      </c>
      <c r="B5787" s="15">
        <v>45365</v>
      </c>
      <c r="E5787" s="158"/>
      <c r="F5787">
        <v>6123</v>
      </c>
    </row>
    <row r="5788" spans="1:6" x14ac:dyDescent="0.25">
      <c r="A5788">
        <v>8302</v>
      </c>
      <c r="B5788" s="15">
        <v>45366</v>
      </c>
      <c r="E5788" s="160" t="s">
        <v>264</v>
      </c>
      <c r="F5788">
        <v>6124</v>
      </c>
    </row>
    <row r="5789" spans="1:6" x14ac:dyDescent="0.25">
      <c r="A5789">
        <v>8302</v>
      </c>
      <c r="B5789" s="15">
        <v>45367</v>
      </c>
      <c r="E5789" s="160" t="s">
        <v>175</v>
      </c>
      <c r="F5789">
        <v>6125</v>
      </c>
    </row>
    <row r="5790" spans="1:6" x14ac:dyDescent="0.25">
      <c r="A5790">
        <v>8302</v>
      </c>
      <c r="B5790" s="15">
        <v>45368</v>
      </c>
      <c r="E5790" s="158"/>
      <c r="F5790">
        <v>6126</v>
      </c>
    </row>
    <row r="5791" spans="1:6" x14ac:dyDescent="0.25">
      <c r="A5791">
        <v>8302</v>
      </c>
      <c r="B5791" s="15">
        <v>45369</v>
      </c>
      <c r="E5791" s="160" t="s">
        <v>265</v>
      </c>
      <c r="F5791">
        <v>6127</v>
      </c>
    </row>
    <row r="5792" spans="1:6" x14ac:dyDescent="0.25">
      <c r="A5792">
        <v>8302</v>
      </c>
      <c r="B5792" s="15">
        <v>45370</v>
      </c>
      <c r="E5792" s="197" t="s">
        <v>267</v>
      </c>
      <c r="F5792">
        <v>6128</v>
      </c>
    </row>
    <row r="5793" spans="1:6" x14ac:dyDescent="0.25">
      <c r="A5793">
        <v>8302</v>
      </c>
      <c r="B5793" s="15">
        <v>45371</v>
      </c>
      <c r="E5793" s="160" t="s">
        <v>264</v>
      </c>
      <c r="F5793">
        <v>6129</v>
      </c>
    </row>
    <row r="5794" spans="1:6" x14ac:dyDescent="0.25">
      <c r="A5794">
        <v>8302</v>
      </c>
      <c r="B5794" s="15">
        <v>45372</v>
      </c>
      <c r="E5794" s="160" t="s">
        <v>267</v>
      </c>
      <c r="F5794">
        <v>6130</v>
      </c>
    </row>
    <row r="5795" spans="1:6" x14ac:dyDescent="0.25">
      <c r="A5795">
        <v>8302</v>
      </c>
      <c r="B5795" s="15">
        <v>45373</v>
      </c>
      <c r="E5795" s="197" t="s">
        <v>267</v>
      </c>
      <c r="F5795">
        <v>6131</v>
      </c>
    </row>
    <row r="5796" spans="1:6" x14ac:dyDescent="0.25">
      <c r="A5796">
        <v>8302</v>
      </c>
      <c r="B5796" s="15">
        <v>45374</v>
      </c>
      <c r="E5796" s="158"/>
      <c r="F5796">
        <v>6132</v>
      </c>
    </row>
    <row r="5797" spans="1:6" x14ac:dyDescent="0.25">
      <c r="A5797">
        <v>8302</v>
      </c>
      <c r="B5797" s="15">
        <v>45375</v>
      </c>
      <c r="E5797" s="158"/>
      <c r="F5797">
        <v>6133</v>
      </c>
    </row>
    <row r="5798" spans="1:6" x14ac:dyDescent="0.25">
      <c r="A5798">
        <v>8302</v>
      </c>
      <c r="B5798" s="15">
        <v>45376</v>
      </c>
      <c r="E5798" s="120" t="s">
        <v>2</v>
      </c>
      <c r="F5798">
        <v>6134</v>
      </c>
    </row>
    <row r="5799" spans="1:6" x14ac:dyDescent="0.25">
      <c r="A5799">
        <v>8302</v>
      </c>
      <c r="B5799" s="15">
        <v>45377</v>
      </c>
      <c r="E5799" s="120" t="s">
        <v>2</v>
      </c>
      <c r="F5799">
        <v>6135</v>
      </c>
    </row>
    <row r="5800" spans="1:6" x14ac:dyDescent="0.25">
      <c r="A5800">
        <v>8302</v>
      </c>
      <c r="B5800" s="15">
        <v>45378</v>
      </c>
      <c r="E5800" s="117" t="s">
        <v>2</v>
      </c>
      <c r="F5800">
        <v>6136</v>
      </c>
    </row>
    <row r="5801" spans="1:6" x14ac:dyDescent="0.25">
      <c r="A5801">
        <v>8302</v>
      </c>
      <c r="B5801" s="15">
        <v>45379</v>
      </c>
      <c r="E5801" s="158"/>
      <c r="F5801">
        <v>6137</v>
      </c>
    </row>
    <row r="5802" spans="1:6" x14ac:dyDescent="0.25">
      <c r="A5802">
        <v>8302</v>
      </c>
      <c r="B5802" s="15">
        <v>45380</v>
      </c>
      <c r="E5802" s="117" t="s">
        <v>2</v>
      </c>
      <c r="F5802">
        <v>6138</v>
      </c>
    </row>
    <row r="5803" spans="1:6" x14ac:dyDescent="0.25">
      <c r="A5803">
        <v>8302</v>
      </c>
      <c r="B5803" s="15">
        <v>45381</v>
      </c>
      <c r="E5803" s="121" t="s">
        <v>2</v>
      </c>
      <c r="F5803">
        <v>6139</v>
      </c>
    </row>
    <row r="5804" spans="1:6" x14ac:dyDescent="0.25">
      <c r="A5804">
        <v>8302</v>
      </c>
      <c r="B5804" s="15">
        <v>45382</v>
      </c>
      <c r="E5804" s="158"/>
      <c r="F5804">
        <v>6140</v>
      </c>
    </row>
    <row r="5805" spans="1:6" x14ac:dyDescent="0.25">
      <c r="A5805">
        <v>8302</v>
      </c>
      <c r="B5805" s="15">
        <v>45383</v>
      </c>
      <c r="E5805" s="119"/>
      <c r="F5805">
        <v>6904</v>
      </c>
    </row>
    <row r="5806" spans="1:6" x14ac:dyDescent="0.25">
      <c r="A5806">
        <v>8302</v>
      </c>
      <c r="B5806" s="15">
        <v>45384</v>
      </c>
      <c r="E5806" s="197" t="s">
        <v>267</v>
      </c>
      <c r="F5806">
        <v>6905</v>
      </c>
    </row>
    <row r="5807" spans="1:6" x14ac:dyDescent="0.25">
      <c r="A5807">
        <v>8302</v>
      </c>
      <c r="B5807" s="15">
        <v>45385</v>
      </c>
      <c r="E5807" s="160" t="s">
        <v>264</v>
      </c>
      <c r="F5807">
        <v>6906</v>
      </c>
    </row>
    <row r="5808" spans="1:6" x14ac:dyDescent="0.25">
      <c r="A5808">
        <v>8302</v>
      </c>
      <c r="B5808" s="15">
        <v>45386</v>
      </c>
      <c r="E5808" s="160" t="s">
        <v>267</v>
      </c>
      <c r="F5808">
        <v>6907</v>
      </c>
    </row>
    <row r="5809" spans="1:6" x14ac:dyDescent="0.25">
      <c r="A5809">
        <v>8302</v>
      </c>
      <c r="B5809" s="15">
        <v>45387</v>
      </c>
      <c r="E5809" s="197" t="s">
        <v>267</v>
      </c>
      <c r="F5809">
        <v>6908</v>
      </c>
    </row>
    <row r="5810" spans="1:6" x14ac:dyDescent="0.25">
      <c r="A5810">
        <v>8302</v>
      </c>
      <c r="B5810" s="15">
        <v>45388</v>
      </c>
      <c r="E5810" s="158"/>
      <c r="F5810">
        <v>6909</v>
      </c>
    </row>
    <row r="5811" spans="1:6" x14ac:dyDescent="0.25">
      <c r="A5811">
        <v>8302</v>
      </c>
      <c r="B5811" s="15">
        <v>45389</v>
      </c>
      <c r="E5811" s="158"/>
      <c r="F5811">
        <v>6910</v>
      </c>
    </row>
    <row r="5812" spans="1:6" x14ac:dyDescent="0.25">
      <c r="A5812">
        <v>8302</v>
      </c>
      <c r="B5812" s="15">
        <v>45390</v>
      </c>
      <c r="E5812" s="160" t="s">
        <v>267</v>
      </c>
      <c r="F5812">
        <v>6911</v>
      </c>
    </row>
    <row r="5813" spans="1:6" x14ac:dyDescent="0.25">
      <c r="A5813">
        <v>8302</v>
      </c>
      <c r="B5813" s="15">
        <v>45391</v>
      </c>
      <c r="E5813" s="197" t="s">
        <v>267</v>
      </c>
      <c r="F5813">
        <v>6912</v>
      </c>
    </row>
    <row r="5814" spans="1:6" x14ac:dyDescent="0.25">
      <c r="A5814">
        <v>8302</v>
      </c>
      <c r="B5814" s="15">
        <v>45392</v>
      </c>
      <c r="E5814" s="160" t="s">
        <v>264</v>
      </c>
      <c r="F5814">
        <v>6913</v>
      </c>
    </row>
    <row r="5815" spans="1:6" x14ac:dyDescent="0.25">
      <c r="A5815">
        <v>8302</v>
      </c>
      <c r="B5815" s="15">
        <v>45393</v>
      </c>
      <c r="E5815" s="158"/>
      <c r="F5815">
        <v>6914</v>
      </c>
    </row>
    <row r="5816" spans="1:6" x14ac:dyDescent="0.25">
      <c r="A5816">
        <v>8302</v>
      </c>
      <c r="B5816" s="15">
        <v>45394</v>
      </c>
      <c r="E5816" s="160" t="s">
        <v>264</v>
      </c>
      <c r="F5816">
        <v>6915</v>
      </c>
    </row>
    <row r="5817" spans="1:6" x14ac:dyDescent="0.25">
      <c r="A5817">
        <v>8302</v>
      </c>
      <c r="B5817" s="15">
        <v>45395</v>
      </c>
      <c r="E5817" s="160" t="s">
        <v>175</v>
      </c>
      <c r="F5817">
        <v>6916</v>
      </c>
    </row>
    <row r="5818" spans="1:6" x14ac:dyDescent="0.25">
      <c r="A5818">
        <v>8302</v>
      </c>
      <c r="B5818" s="15">
        <v>45396</v>
      </c>
      <c r="E5818" s="158"/>
      <c r="F5818">
        <v>6917</v>
      </c>
    </row>
    <row r="5819" spans="1:6" x14ac:dyDescent="0.25">
      <c r="A5819">
        <v>8302</v>
      </c>
      <c r="B5819" s="15">
        <v>45397</v>
      </c>
      <c r="E5819" s="160" t="s">
        <v>265</v>
      </c>
      <c r="F5819">
        <v>6918</v>
      </c>
    </row>
    <row r="5820" spans="1:6" x14ac:dyDescent="0.25">
      <c r="A5820">
        <v>8302</v>
      </c>
      <c r="B5820" s="15">
        <v>45398</v>
      </c>
      <c r="E5820" s="197" t="s">
        <v>267</v>
      </c>
      <c r="F5820">
        <v>6919</v>
      </c>
    </row>
    <row r="5821" spans="1:6" x14ac:dyDescent="0.25">
      <c r="A5821">
        <v>8302</v>
      </c>
      <c r="B5821" s="15">
        <v>45399</v>
      </c>
      <c r="E5821" s="160" t="s">
        <v>264</v>
      </c>
      <c r="F5821">
        <v>6920</v>
      </c>
    </row>
    <row r="5822" spans="1:6" x14ac:dyDescent="0.25">
      <c r="A5822">
        <v>8302</v>
      </c>
      <c r="B5822" s="15">
        <v>45400</v>
      </c>
      <c r="E5822" s="160" t="s">
        <v>267</v>
      </c>
      <c r="F5822">
        <v>6921</v>
      </c>
    </row>
    <row r="5823" spans="1:6" x14ac:dyDescent="0.25">
      <c r="A5823">
        <v>8302</v>
      </c>
      <c r="B5823" s="15">
        <v>45401</v>
      </c>
      <c r="E5823" s="197" t="s">
        <v>267</v>
      </c>
      <c r="F5823">
        <v>6922</v>
      </c>
    </row>
    <row r="5824" spans="1:6" x14ac:dyDescent="0.25">
      <c r="A5824">
        <v>8302</v>
      </c>
      <c r="B5824" s="15">
        <v>45402</v>
      </c>
      <c r="E5824" s="158"/>
      <c r="F5824">
        <v>6923</v>
      </c>
    </row>
    <row r="5825" spans="1:6" x14ac:dyDescent="0.25">
      <c r="A5825">
        <v>8302</v>
      </c>
      <c r="B5825" s="15">
        <v>45403</v>
      </c>
      <c r="E5825" s="158"/>
      <c r="F5825">
        <v>6924</v>
      </c>
    </row>
    <row r="5826" spans="1:6" x14ac:dyDescent="0.25">
      <c r="A5826">
        <v>8302</v>
      </c>
      <c r="B5826" s="15">
        <v>45404</v>
      </c>
      <c r="E5826" s="160" t="s">
        <v>267</v>
      </c>
      <c r="F5826">
        <v>6925</v>
      </c>
    </row>
    <row r="5827" spans="1:6" x14ac:dyDescent="0.25">
      <c r="A5827">
        <v>8302</v>
      </c>
      <c r="B5827" s="15">
        <v>45405</v>
      </c>
      <c r="E5827" s="197" t="s">
        <v>267</v>
      </c>
      <c r="F5827">
        <v>6926</v>
      </c>
    </row>
    <row r="5828" spans="1:6" x14ac:dyDescent="0.25">
      <c r="A5828">
        <v>8302</v>
      </c>
      <c r="B5828" s="15">
        <v>45406</v>
      </c>
      <c r="E5828" s="160" t="s">
        <v>264</v>
      </c>
      <c r="F5828">
        <v>6927</v>
      </c>
    </row>
    <row r="5829" spans="1:6" x14ac:dyDescent="0.25">
      <c r="A5829">
        <v>8302</v>
      </c>
      <c r="B5829" s="15">
        <v>45407</v>
      </c>
      <c r="E5829" s="158"/>
      <c r="F5829">
        <v>6928</v>
      </c>
    </row>
    <row r="5830" spans="1:6" x14ac:dyDescent="0.25">
      <c r="A5830">
        <v>8302</v>
      </c>
      <c r="B5830" s="15">
        <v>45408</v>
      </c>
      <c r="E5830" s="160" t="s">
        <v>264</v>
      </c>
      <c r="F5830">
        <v>6929</v>
      </c>
    </row>
    <row r="5831" spans="1:6" x14ac:dyDescent="0.25">
      <c r="A5831">
        <v>8302</v>
      </c>
      <c r="B5831" s="15">
        <v>45409</v>
      </c>
      <c r="E5831" s="160" t="s">
        <v>175</v>
      </c>
      <c r="F5831">
        <v>6930</v>
      </c>
    </row>
    <row r="5832" spans="1:6" x14ac:dyDescent="0.25">
      <c r="A5832">
        <v>8302</v>
      </c>
      <c r="B5832" s="15">
        <v>45410</v>
      </c>
      <c r="E5832" s="158"/>
      <c r="F5832">
        <v>6931</v>
      </c>
    </row>
    <row r="5833" spans="1:6" x14ac:dyDescent="0.25">
      <c r="A5833">
        <v>8302</v>
      </c>
      <c r="B5833" s="15">
        <v>45411</v>
      </c>
      <c r="E5833" s="125" t="s">
        <v>2</v>
      </c>
      <c r="F5833">
        <v>6932</v>
      </c>
    </row>
    <row r="5834" spans="1:6" x14ac:dyDescent="0.25">
      <c r="A5834">
        <v>8302</v>
      </c>
      <c r="B5834" s="15">
        <v>45412</v>
      </c>
      <c r="E5834" s="122" t="s">
        <v>2</v>
      </c>
      <c r="F5834">
        <v>6933</v>
      </c>
    </row>
    <row r="5835" spans="1:6" x14ac:dyDescent="0.25">
      <c r="A5835">
        <v>8302</v>
      </c>
      <c r="B5835" s="15">
        <v>45413</v>
      </c>
      <c r="E5835" s="158"/>
      <c r="F5835">
        <v>6934</v>
      </c>
    </row>
    <row r="5836" spans="1:6" x14ac:dyDescent="0.25">
      <c r="A5836">
        <v>8302</v>
      </c>
      <c r="B5836" s="15">
        <v>45414</v>
      </c>
      <c r="E5836" s="122" t="s">
        <v>2</v>
      </c>
      <c r="F5836">
        <v>6935</v>
      </c>
    </row>
    <row r="5837" spans="1:6" x14ac:dyDescent="0.25">
      <c r="A5837">
        <v>8302</v>
      </c>
      <c r="B5837" s="15">
        <v>45415</v>
      </c>
      <c r="E5837" s="122" t="s">
        <v>2</v>
      </c>
      <c r="F5837">
        <v>6936</v>
      </c>
    </row>
    <row r="5838" spans="1:6" x14ac:dyDescent="0.25">
      <c r="A5838">
        <v>8302</v>
      </c>
      <c r="B5838" s="15">
        <v>45416</v>
      </c>
      <c r="E5838" s="158"/>
      <c r="F5838">
        <v>6937</v>
      </c>
    </row>
    <row r="5839" spans="1:6" x14ac:dyDescent="0.25">
      <c r="A5839">
        <v>8302</v>
      </c>
      <c r="B5839" s="15">
        <v>45417</v>
      </c>
      <c r="E5839" s="158"/>
      <c r="F5839">
        <v>6938</v>
      </c>
    </row>
    <row r="5840" spans="1:6" x14ac:dyDescent="0.25">
      <c r="A5840">
        <v>8306</v>
      </c>
      <c r="B5840" s="15">
        <v>45264</v>
      </c>
      <c r="E5840" s="156" t="s">
        <v>316</v>
      </c>
      <c r="F5840">
        <v>3586</v>
      </c>
    </row>
    <row r="5841" spans="1:6" x14ac:dyDescent="0.25">
      <c r="A5841">
        <v>8306</v>
      </c>
      <c r="B5841" s="15">
        <v>45265</v>
      </c>
      <c r="E5841" s="117" t="s">
        <v>1</v>
      </c>
      <c r="F5841">
        <v>3587</v>
      </c>
    </row>
    <row r="5842" spans="1:6" x14ac:dyDescent="0.25">
      <c r="A5842">
        <v>8306</v>
      </c>
      <c r="B5842" s="15">
        <v>45266</v>
      </c>
      <c r="E5842" s="120" t="s">
        <v>1</v>
      </c>
      <c r="F5842">
        <v>3588</v>
      </c>
    </row>
    <row r="5843" spans="1:6" x14ac:dyDescent="0.25">
      <c r="A5843">
        <v>8306</v>
      </c>
      <c r="B5843" s="15">
        <v>45267</v>
      </c>
      <c r="E5843" s="117" t="s">
        <v>1</v>
      </c>
      <c r="F5843">
        <v>3589</v>
      </c>
    </row>
    <row r="5844" spans="1:6" x14ac:dyDescent="0.25">
      <c r="A5844">
        <v>8306</v>
      </c>
      <c r="B5844" s="15">
        <v>45268</v>
      </c>
      <c r="E5844" s="120" t="s">
        <v>1</v>
      </c>
      <c r="F5844">
        <v>3590</v>
      </c>
    </row>
    <row r="5845" spans="1:6" x14ac:dyDescent="0.25">
      <c r="A5845">
        <v>8306</v>
      </c>
      <c r="B5845" s="15">
        <v>45269</v>
      </c>
      <c r="E5845" s="120" t="s">
        <v>1</v>
      </c>
      <c r="F5845">
        <v>3591</v>
      </c>
    </row>
    <row r="5846" spans="1:6" x14ac:dyDescent="0.25">
      <c r="A5846">
        <v>8306</v>
      </c>
      <c r="B5846" s="15">
        <v>45270</v>
      </c>
      <c r="E5846" s="157"/>
      <c r="F5846">
        <v>3592</v>
      </c>
    </row>
    <row r="5847" spans="1:6" x14ac:dyDescent="0.25">
      <c r="A5847">
        <v>8306</v>
      </c>
      <c r="B5847" s="15">
        <v>45271</v>
      </c>
      <c r="E5847" s="117" t="s">
        <v>1</v>
      </c>
      <c r="F5847">
        <v>3593</v>
      </c>
    </row>
    <row r="5848" spans="1:6" x14ac:dyDescent="0.25">
      <c r="A5848">
        <v>8306</v>
      </c>
      <c r="B5848" s="15">
        <v>45272</v>
      </c>
      <c r="E5848" s="120" t="s">
        <v>1</v>
      </c>
      <c r="F5848">
        <v>3594</v>
      </c>
    </row>
    <row r="5849" spans="1:6" x14ac:dyDescent="0.25">
      <c r="A5849">
        <v>8306</v>
      </c>
      <c r="B5849" s="15">
        <v>45273</v>
      </c>
      <c r="E5849" s="117" t="s">
        <v>1</v>
      </c>
      <c r="F5849">
        <v>3595</v>
      </c>
    </row>
    <row r="5850" spans="1:6" x14ac:dyDescent="0.25">
      <c r="A5850">
        <v>8306</v>
      </c>
      <c r="B5850" s="15">
        <v>45274</v>
      </c>
      <c r="E5850" s="120" t="s">
        <v>1</v>
      </c>
      <c r="F5850">
        <v>3596</v>
      </c>
    </row>
    <row r="5851" spans="1:6" x14ac:dyDescent="0.25">
      <c r="A5851">
        <v>8306</v>
      </c>
      <c r="B5851" s="15">
        <v>45275</v>
      </c>
      <c r="E5851" s="120" t="s">
        <v>1</v>
      </c>
      <c r="F5851">
        <v>3597</v>
      </c>
    </row>
    <row r="5852" spans="1:6" x14ac:dyDescent="0.25">
      <c r="A5852">
        <v>8306</v>
      </c>
      <c r="B5852" s="15">
        <v>45276</v>
      </c>
      <c r="E5852" s="156" t="s">
        <v>316</v>
      </c>
      <c r="F5852">
        <v>3598</v>
      </c>
    </row>
    <row r="5853" spans="1:6" x14ac:dyDescent="0.25">
      <c r="A5853">
        <v>8306</v>
      </c>
      <c r="B5853" s="15">
        <v>45277</v>
      </c>
      <c r="E5853" s="157"/>
      <c r="F5853">
        <v>3599</v>
      </c>
    </row>
    <row r="5854" spans="1:6" x14ac:dyDescent="0.25">
      <c r="A5854">
        <v>8306</v>
      </c>
      <c r="B5854" s="15">
        <v>45278</v>
      </c>
      <c r="E5854" s="158"/>
      <c r="F5854">
        <v>3600</v>
      </c>
    </row>
    <row r="5855" spans="1:6" x14ac:dyDescent="0.25">
      <c r="A5855">
        <v>8306</v>
      </c>
      <c r="B5855" s="15">
        <v>45279</v>
      </c>
      <c r="E5855" s="117" t="s">
        <v>1</v>
      </c>
      <c r="F5855">
        <v>3601</v>
      </c>
    </row>
    <row r="5856" spans="1:6" x14ac:dyDescent="0.25">
      <c r="A5856">
        <v>8306</v>
      </c>
      <c r="B5856" s="15">
        <v>45280</v>
      </c>
      <c r="E5856" s="120" t="s">
        <v>1</v>
      </c>
      <c r="F5856">
        <v>3602</v>
      </c>
    </row>
    <row r="5857" spans="1:6" x14ac:dyDescent="0.25">
      <c r="A5857">
        <v>8306</v>
      </c>
      <c r="B5857" s="15">
        <v>45281</v>
      </c>
      <c r="E5857" s="117" t="s">
        <v>1</v>
      </c>
      <c r="F5857">
        <v>3603</v>
      </c>
    </row>
    <row r="5858" spans="1:6" x14ac:dyDescent="0.25">
      <c r="A5858">
        <v>8306</v>
      </c>
      <c r="B5858" s="15">
        <v>45282</v>
      </c>
      <c r="E5858" s="120" t="s">
        <v>1</v>
      </c>
      <c r="F5858">
        <v>3604</v>
      </c>
    </row>
    <row r="5859" spans="1:6" x14ac:dyDescent="0.25">
      <c r="A5859">
        <v>8306</v>
      </c>
      <c r="B5859" s="15">
        <v>45283</v>
      </c>
      <c r="E5859" s="121" t="s">
        <v>1</v>
      </c>
      <c r="F5859">
        <v>3605</v>
      </c>
    </row>
    <row r="5860" spans="1:6" x14ac:dyDescent="0.25">
      <c r="A5860">
        <v>8306</v>
      </c>
      <c r="B5860" s="15">
        <v>45284</v>
      </c>
      <c r="E5860" s="157"/>
      <c r="F5860">
        <v>3606</v>
      </c>
    </row>
    <row r="5861" spans="1:6" x14ac:dyDescent="0.25">
      <c r="A5861">
        <v>8306</v>
      </c>
      <c r="B5861" s="15">
        <v>45285</v>
      </c>
      <c r="E5861" s="119"/>
      <c r="F5861">
        <v>3607</v>
      </c>
    </row>
    <row r="5862" spans="1:6" x14ac:dyDescent="0.25">
      <c r="A5862">
        <v>8306</v>
      </c>
      <c r="B5862" s="15">
        <v>45286</v>
      </c>
      <c r="E5862" s="120" t="s">
        <v>1</v>
      </c>
      <c r="F5862">
        <v>3608</v>
      </c>
    </row>
    <row r="5863" spans="1:6" x14ac:dyDescent="0.25">
      <c r="A5863">
        <v>8306</v>
      </c>
      <c r="B5863" s="15">
        <v>45287</v>
      </c>
      <c r="E5863" s="117" t="s">
        <v>1</v>
      </c>
      <c r="F5863">
        <v>3609</v>
      </c>
    </row>
    <row r="5864" spans="1:6" x14ac:dyDescent="0.25">
      <c r="A5864">
        <v>8306</v>
      </c>
      <c r="B5864" s="15">
        <v>45288</v>
      </c>
      <c r="E5864" s="120" t="s">
        <v>1</v>
      </c>
      <c r="F5864">
        <v>3610</v>
      </c>
    </row>
    <row r="5865" spans="1:6" x14ac:dyDescent="0.25">
      <c r="A5865">
        <v>8306</v>
      </c>
      <c r="B5865" s="15">
        <v>45289</v>
      </c>
      <c r="E5865" s="120" t="s">
        <v>1</v>
      </c>
      <c r="F5865">
        <v>3611</v>
      </c>
    </row>
    <row r="5866" spans="1:6" x14ac:dyDescent="0.25">
      <c r="A5866">
        <v>8306</v>
      </c>
      <c r="B5866" s="15">
        <v>45290</v>
      </c>
      <c r="E5866" s="158"/>
      <c r="F5866">
        <v>3612</v>
      </c>
    </row>
    <row r="5867" spans="1:6" x14ac:dyDescent="0.25">
      <c r="A5867">
        <v>8306</v>
      </c>
      <c r="B5867" s="15">
        <v>45291</v>
      </c>
      <c r="E5867" s="157"/>
      <c r="F5867">
        <v>3613</v>
      </c>
    </row>
    <row r="5868" spans="1:6" x14ac:dyDescent="0.25">
      <c r="A5868">
        <v>8306</v>
      </c>
      <c r="B5868" s="15">
        <v>45292</v>
      </c>
      <c r="E5868" s="119"/>
      <c r="F5868">
        <v>4349</v>
      </c>
    </row>
    <row r="5869" spans="1:6" x14ac:dyDescent="0.25">
      <c r="A5869">
        <v>8306</v>
      </c>
      <c r="B5869" s="15">
        <v>45293</v>
      </c>
      <c r="E5869" s="117" t="s">
        <v>1</v>
      </c>
      <c r="F5869">
        <v>4350</v>
      </c>
    </row>
    <row r="5870" spans="1:6" x14ac:dyDescent="0.25">
      <c r="A5870">
        <v>8306</v>
      </c>
      <c r="B5870" s="15">
        <v>45294</v>
      </c>
      <c r="E5870" s="120" t="s">
        <v>1</v>
      </c>
      <c r="F5870">
        <v>4351</v>
      </c>
    </row>
    <row r="5871" spans="1:6" x14ac:dyDescent="0.25">
      <c r="A5871">
        <v>8306</v>
      </c>
      <c r="B5871" s="15">
        <v>45295</v>
      </c>
      <c r="E5871" s="117" t="s">
        <v>1</v>
      </c>
      <c r="F5871">
        <v>4352</v>
      </c>
    </row>
    <row r="5872" spans="1:6" x14ac:dyDescent="0.25">
      <c r="A5872">
        <v>8306</v>
      </c>
      <c r="B5872" s="15">
        <v>45296</v>
      </c>
      <c r="E5872" s="120" t="s">
        <v>1</v>
      </c>
      <c r="F5872">
        <v>4353</v>
      </c>
    </row>
    <row r="5873" spans="1:6" x14ac:dyDescent="0.25">
      <c r="A5873">
        <v>8306</v>
      </c>
      <c r="B5873" s="15">
        <v>45297</v>
      </c>
      <c r="E5873" s="121" t="s">
        <v>1</v>
      </c>
      <c r="F5873">
        <v>4354</v>
      </c>
    </row>
    <row r="5874" spans="1:6" x14ac:dyDescent="0.25">
      <c r="A5874">
        <v>8306</v>
      </c>
      <c r="B5874" s="15">
        <v>45298</v>
      </c>
      <c r="E5874" s="157"/>
      <c r="F5874">
        <v>4355</v>
      </c>
    </row>
    <row r="5875" spans="1:6" x14ac:dyDescent="0.25">
      <c r="A5875">
        <v>8306</v>
      </c>
      <c r="B5875" s="15">
        <v>45299</v>
      </c>
      <c r="E5875" s="117" t="s">
        <v>1</v>
      </c>
      <c r="F5875">
        <v>4356</v>
      </c>
    </row>
    <row r="5876" spans="1:6" x14ac:dyDescent="0.25">
      <c r="A5876">
        <v>8306</v>
      </c>
      <c r="B5876" s="15">
        <v>45300</v>
      </c>
      <c r="E5876" s="120" t="s">
        <v>1</v>
      </c>
      <c r="F5876">
        <v>4357</v>
      </c>
    </row>
    <row r="5877" spans="1:6" x14ac:dyDescent="0.25">
      <c r="A5877">
        <v>8306</v>
      </c>
      <c r="B5877" s="15">
        <v>45301</v>
      </c>
      <c r="E5877" s="117" t="s">
        <v>1</v>
      </c>
      <c r="F5877">
        <v>4358</v>
      </c>
    </row>
    <row r="5878" spans="1:6" x14ac:dyDescent="0.25">
      <c r="A5878">
        <v>8306</v>
      </c>
      <c r="B5878" s="15">
        <v>45302</v>
      </c>
      <c r="E5878" s="120" t="s">
        <v>1</v>
      </c>
      <c r="F5878">
        <v>4359</v>
      </c>
    </row>
    <row r="5879" spans="1:6" x14ac:dyDescent="0.25">
      <c r="A5879">
        <v>8306</v>
      </c>
      <c r="B5879" s="15">
        <v>45303</v>
      </c>
      <c r="E5879" s="120" t="s">
        <v>1</v>
      </c>
      <c r="F5879">
        <v>4360</v>
      </c>
    </row>
    <row r="5880" spans="1:6" x14ac:dyDescent="0.25">
      <c r="A5880">
        <v>8306</v>
      </c>
      <c r="B5880" s="15">
        <v>45304</v>
      </c>
      <c r="E5880" s="158"/>
      <c r="F5880">
        <v>4361</v>
      </c>
    </row>
    <row r="5881" spans="1:6" x14ac:dyDescent="0.25">
      <c r="A5881">
        <v>8306</v>
      </c>
      <c r="B5881" s="15">
        <v>45305</v>
      </c>
      <c r="E5881" s="157"/>
      <c r="F5881">
        <v>4362</v>
      </c>
    </row>
    <row r="5882" spans="1:6" x14ac:dyDescent="0.25">
      <c r="A5882">
        <v>8306</v>
      </c>
      <c r="B5882" s="15">
        <v>45306</v>
      </c>
      <c r="E5882" s="158"/>
      <c r="F5882">
        <v>4363</v>
      </c>
    </row>
    <row r="5883" spans="1:6" x14ac:dyDescent="0.25">
      <c r="A5883">
        <v>8306</v>
      </c>
      <c r="B5883" s="15">
        <v>45307</v>
      </c>
      <c r="E5883" s="160" t="s">
        <v>264</v>
      </c>
      <c r="F5883">
        <v>4364</v>
      </c>
    </row>
    <row r="5884" spans="1:6" x14ac:dyDescent="0.25">
      <c r="A5884">
        <v>8306</v>
      </c>
      <c r="B5884" s="15">
        <v>45308</v>
      </c>
      <c r="E5884" s="160" t="s">
        <v>267</v>
      </c>
      <c r="F5884">
        <v>4365</v>
      </c>
    </row>
    <row r="5885" spans="1:6" x14ac:dyDescent="0.25">
      <c r="A5885">
        <v>8306</v>
      </c>
      <c r="B5885" s="15">
        <v>45309</v>
      </c>
      <c r="E5885" s="160" t="s">
        <v>264</v>
      </c>
      <c r="F5885">
        <v>4366</v>
      </c>
    </row>
    <row r="5886" spans="1:6" x14ac:dyDescent="0.25">
      <c r="A5886">
        <v>8306</v>
      </c>
      <c r="B5886" s="15">
        <v>45310</v>
      </c>
      <c r="E5886" s="160" t="s">
        <v>267</v>
      </c>
      <c r="F5886">
        <v>4367</v>
      </c>
    </row>
    <row r="5887" spans="1:6" x14ac:dyDescent="0.25">
      <c r="A5887">
        <v>8306</v>
      </c>
      <c r="B5887" s="15">
        <v>45311</v>
      </c>
      <c r="E5887" s="160" t="s">
        <v>175</v>
      </c>
      <c r="F5887">
        <v>4368</v>
      </c>
    </row>
    <row r="5888" spans="1:6" x14ac:dyDescent="0.25">
      <c r="A5888">
        <v>8306</v>
      </c>
      <c r="B5888" s="15">
        <v>45312</v>
      </c>
      <c r="E5888" s="157"/>
      <c r="F5888">
        <v>4369</v>
      </c>
    </row>
    <row r="5889" spans="1:6" x14ac:dyDescent="0.25">
      <c r="A5889">
        <v>8306</v>
      </c>
      <c r="B5889" s="15">
        <v>45313</v>
      </c>
      <c r="E5889" s="160" t="s">
        <v>265</v>
      </c>
      <c r="F5889">
        <v>4370</v>
      </c>
    </row>
    <row r="5890" spans="1:6" x14ac:dyDescent="0.25">
      <c r="A5890">
        <v>8306</v>
      </c>
      <c r="B5890" s="15">
        <v>45314</v>
      </c>
      <c r="E5890" s="160" t="s">
        <v>267</v>
      </c>
      <c r="F5890">
        <v>4371</v>
      </c>
    </row>
    <row r="5891" spans="1:6" x14ac:dyDescent="0.25">
      <c r="A5891">
        <v>8306</v>
      </c>
      <c r="B5891" s="15">
        <v>45315</v>
      </c>
      <c r="E5891" s="117" t="s">
        <v>2</v>
      </c>
      <c r="F5891">
        <v>4372</v>
      </c>
    </row>
    <row r="5892" spans="1:6" x14ac:dyDescent="0.25">
      <c r="A5892">
        <v>8306</v>
      </c>
      <c r="B5892" s="15">
        <v>45316</v>
      </c>
      <c r="E5892" s="160" t="s">
        <v>267</v>
      </c>
      <c r="F5892">
        <v>4373</v>
      </c>
    </row>
    <row r="5893" spans="1:6" x14ac:dyDescent="0.25">
      <c r="A5893">
        <v>8306</v>
      </c>
      <c r="B5893" s="15">
        <v>45317</v>
      </c>
      <c r="E5893" s="160" t="s">
        <v>267</v>
      </c>
      <c r="F5893">
        <v>4374</v>
      </c>
    </row>
    <row r="5894" spans="1:6" x14ac:dyDescent="0.25">
      <c r="A5894">
        <v>8306</v>
      </c>
      <c r="B5894" s="15">
        <v>45318</v>
      </c>
      <c r="E5894" s="158"/>
      <c r="F5894">
        <v>4375</v>
      </c>
    </row>
    <row r="5895" spans="1:6" x14ac:dyDescent="0.25">
      <c r="A5895">
        <v>8306</v>
      </c>
      <c r="B5895" s="15">
        <v>45319</v>
      </c>
      <c r="E5895" s="157"/>
      <c r="F5895">
        <v>4376</v>
      </c>
    </row>
    <row r="5896" spans="1:6" x14ac:dyDescent="0.25">
      <c r="A5896">
        <v>8306</v>
      </c>
      <c r="B5896" s="15">
        <v>45320</v>
      </c>
      <c r="E5896" s="158"/>
      <c r="F5896">
        <v>4377</v>
      </c>
    </row>
    <row r="5897" spans="1:6" x14ac:dyDescent="0.25">
      <c r="A5897">
        <v>8306</v>
      </c>
      <c r="B5897" s="15">
        <v>45321</v>
      </c>
      <c r="E5897" s="160" t="s">
        <v>264</v>
      </c>
      <c r="F5897">
        <v>4378</v>
      </c>
    </row>
    <row r="5898" spans="1:6" x14ac:dyDescent="0.25">
      <c r="A5898">
        <v>8306</v>
      </c>
      <c r="B5898" s="15">
        <v>45322</v>
      </c>
      <c r="E5898" s="160" t="s">
        <v>267</v>
      </c>
      <c r="F5898">
        <v>4379</v>
      </c>
    </row>
    <row r="5899" spans="1:6" x14ac:dyDescent="0.25">
      <c r="A5899">
        <v>8306</v>
      </c>
      <c r="B5899" s="15">
        <v>45323</v>
      </c>
      <c r="E5899" s="160" t="s">
        <v>264</v>
      </c>
      <c r="F5899">
        <v>4380</v>
      </c>
    </row>
    <row r="5900" spans="1:6" x14ac:dyDescent="0.25">
      <c r="A5900">
        <v>8306</v>
      </c>
      <c r="B5900" s="15">
        <v>45324</v>
      </c>
      <c r="E5900" s="160" t="s">
        <v>267</v>
      </c>
      <c r="F5900">
        <v>4381</v>
      </c>
    </row>
    <row r="5901" spans="1:6" x14ac:dyDescent="0.25">
      <c r="A5901">
        <v>8306</v>
      </c>
      <c r="B5901" s="15">
        <v>45325</v>
      </c>
      <c r="E5901" s="160" t="s">
        <v>175</v>
      </c>
      <c r="F5901">
        <v>4382</v>
      </c>
    </row>
    <row r="5902" spans="1:6" x14ac:dyDescent="0.25">
      <c r="A5902">
        <v>8306</v>
      </c>
      <c r="B5902" s="15">
        <v>45326</v>
      </c>
      <c r="E5902" s="157"/>
      <c r="F5902">
        <v>4383</v>
      </c>
    </row>
    <row r="5903" spans="1:6" x14ac:dyDescent="0.25">
      <c r="A5903">
        <v>8306</v>
      </c>
      <c r="B5903" s="15">
        <v>45327</v>
      </c>
      <c r="E5903" s="160" t="s">
        <v>265</v>
      </c>
      <c r="F5903">
        <v>5189</v>
      </c>
    </row>
    <row r="5904" spans="1:6" x14ac:dyDescent="0.25">
      <c r="A5904">
        <v>8306</v>
      </c>
      <c r="B5904" s="15">
        <v>45328</v>
      </c>
      <c r="E5904" s="160" t="s">
        <v>267</v>
      </c>
      <c r="F5904">
        <v>5190</v>
      </c>
    </row>
    <row r="5905" spans="1:6" x14ac:dyDescent="0.25">
      <c r="A5905">
        <v>8306</v>
      </c>
      <c r="B5905" s="15">
        <v>45329</v>
      </c>
      <c r="E5905" s="117" t="s">
        <v>2</v>
      </c>
      <c r="F5905">
        <v>5191</v>
      </c>
    </row>
    <row r="5906" spans="1:6" x14ac:dyDescent="0.25">
      <c r="A5906">
        <v>8306</v>
      </c>
      <c r="B5906" s="15">
        <v>45330</v>
      </c>
      <c r="E5906" s="160" t="s">
        <v>267</v>
      </c>
      <c r="F5906">
        <v>5192</v>
      </c>
    </row>
    <row r="5907" spans="1:6" x14ac:dyDescent="0.25">
      <c r="A5907">
        <v>8306</v>
      </c>
      <c r="B5907" s="15">
        <v>45331</v>
      </c>
      <c r="E5907" s="160" t="s">
        <v>267</v>
      </c>
      <c r="F5907">
        <v>5193</v>
      </c>
    </row>
    <row r="5908" spans="1:6" x14ac:dyDescent="0.25">
      <c r="A5908">
        <v>8306</v>
      </c>
      <c r="B5908" s="15">
        <v>45332</v>
      </c>
      <c r="E5908" s="158"/>
      <c r="F5908">
        <v>5194</v>
      </c>
    </row>
    <row r="5909" spans="1:6" x14ac:dyDescent="0.25">
      <c r="A5909">
        <v>8306</v>
      </c>
      <c r="B5909" s="15">
        <v>45333</v>
      </c>
      <c r="E5909" s="157"/>
      <c r="F5909">
        <v>5195</v>
      </c>
    </row>
    <row r="5910" spans="1:6" x14ac:dyDescent="0.25">
      <c r="A5910">
        <v>8306</v>
      </c>
      <c r="B5910" s="15">
        <v>45334</v>
      </c>
      <c r="E5910" s="158"/>
      <c r="F5910">
        <v>5196</v>
      </c>
    </row>
    <row r="5911" spans="1:6" x14ac:dyDescent="0.25">
      <c r="A5911">
        <v>8306</v>
      </c>
      <c r="B5911" s="15">
        <v>45335</v>
      </c>
      <c r="E5911" s="160" t="s">
        <v>264</v>
      </c>
      <c r="F5911">
        <v>5197</v>
      </c>
    </row>
    <row r="5912" spans="1:6" x14ac:dyDescent="0.25">
      <c r="A5912">
        <v>8306</v>
      </c>
      <c r="B5912" s="15">
        <v>45336</v>
      </c>
      <c r="E5912" s="160" t="s">
        <v>267</v>
      </c>
      <c r="F5912">
        <v>5198</v>
      </c>
    </row>
    <row r="5913" spans="1:6" x14ac:dyDescent="0.25">
      <c r="A5913">
        <v>8306</v>
      </c>
      <c r="B5913" s="15">
        <v>45337</v>
      </c>
      <c r="E5913" s="160" t="s">
        <v>264</v>
      </c>
      <c r="F5913">
        <v>5199</v>
      </c>
    </row>
    <row r="5914" spans="1:6" x14ac:dyDescent="0.25">
      <c r="A5914">
        <v>8306</v>
      </c>
      <c r="B5914" s="15">
        <v>45338</v>
      </c>
      <c r="E5914" s="160" t="s">
        <v>267</v>
      </c>
      <c r="F5914">
        <v>5200</v>
      </c>
    </row>
    <row r="5915" spans="1:6" x14ac:dyDescent="0.25">
      <c r="A5915">
        <v>8306</v>
      </c>
      <c r="B5915" s="15">
        <v>45339</v>
      </c>
      <c r="E5915" s="160" t="s">
        <v>175</v>
      </c>
      <c r="F5915">
        <v>5201</v>
      </c>
    </row>
    <row r="5916" spans="1:6" x14ac:dyDescent="0.25">
      <c r="A5916">
        <v>8306</v>
      </c>
      <c r="B5916" s="15">
        <v>45340</v>
      </c>
      <c r="E5916" s="157"/>
      <c r="F5916">
        <v>5202</v>
      </c>
    </row>
    <row r="5917" spans="1:6" x14ac:dyDescent="0.25">
      <c r="A5917">
        <v>8306</v>
      </c>
      <c r="B5917" s="15">
        <v>45341</v>
      </c>
      <c r="E5917" s="160" t="s">
        <v>265</v>
      </c>
      <c r="F5917">
        <v>5203</v>
      </c>
    </row>
    <row r="5918" spans="1:6" x14ac:dyDescent="0.25">
      <c r="A5918">
        <v>8306</v>
      </c>
      <c r="B5918" s="15">
        <v>45342</v>
      </c>
      <c r="E5918" s="160" t="s">
        <v>267</v>
      </c>
      <c r="F5918">
        <v>5204</v>
      </c>
    </row>
    <row r="5919" spans="1:6" x14ac:dyDescent="0.25">
      <c r="A5919">
        <v>8306</v>
      </c>
      <c r="B5919" s="15">
        <v>45343</v>
      </c>
      <c r="E5919" s="160" t="s">
        <v>264</v>
      </c>
      <c r="F5919">
        <v>5205</v>
      </c>
    </row>
    <row r="5920" spans="1:6" x14ac:dyDescent="0.25">
      <c r="A5920">
        <v>8306</v>
      </c>
      <c r="B5920" s="15">
        <v>45344</v>
      </c>
      <c r="E5920" s="160" t="s">
        <v>267</v>
      </c>
      <c r="F5920">
        <v>5206</v>
      </c>
    </row>
    <row r="5921" spans="1:6" x14ac:dyDescent="0.25">
      <c r="A5921">
        <v>8306</v>
      </c>
      <c r="B5921" s="15">
        <v>45345</v>
      </c>
      <c r="E5921" s="160" t="s">
        <v>267</v>
      </c>
      <c r="F5921">
        <v>5207</v>
      </c>
    </row>
    <row r="5922" spans="1:6" x14ac:dyDescent="0.25">
      <c r="A5922">
        <v>8306</v>
      </c>
      <c r="B5922" s="15">
        <v>45346</v>
      </c>
      <c r="E5922" s="158"/>
      <c r="F5922">
        <v>5208</v>
      </c>
    </row>
    <row r="5923" spans="1:6" x14ac:dyDescent="0.25">
      <c r="A5923">
        <v>8306</v>
      </c>
      <c r="B5923" s="15">
        <v>45347</v>
      </c>
      <c r="E5923" s="157"/>
      <c r="F5923">
        <v>5209</v>
      </c>
    </row>
    <row r="5924" spans="1:6" x14ac:dyDescent="0.25">
      <c r="A5924">
        <v>8306</v>
      </c>
      <c r="B5924" s="15">
        <v>45348</v>
      </c>
      <c r="E5924" s="158"/>
      <c r="F5924">
        <v>5210</v>
      </c>
    </row>
    <row r="5925" spans="1:6" x14ac:dyDescent="0.25">
      <c r="A5925">
        <v>8306</v>
      </c>
      <c r="B5925" s="15">
        <v>45349</v>
      </c>
      <c r="E5925" s="117" t="s">
        <v>2</v>
      </c>
      <c r="F5925">
        <v>5211</v>
      </c>
    </row>
    <row r="5926" spans="1:6" x14ac:dyDescent="0.25">
      <c r="A5926">
        <v>8306</v>
      </c>
      <c r="B5926" s="15">
        <v>45350</v>
      </c>
      <c r="E5926" s="120" t="s">
        <v>2</v>
      </c>
      <c r="F5926">
        <v>5212</v>
      </c>
    </row>
    <row r="5927" spans="1:6" x14ac:dyDescent="0.25">
      <c r="A5927">
        <v>8306</v>
      </c>
      <c r="B5927" s="15">
        <v>45351</v>
      </c>
      <c r="E5927" s="117" t="s">
        <v>2</v>
      </c>
      <c r="F5927">
        <v>5213</v>
      </c>
    </row>
    <row r="5928" spans="1:6" x14ac:dyDescent="0.25">
      <c r="A5928">
        <v>8306</v>
      </c>
      <c r="B5928" s="15">
        <v>45352</v>
      </c>
      <c r="E5928" s="120" t="s">
        <v>2</v>
      </c>
      <c r="F5928">
        <v>5214</v>
      </c>
    </row>
    <row r="5929" spans="1:6" x14ac:dyDescent="0.25">
      <c r="A5929">
        <v>8306</v>
      </c>
      <c r="B5929" s="15">
        <v>45353</v>
      </c>
      <c r="E5929" s="121" t="s">
        <v>2</v>
      </c>
      <c r="F5929">
        <v>5215</v>
      </c>
    </row>
    <row r="5930" spans="1:6" x14ac:dyDescent="0.25">
      <c r="A5930">
        <v>8306</v>
      </c>
      <c r="B5930" s="15">
        <v>45354</v>
      </c>
      <c r="E5930" s="157"/>
      <c r="F5930">
        <v>5216</v>
      </c>
    </row>
    <row r="5931" spans="1:6" x14ac:dyDescent="0.25">
      <c r="A5931">
        <v>8306</v>
      </c>
      <c r="B5931" s="15">
        <v>45355</v>
      </c>
      <c r="E5931" s="160" t="s">
        <v>265</v>
      </c>
      <c r="F5931">
        <v>5889</v>
      </c>
    </row>
    <row r="5932" spans="1:6" x14ac:dyDescent="0.25">
      <c r="A5932">
        <v>8306</v>
      </c>
      <c r="B5932" s="15">
        <v>45356</v>
      </c>
      <c r="E5932" s="160" t="s">
        <v>267</v>
      </c>
      <c r="F5932">
        <v>5890</v>
      </c>
    </row>
    <row r="5933" spans="1:6" x14ac:dyDescent="0.25">
      <c r="A5933">
        <v>8306</v>
      </c>
      <c r="B5933" s="15">
        <v>45357</v>
      </c>
      <c r="E5933" s="160" t="s">
        <v>264</v>
      </c>
      <c r="F5933">
        <v>5891</v>
      </c>
    </row>
    <row r="5934" spans="1:6" x14ac:dyDescent="0.25">
      <c r="A5934">
        <v>8306</v>
      </c>
      <c r="B5934" s="15">
        <v>45358</v>
      </c>
      <c r="E5934" s="160" t="s">
        <v>267</v>
      </c>
      <c r="F5934">
        <v>5892</v>
      </c>
    </row>
    <row r="5935" spans="1:6" x14ac:dyDescent="0.25">
      <c r="A5935">
        <v>8306</v>
      </c>
      <c r="B5935" s="15">
        <v>45359</v>
      </c>
      <c r="E5935" s="160" t="s">
        <v>267</v>
      </c>
      <c r="F5935">
        <v>5893</v>
      </c>
    </row>
    <row r="5936" spans="1:6" x14ac:dyDescent="0.25">
      <c r="A5936">
        <v>8306</v>
      </c>
      <c r="B5936" s="15">
        <v>45360</v>
      </c>
      <c r="E5936" s="158"/>
      <c r="F5936">
        <v>5894</v>
      </c>
    </row>
    <row r="5937" spans="1:6" x14ac:dyDescent="0.25">
      <c r="A5937">
        <v>8306</v>
      </c>
      <c r="B5937" s="15">
        <v>45361</v>
      </c>
      <c r="E5937" s="157"/>
      <c r="F5937">
        <v>5895</v>
      </c>
    </row>
    <row r="5938" spans="1:6" x14ac:dyDescent="0.25">
      <c r="A5938">
        <v>8306</v>
      </c>
      <c r="B5938" s="15">
        <v>45362</v>
      </c>
      <c r="E5938" s="158"/>
      <c r="F5938">
        <v>5896</v>
      </c>
    </row>
    <row r="5939" spans="1:6" x14ac:dyDescent="0.25">
      <c r="A5939">
        <v>8306</v>
      </c>
      <c r="B5939" s="15">
        <v>45363</v>
      </c>
      <c r="E5939" s="160" t="s">
        <v>264</v>
      </c>
      <c r="F5939">
        <v>5897</v>
      </c>
    </row>
    <row r="5940" spans="1:6" x14ac:dyDescent="0.25">
      <c r="A5940">
        <v>8306</v>
      </c>
      <c r="B5940" s="15">
        <v>45364</v>
      </c>
      <c r="E5940" s="160" t="s">
        <v>267</v>
      </c>
      <c r="F5940">
        <v>5898</v>
      </c>
    </row>
    <row r="5941" spans="1:6" x14ac:dyDescent="0.25">
      <c r="A5941">
        <v>8306</v>
      </c>
      <c r="B5941" s="15">
        <v>45365</v>
      </c>
      <c r="E5941" s="160" t="s">
        <v>264</v>
      </c>
      <c r="F5941">
        <v>5899</v>
      </c>
    </row>
    <row r="5942" spans="1:6" x14ac:dyDescent="0.25">
      <c r="A5942">
        <v>8306</v>
      </c>
      <c r="B5942" s="15">
        <v>45366</v>
      </c>
      <c r="E5942" s="160" t="s">
        <v>267</v>
      </c>
      <c r="F5942">
        <v>5900</v>
      </c>
    </row>
    <row r="5943" spans="1:6" x14ac:dyDescent="0.25">
      <c r="A5943">
        <v>8306</v>
      </c>
      <c r="B5943" s="15">
        <v>45367</v>
      </c>
      <c r="E5943" s="160" t="s">
        <v>175</v>
      </c>
      <c r="F5943">
        <v>5901</v>
      </c>
    </row>
    <row r="5944" spans="1:6" x14ac:dyDescent="0.25">
      <c r="A5944">
        <v>8306</v>
      </c>
      <c r="B5944" s="15">
        <v>45368</v>
      </c>
      <c r="E5944" s="157"/>
      <c r="F5944">
        <v>5902</v>
      </c>
    </row>
    <row r="5945" spans="1:6" x14ac:dyDescent="0.25">
      <c r="A5945">
        <v>8306</v>
      </c>
      <c r="B5945" s="15">
        <v>45369</v>
      </c>
      <c r="E5945" s="160" t="s">
        <v>265</v>
      </c>
      <c r="F5945">
        <v>5903</v>
      </c>
    </row>
    <row r="5946" spans="1:6" x14ac:dyDescent="0.25">
      <c r="A5946">
        <v>8306</v>
      </c>
      <c r="B5946" s="15">
        <v>45370</v>
      </c>
      <c r="E5946" s="160" t="s">
        <v>267</v>
      </c>
      <c r="F5946">
        <v>5904</v>
      </c>
    </row>
    <row r="5947" spans="1:6" x14ac:dyDescent="0.25">
      <c r="A5947">
        <v>8306</v>
      </c>
      <c r="B5947" s="15">
        <v>45371</v>
      </c>
      <c r="E5947" s="117" t="s">
        <v>2</v>
      </c>
      <c r="F5947">
        <v>5905</v>
      </c>
    </row>
    <row r="5948" spans="1:6" x14ac:dyDescent="0.25">
      <c r="A5948">
        <v>8306</v>
      </c>
      <c r="B5948" s="15">
        <v>45372</v>
      </c>
      <c r="E5948" s="160" t="s">
        <v>267</v>
      </c>
      <c r="F5948">
        <v>5906</v>
      </c>
    </row>
    <row r="5949" spans="1:6" x14ac:dyDescent="0.25">
      <c r="A5949">
        <v>8306</v>
      </c>
      <c r="B5949" s="15">
        <v>45373</v>
      </c>
      <c r="E5949" s="160" t="s">
        <v>267</v>
      </c>
      <c r="F5949">
        <v>5907</v>
      </c>
    </row>
    <row r="5950" spans="1:6" x14ac:dyDescent="0.25">
      <c r="A5950">
        <v>8306</v>
      </c>
      <c r="B5950" s="15">
        <v>45374</v>
      </c>
      <c r="E5950" s="158"/>
      <c r="F5950">
        <v>5908</v>
      </c>
    </row>
    <row r="5951" spans="1:6" x14ac:dyDescent="0.25">
      <c r="A5951">
        <v>8306</v>
      </c>
      <c r="B5951" s="15">
        <v>45375</v>
      </c>
      <c r="E5951" s="157"/>
      <c r="F5951">
        <v>5909</v>
      </c>
    </row>
    <row r="5952" spans="1:6" x14ac:dyDescent="0.25">
      <c r="A5952">
        <v>8306</v>
      </c>
      <c r="B5952" s="15">
        <v>45376</v>
      </c>
      <c r="E5952" s="158"/>
      <c r="F5952">
        <v>5910</v>
      </c>
    </row>
    <row r="5953" spans="1:6" x14ac:dyDescent="0.25">
      <c r="A5953">
        <v>8306</v>
      </c>
      <c r="B5953" s="15">
        <v>45377</v>
      </c>
      <c r="E5953" s="160" t="s">
        <v>264</v>
      </c>
      <c r="F5953">
        <v>5911</v>
      </c>
    </row>
    <row r="5954" spans="1:6" x14ac:dyDescent="0.25">
      <c r="A5954">
        <v>8306</v>
      </c>
      <c r="B5954" s="15">
        <v>45378</v>
      </c>
      <c r="E5954" s="160" t="s">
        <v>267</v>
      </c>
      <c r="F5954">
        <v>5912</v>
      </c>
    </row>
    <row r="5955" spans="1:6" x14ac:dyDescent="0.25">
      <c r="A5955">
        <v>8306</v>
      </c>
      <c r="B5955" s="15">
        <v>45379</v>
      </c>
      <c r="E5955" s="160" t="s">
        <v>264</v>
      </c>
      <c r="F5955">
        <v>5913</v>
      </c>
    </row>
    <row r="5956" spans="1:6" x14ac:dyDescent="0.25">
      <c r="A5956">
        <v>8306</v>
      </c>
      <c r="B5956" s="15">
        <v>45380</v>
      </c>
      <c r="E5956" s="160" t="s">
        <v>267</v>
      </c>
      <c r="F5956">
        <v>5914</v>
      </c>
    </row>
    <row r="5957" spans="1:6" x14ac:dyDescent="0.25">
      <c r="A5957">
        <v>8306</v>
      </c>
      <c r="B5957" s="15">
        <v>45381</v>
      </c>
      <c r="E5957" s="160" t="s">
        <v>175</v>
      </c>
      <c r="F5957">
        <v>5915</v>
      </c>
    </row>
    <row r="5958" spans="1:6" x14ac:dyDescent="0.25">
      <c r="A5958">
        <v>8306</v>
      </c>
      <c r="B5958" s="15">
        <v>45382</v>
      </c>
      <c r="E5958" s="157"/>
      <c r="F5958">
        <v>5916</v>
      </c>
    </row>
    <row r="5959" spans="1:6" x14ac:dyDescent="0.25">
      <c r="A5959">
        <v>8306</v>
      </c>
      <c r="B5959" s="15">
        <v>45383</v>
      </c>
      <c r="E5959" s="119"/>
      <c r="F5959">
        <v>6624</v>
      </c>
    </row>
    <row r="5960" spans="1:6" x14ac:dyDescent="0.25">
      <c r="A5960">
        <v>8306</v>
      </c>
      <c r="B5960" s="15">
        <v>45384</v>
      </c>
      <c r="E5960" s="120" t="s">
        <v>286</v>
      </c>
      <c r="F5960">
        <v>6625</v>
      </c>
    </row>
    <row r="5961" spans="1:6" x14ac:dyDescent="0.25">
      <c r="A5961">
        <v>8306</v>
      </c>
      <c r="B5961" s="15">
        <v>45385</v>
      </c>
      <c r="E5961" s="160" t="s">
        <v>264</v>
      </c>
      <c r="F5961">
        <v>6626</v>
      </c>
    </row>
    <row r="5962" spans="1:6" x14ac:dyDescent="0.25">
      <c r="A5962">
        <v>8306</v>
      </c>
      <c r="B5962" s="15">
        <v>45386</v>
      </c>
      <c r="E5962" s="160" t="s">
        <v>267</v>
      </c>
      <c r="F5962">
        <v>6627</v>
      </c>
    </row>
    <row r="5963" spans="1:6" x14ac:dyDescent="0.25">
      <c r="A5963">
        <v>8306</v>
      </c>
      <c r="B5963" s="15">
        <v>45387</v>
      </c>
      <c r="E5963" s="160" t="s">
        <v>267</v>
      </c>
      <c r="F5963">
        <v>6628</v>
      </c>
    </row>
    <row r="5964" spans="1:6" x14ac:dyDescent="0.25">
      <c r="A5964">
        <v>8306</v>
      </c>
      <c r="B5964" s="15">
        <v>45388</v>
      </c>
      <c r="E5964" s="158"/>
      <c r="F5964">
        <v>6629</v>
      </c>
    </row>
    <row r="5965" spans="1:6" x14ac:dyDescent="0.25">
      <c r="A5965">
        <v>8306</v>
      </c>
      <c r="B5965" s="15">
        <v>45389</v>
      </c>
      <c r="E5965" s="157"/>
      <c r="F5965">
        <v>6630</v>
      </c>
    </row>
    <row r="5966" spans="1:6" x14ac:dyDescent="0.25">
      <c r="A5966">
        <v>8306</v>
      </c>
      <c r="B5966" s="15">
        <v>45390</v>
      </c>
      <c r="E5966" s="158"/>
      <c r="F5966">
        <v>6631</v>
      </c>
    </row>
    <row r="5967" spans="1:6" x14ac:dyDescent="0.25">
      <c r="A5967">
        <v>8306</v>
      </c>
      <c r="B5967" s="15">
        <v>45391</v>
      </c>
      <c r="E5967" s="160" t="s">
        <v>264</v>
      </c>
      <c r="F5967">
        <v>6632</v>
      </c>
    </row>
    <row r="5968" spans="1:6" x14ac:dyDescent="0.25">
      <c r="A5968">
        <v>8306</v>
      </c>
      <c r="B5968" s="15">
        <v>45392</v>
      </c>
      <c r="E5968" s="160" t="s">
        <v>267</v>
      </c>
      <c r="F5968">
        <v>6633</v>
      </c>
    </row>
    <row r="5969" spans="1:6" x14ac:dyDescent="0.25">
      <c r="A5969">
        <v>8306</v>
      </c>
      <c r="B5969" s="15">
        <v>45393</v>
      </c>
      <c r="E5969" s="160" t="s">
        <v>264</v>
      </c>
      <c r="F5969">
        <v>6634</v>
      </c>
    </row>
    <row r="5970" spans="1:6" x14ac:dyDescent="0.25">
      <c r="A5970">
        <v>8306</v>
      </c>
      <c r="B5970" s="15">
        <v>45394</v>
      </c>
      <c r="E5970" s="160" t="s">
        <v>267</v>
      </c>
      <c r="F5970">
        <v>6635</v>
      </c>
    </row>
    <row r="5971" spans="1:6" x14ac:dyDescent="0.25">
      <c r="A5971">
        <v>8306</v>
      </c>
      <c r="B5971" s="15">
        <v>45395</v>
      </c>
      <c r="E5971" s="160" t="s">
        <v>175</v>
      </c>
      <c r="F5971">
        <v>6636</v>
      </c>
    </row>
    <row r="5972" spans="1:6" x14ac:dyDescent="0.25">
      <c r="A5972">
        <v>8306</v>
      </c>
      <c r="B5972" s="15">
        <v>45396</v>
      </c>
      <c r="E5972" s="157"/>
      <c r="F5972">
        <v>6637</v>
      </c>
    </row>
    <row r="5973" spans="1:6" x14ac:dyDescent="0.25">
      <c r="A5973">
        <v>8306</v>
      </c>
      <c r="B5973" s="15">
        <v>45397</v>
      </c>
      <c r="E5973" s="160" t="s">
        <v>265</v>
      </c>
      <c r="F5973">
        <v>6638</v>
      </c>
    </row>
    <row r="5974" spans="1:6" x14ac:dyDescent="0.25">
      <c r="A5974">
        <v>8306</v>
      </c>
      <c r="B5974" s="15">
        <v>45398</v>
      </c>
      <c r="E5974" s="160" t="s">
        <v>267</v>
      </c>
      <c r="F5974">
        <v>6639</v>
      </c>
    </row>
    <row r="5975" spans="1:6" x14ac:dyDescent="0.25">
      <c r="A5975">
        <v>8306</v>
      </c>
      <c r="B5975" s="15">
        <v>45399</v>
      </c>
      <c r="E5975" s="117" t="s">
        <v>2</v>
      </c>
      <c r="F5975">
        <v>6640</v>
      </c>
    </row>
    <row r="5976" spans="1:6" x14ac:dyDescent="0.25">
      <c r="A5976">
        <v>8306</v>
      </c>
      <c r="B5976" s="15">
        <v>45400</v>
      </c>
      <c r="E5976" s="160" t="s">
        <v>267</v>
      </c>
      <c r="F5976">
        <v>6641</v>
      </c>
    </row>
    <row r="5977" spans="1:6" x14ac:dyDescent="0.25">
      <c r="A5977">
        <v>8306</v>
      </c>
      <c r="B5977" s="15">
        <v>45401</v>
      </c>
      <c r="E5977" s="160" t="s">
        <v>267</v>
      </c>
      <c r="F5977">
        <v>6642</v>
      </c>
    </row>
    <row r="5978" spans="1:6" x14ac:dyDescent="0.25">
      <c r="A5978">
        <v>8306</v>
      </c>
      <c r="B5978" s="15">
        <v>45402</v>
      </c>
      <c r="E5978" s="158"/>
      <c r="F5978">
        <v>6643</v>
      </c>
    </row>
    <row r="5979" spans="1:6" x14ac:dyDescent="0.25">
      <c r="A5979">
        <v>8306</v>
      </c>
      <c r="B5979" s="15">
        <v>45403</v>
      </c>
      <c r="E5979" s="157"/>
      <c r="F5979">
        <v>6644</v>
      </c>
    </row>
    <row r="5980" spans="1:6" x14ac:dyDescent="0.25">
      <c r="A5980">
        <v>8306</v>
      </c>
      <c r="B5980" s="15">
        <v>45404</v>
      </c>
      <c r="E5980" s="158"/>
      <c r="F5980">
        <v>6645</v>
      </c>
    </row>
    <row r="5981" spans="1:6" x14ac:dyDescent="0.25">
      <c r="A5981">
        <v>8306</v>
      </c>
      <c r="B5981" s="15">
        <v>45405</v>
      </c>
      <c r="E5981" s="160" t="s">
        <v>264</v>
      </c>
      <c r="F5981">
        <v>6646</v>
      </c>
    </row>
    <row r="5982" spans="1:6" x14ac:dyDescent="0.25">
      <c r="A5982">
        <v>8306</v>
      </c>
      <c r="B5982" s="15">
        <v>45406</v>
      </c>
      <c r="E5982" s="160" t="s">
        <v>267</v>
      </c>
      <c r="F5982">
        <v>6647</v>
      </c>
    </row>
    <row r="5983" spans="1:6" x14ac:dyDescent="0.25">
      <c r="A5983">
        <v>8306</v>
      </c>
      <c r="B5983" s="15">
        <v>45407</v>
      </c>
      <c r="E5983" s="160" t="s">
        <v>264</v>
      </c>
      <c r="F5983">
        <v>6648</v>
      </c>
    </row>
    <row r="5984" spans="1:6" x14ac:dyDescent="0.25">
      <c r="A5984">
        <v>8306</v>
      </c>
      <c r="B5984" s="15">
        <v>45408</v>
      </c>
      <c r="E5984" s="160" t="s">
        <v>267</v>
      </c>
      <c r="F5984">
        <v>6649</v>
      </c>
    </row>
    <row r="5985" spans="1:6" x14ac:dyDescent="0.25">
      <c r="A5985">
        <v>8306</v>
      </c>
      <c r="B5985" s="15">
        <v>45409</v>
      </c>
      <c r="E5985" s="160" t="s">
        <v>175</v>
      </c>
      <c r="F5985">
        <v>6650</v>
      </c>
    </row>
    <row r="5986" spans="1:6" x14ac:dyDescent="0.25">
      <c r="A5986">
        <v>8306</v>
      </c>
      <c r="B5986" s="15">
        <v>45410</v>
      </c>
      <c r="E5986" s="157"/>
      <c r="F5986">
        <v>6651</v>
      </c>
    </row>
    <row r="5987" spans="1:6" x14ac:dyDescent="0.25">
      <c r="A5987">
        <v>8306</v>
      </c>
      <c r="B5987" s="15">
        <v>45411</v>
      </c>
      <c r="E5987" s="117" t="s">
        <v>2</v>
      </c>
      <c r="F5987">
        <v>6652</v>
      </c>
    </row>
    <row r="5988" spans="1:6" x14ac:dyDescent="0.25">
      <c r="A5988">
        <v>8306</v>
      </c>
      <c r="B5988" s="15">
        <v>45412</v>
      </c>
      <c r="E5988" s="120" t="s">
        <v>2</v>
      </c>
      <c r="F5988">
        <v>6653</v>
      </c>
    </row>
    <row r="5989" spans="1:6" x14ac:dyDescent="0.25">
      <c r="A5989">
        <v>8306</v>
      </c>
      <c r="B5989" s="15">
        <v>45413</v>
      </c>
      <c r="E5989" s="157"/>
      <c r="F5989">
        <v>6654</v>
      </c>
    </row>
    <row r="5990" spans="1:6" x14ac:dyDescent="0.25">
      <c r="A5990">
        <v>8306</v>
      </c>
      <c r="B5990" s="15">
        <v>45414</v>
      </c>
      <c r="E5990" s="120" t="s">
        <v>2</v>
      </c>
      <c r="F5990">
        <v>6655</v>
      </c>
    </row>
    <row r="5991" spans="1:6" x14ac:dyDescent="0.25">
      <c r="A5991">
        <v>8306</v>
      </c>
      <c r="B5991" s="15">
        <v>45415</v>
      </c>
      <c r="E5991" s="120" t="s">
        <v>2</v>
      </c>
      <c r="F5991">
        <v>6656</v>
      </c>
    </row>
    <row r="5992" spans="1:6" x14ac:dyDescent="0.25">
      <c r="A5992">
        <v>8306</v>
      </c>
      <c r="B5992" s="15">
        <v>45416</v>
      </c>
      <c r="E5992" s="158"/>
      <c r="F5992">
        <v>6657</v>
      </c>
    </row>
    <row r="5993" spans="1:6" x14ac:dyDescent="0.25">
      <c r="A5993">
        <v>8306</v>
      </c>
      <c r="B5993" s="15">
        <v>45417</v>
      </c>
      <c r="E5993" s="157"/>
      <c r="F5993">
        <v>6658</v>
      </c>
    </row>
    <row r="5994" spans="1:6" x14ac:dyDescent="0.25">
      <c r="A5994">
        <v>8308</v>
      </c>
      <c r="B5994" s="15">
        <v>45264</v>
      </c>
      <c r="E5994" s="160" t="s">
        <v>265</v>
      </c>
      <c r="F5994">
        <v>3614</v>
      </c>
    </row>
    <row r="5995" spans="1:6" x14ac:dyDescent="0.25">
      <c r="A5995">
        <v>8308</v>
      </c>
      <c r="B5995" s="15">
        <v>45265</v>
      </c>
      <c r="E5995" s="197" t="s">
        <v>267</v>
      </c>
      <c r="F5995">
        <v>3615</v>
      </c>
    </row>
    <row r="5996" spans="1:6" x14ac:dyDescent="0.25">
      <c r="A5996">
        <v>8308</v>
      </c>
      <c r="B5996" s="15">
        <v>45266</v>
      </c>
      <c r="E5996" s="160" t="s">
        <v>267</v>
      </c>
      <c r="F5996">
        <v>3616</v>
      </c>
    </row>
    <row r="5997" spans="1:6" x14ac:dyDescent="0.25">
      <c r="A5997">
        <v>8308</v>
      </c>
      <c r="B5997" s="15">
        <v>45267</v>
      </c>
      <c r="E5997" s="160" t="s">
        <v>264</v>
      </c>
      <c r="F5997">
        <v>3617</v>
      </c>
    </row>
    <row r="5998" spans="1:6" x14ac:dyDescent="0.25">
      <c r="A5998">
        <v>8308</v>
      </c>
      <c r="B5998" s="15">
        <v>45268</v>
      </c>
      <c r="E5998" s="197" t="s">
        <v>267</v>
      </c>
      <c r="F5998">
        <v>3618</v>
      </c>
    </row>
    <row r="5999" spans="1:6" x14ac:dyDescent="0.25">
      <c r="A5999">
        <v>8308</v>
      </c>
      <c r="B5999" s="15">
        <v>45269</v>
      </c>
      <c r="E5999" s="158"/>
      <c r="F5999">
        <v>3619</v>
      </c>
    </row>
    <row r="6000" spans="1:6" x14ac:dyDescent="0.25">
      <c r="A6000">
        <v>8308</v>
      </c>
      <c r="B6000" s="15">
        <v>45270</v>
      </c>
      <c r="E6000" s="157"/>
      <c r="F6000">
        <v>3620</v>
      </c>
    </row>
    <row r="6001" spans="1:6" x14ac:dyDescent="0.25">
      <c r="A6001">
        <v>8308</v>
      </c>
      <c r="B6001" s="15">
        <v>45271</v>
      </c>
      <c r="E6001" s="197" t="s">
        <v>264</v>
      </c>
      <c r="F6001">
        <v>3621</v>
      </c>
    </row>
    <row r="6002" spans="1:6" x14ac:dyDescent="0.25">
      <c r="A6002">
        <v>8308</v>
      </c>
      <c r="B6002" s="15">
        <v>45272</v>
      </c>
      <c r="E6002" s="159" t="s">
        <v>267</v>
      </c>
      <c r="F6002">
        <v>3622</v>
      </c>
    </row>
    <row r="6003" spans="1:6" x14ac:dyDescent="0.25">
      <c r="A6003">
        <v>8308</v>
      </c>
      <c r="B6003" s="15">
        <v>45273</v>
      </c>
      <c r="E6003" s="158"/>
      <c r="F6003">
        <v>3623</v>
      </c>
    </row>
    <row r="6004" spans="1:6" x14ac:dyDescent="0.25">
      <c r="A6004">
        <v>8308</v>
      </c>
      <c r="B6004" s="15">
        <v>45274</v>
      </c>
      <c r="E6004" s="117" t="s">
        <v>2</v>
      </c>
      <c r="F6004">
        <v>3624</v>
      </c>
    </row>
    <row r="6005" spans="1:6" x14ac:dyDescent="0.25">
      <c r="A6005">
        <v>8308</v>
      </c>
      <c r="B6005" s="15">
        <v>45275</v>
      </c>
      <c r="E6005" s="197" t="s">
        <v>267</v>
      </c>
      <c r="F6005">
        <v>3625</v>
      </c>
    </row>
    <row r="6006" spans="1:6" x14ac:dyDescent="0.25">
      <c r="A6006">
        <v>8308</v>
      </c>
      <c r="B6006" s="15">
        <v>45276</v>
      </c>
      <c r="E6006" s="160" t="s">
        <v>175</v>
      </c>
      <c r="F6006">
        <v>3626</v>
      </c>
    </row>
    <row r="6007" spans="1:6" x14ac:dyDescent="0.25">
      <c r="A6007">
        <v>8308</v>
      </c>
      <c r="B6007" s="15">
        <v>45277</v>
      </c>
      <c r="E6007" s="157"/>
      <c r="F6007">
        <v>3627</v>
      </c>
    </row>
    <row r="6008" spans="1:6" x14ac:dyDescent="0.25">
      <c r="A6008">
        <v>8308</v>
      </c>
      <c r="B6008" s="15">
        <v>45278</v>
      </c>
      <c r="E6008" s="160" t="s">
        <v>265</v>
      </c>
      <c r="F6008">
        <v>3628</v>
      </c>
    </row>
    <row r="6009" spans="1:6" x14ac:dyDescent="0.25">
      <c r="A6009">
        <v>8308</v>
      </c>
      <c r="B6009" s="15">
        <v>45279</v>
      </c>
      <c r="E6009" s="197" t="s">
        <v>264</v>
      </c>
      <c r="F6009">
        <v>3629</v>
      </c>
    </row>
    <row r="6010" spans="1:6" x14ac:dyDescent="0.25">
      <c r="A6010">
        <v>8308</v>
      </c>
      <c r="B6010" s="15">
        <v>45280</v>
      </c>
      <c r="E6010" s="160" t="s">
        <v>375</v>
      </c>
      <c r="F6010">
        <v>3630</v>
      </c>
    </row>
    <row r="6011" spans="1:6" x14ac:dyDescent="0.25">
      <c r="A6011">
        <v>8308</v>
      </c>
      <c r="B6011" s="15">
        <v>45281</v>
      </c>
      <c r="E6011" s="197" t="s">
        <v>376</v>
      </c>
      <c r="F6011">
        <v>3631</v>
      </c>
    </row>
    <row r="6012" spans="1:6" x14ac:dyDescent="0.25">
      <c r="A6012">
        <v>8308</v>
      </c>
      <c r="B6012" s="15">
        <v>45282</v>
      </c>
      <c r="E6012" s="160" t="s">
        <v>175</v>
      </c>
      <c r="F6012">
        <v>3632</v>
      </c>
    </row>
    <row r="6013" spans="1:6" x14ac:dyDescent="0.25">
      <c r="A6013">
        <v>8308</v>
      </c>
      <c r="B6013" s="15">
        <v>45283</v>
      </c>
      <c r="E6013" s="158"/>
      <c r="F6013">
        <v>3633</v>
      </c>
    </row>
    <row r="6014" spans="1:6" x14ac:dyDescent="0.25">
      <c r="A6014">
        <v>8308</v>
      </c>
      <c r="B6014" s="15">
        <v>45284</v>
      </c>
      <c r="E6014" s="157"/>
      <c r="F6014">
        <v>3634</v>
      </c>
    </row>
    <row r="6015" spans="1:6" x14ac:dyDescent="0.25">
      <c r="A6015">
        <v>8308</v>
      </c>
      <c r="B6015" s="15">
        <v>45285</v>
      </c>
      <c r="E6015" s="119"/>
      <c r="F6015">
        <v>3635</v>
      </c>
    </row>
    <row r="6016" spans="1:6" x14ac:dyDescent="0.25">
      <c r="A6016">
        <v>8308</v>
      </c>
      <c r="B6016" s="15">
        <v>45286</v>
      </c>
      <c r="E6016" s="120" t="s">
        <v>2</v>
      </c>
      <c r="F6016">
        <v>3636</v>
      </c>
    </row>
    <row r="6017" spans="1:6" x14ac:dyDescent="0.25">
      <c r="A6017">
        <v>8308</v>
      </c>
      <c r="B6017" s="15">
        <v>45287</v>
      </c>
      <c r="E6017" s="158"/>
      <c r="F6017">
        <v>3637</v>
      </c>
    </row>
    <row r="6018" spans="1:6" x14ac:dyDescent="0.25">
      <c r="A6018">
        <v>8308</v>
      </c>
      <c r="B6018" s="15">
        <v>45288</v>
      </c>
      <c r="E6018" s="117" t="s">
        <v>2</v>
      </c>
      <c r="F6018">
        <v>3638</v>
      </c>
    </row>
    <row r="6019" spans="1:6" x14ac:dyDescent="0.25">
      <c r="A6019">
        <v>8308</v>
      </c>
      <c r="B6019" s="15">
        <v>45289</v>
      </c>
      <c r="E6019" s="120" t="s">
        <v>2</v>
      </c>
      <c r="F6019">
        <v>3639</v>
      </c>
    </row>
    <row r="6020" spans="1:6" x14ac:dyDescent="0.25">
      <c r="A6020">
        <v>8308</v>
      </c>
      <c r="B6020" s="15">
        <v>45290</v>
      </c>
      <c r="E6020" s="121" t="s">
        <v>2</v>
      </c>
      <c r="F6020">
        <v>3640</v>
      </c>
    </row>
    <row r="6021" spans="1:6" x14ac:dyDescent="0.25">
      <c r="A6021">
        <v>8308</v>
      </c>
      <c r="B6021" s="15">
        <v>45291</v>
      </c>
      <c r="E6021" s="157"/>
      <c r="F6021">
        <v>3641</v>
      </c>
    </row>
    <row r="6022" spans="1:6" x14ac:dyDescent="0.25">
      <c r="A6022">
        <v>8887</v>
      </c>
      <c r="B6022" s="15">
        <v>45047</v>
      </c>
      <c r="C6022" s="147"/>
      <c r="D6022" s="147"/>
      <c r="E6022" s="3"/>
      <c r="F6022">
        <v>576</v>
      </c>
    </row>
    <row r="6023" spans="1:6" x14ac:dyDescent="0.25">
      <c r="A6023">
        <v>8887</v>
      </c>
      <c r="B6023" s="15">
        <v>45048</v>
      </c>
      <c r="C6023" s="110"/>
      <c r="D6023" s="110"/>
      <c r="E6023" s="3"/>
      <c r="F6023">
        <v>577</v>
      </c>
    </row>
    <row r="6024" spans="1:6" x14ac:dyDescent="0.25">
      <c r="A6024">
        <v>8887</v>
      </c>
      <c r="B6024" s="15">
        <v>45049</v>
      </c>
      <c r="C6024" s="110"/>
      <c r="D6024" s="110"/>
      <c r="E6024" s="3"/>
      <c r="F6024">
        <v>578</v>
      </c>
    </row>
    <row r="6025" spans="1:6" x14ac:dyDescent="0.25">
      <c r="A6025">
        <v>8887</v>
      </c>
      <c r="B6025" s="15">
        <v>45050</v>
      </c>
      <c r="C6025" s="110"/>
      <c r="D6025" s="110"/>
      <c r="E6025" s="3"/>
      <c r="F6025">
        <v>579</v>
      </c>
    </row>
    <row r="6026" spans="1:6" x14ac:dyDescent="0.25">
      <c r="A6026">
        <v>8887</v>
      </c>
      <c r="B6026" s="15">
        <v>45051</v>
      </c>
      <c r="C6026" s="110"/>
      <c r="D6026" s="110"/>
      <c r="E6026" s="3"/>
      <c r="F6026">
        <v>580</v>
      </c>
    </row>
    <row r="6027" spans="1:6" x14ac:dyDescent="0.25">
      <c r="A6027">
        <v>8887</v>
      </c>
      <c r="B6027" s="15">
        <v>45052</v>
      </c>
      <c r="C6027" s="133"/>
      <c r="D6027" s="133"/>
      <c r="E6027" s="3"/>
      <c r="F6027">
        <v>581</v>
      </c>
    </row>
    <row r="6028" spans="1:6" x14ac:dyDescent="0.25">
      <c r="A6028">
        <v>8887</v>
      </c>
      <c r="B6028" s="15">
        <v>45053</v>
      </c>
      <c r="C6028" s="133"/>
      <c r="D6028" s="133"/>
      <c r="E6028" s="3"/>
      <c r="F6028">
        <v>582</v>
      </c>
    </row>
    <row r="6029" spans="1:6" x14ac:dyDescent="0.25">
      <c r="A6029">
        <v>8887</v>
      </c>
      <c r="B6029" s="15">
        <v>45054</v>
      </c>
      <c r="C6029" s="147"/>
      <c r="D6029" s="147"/>
      <c r="E6029" s="3"/>
      <c r="F6029">
        <v>583</v>
      </c>
    </row>
    <row r="6030" spans="1:6" x14ac:dyDescent="0.25">
      <c r="A6030">
        <v>8887</v>
      </c>
      <c r="B6030" s="15">
        <v>45055</v>
      </c>
      <c r="C6030" s="110" t="s">
        <v>277</v>
      </c>
      <c r="D6030" s="110"/>
      <c r="E6030" s="3"/>
      <c r="F6030">
        <v>584</v>
      </c>
    </row>
    <row r="6031" spans="1:6" x14ac:dyDescent="0.25">
      <c r="A6031">
        <v>8887</v>
      </c>
      <c r="B6031" s="15">
        <v>45056</v>
      </c>
      <c r="C6031" s="110"/>
      <c r="D6031" s="110"/>
      <c r="E6031" s="3"/>
      <c r="F6031">
        <v>585</v>
      </c>
    </row>
    <row r="6032" spans="1:6" x14ac:dyDescent="0.25">
      <c r="A6032">
        <v>8887</v>
      </c>
      <c r="B6032" s="15">
        <v>45057</v>
      </c>
      <c r="C6032" s="110"/>
      <c r="D6032" s="110"/>
      <c r="E6032" s="3"/>
      <c r="F6032">
        <v>586</v>
      </c>
    </row>
    <row r="6033" spans="1:6" x14ac:dyDescent="0.25">
      <c r="A6033">
        <v>8887</v>
      </c>
      <c r="B6033" s="15">
        <v>45058</v>
      </c>
      <c r="C6033" s="110"/>
      <c r="D6033" s="110"/>
      <c r="E6033" s="3"/>
      <c r="F6033">
        <v>587</v>
      </c>
    </row>
    <row r="6034" spans="1:6" x14ac:dyDescent="0.25">
      <c r="A6034">
        <v>8887</v>
      </c>
      <c r="B6034" s="15">
        <v>45059</v>
      </c>
      <c r="C6034" s="133"/>
      <c r="D6034" s="133"/>
      <c r="E6034" s="3"/>
      <c r="F6034">
        <v>588</v>
      </c>
    </row>
    <row r="6035" spans="1:6" x14ac:dyDescent="0.25">
      <c r="A6035">
        <v>8887</v>
      </c>
      <c r="B6035" s="15">
        <v>45060</v>
      </c>
      <c r="C6035" s="133"/>
      <c r="D6035" s="133"/>
      <c r="E6035" s="3"/>
      <c r="F6035">
        <v>589</v>
      </c>
    </row>
    <row r="6036" spans="1:6" x14ac:dyDescent="0.25">
      <c r="A6036">
        <v>8887</v>
      </c>
      <c r="B6036" s="15">
        <v>45061</v>
      </c>
      <c r="C6036" s="110"/>
      <c r="D6036" s="110"/>
      <c r="E6036" s="3"/>
      <c r="F6036">
        <v>590</v>
      </c>
    </row>
    <row r="6037" spans="1:6" x14ac:dyDescent="0.25">
      <c r="A6037">
        <v>8887</v>
      </c>
      <c r="B6037" s="15">
        <v>45062</v>
      </c>
      <c r="C6037" s="127"/>
      <c r="D6037" s="127"/>
      <c r="E6037" s="3"/>
      <c r="F6037">
        <v>591</v>
      </c>
    </row>
    <row r="6038" spans="1:6" x14ac:dyDescent="0.25">
      <c r="A6038">
        <v>8887</v>
      </c>
      <c r="B6038" s="15">
        <v>45063</v>
      </c>
      <c r="C6038" s="110"/>
      <c r="D6038" s="110"/>
      <c r="E6038" s="3"/>
      <c r="F6038">
        <v>592</v>
      </c>
    </row>
    <row r="6039" spans="1:6" x14ac:dyDescent="0.25">
      <c r="A6039">
        <v>8887</v>
      </c>
      <c r="B6039" s="15">
        <v>45064</v>
      </c>
      <c r="C6039" s="147"/>
      <c r="D6039" s="147"/>
      <c r="E6039" s="3"/>
      <c r="F6039">
        <v>593</v>
      </c>
    </row>
    <row r="6040" spans="1:6" x14ac:dyDescent="0.25">
      <c r="A6040">
        <v>8887</v>
      </c>
      <c r="B6040" s="15">
        <v>45065</v>
      </c>
      <c r="C6040" s="104" t="s">
        <v>2</v>
      </c>
      <c r="D6040" s="104" t="s">
        <v>2</v>
      </c>
      <c r="E6040" s="3"/>
      <c r="F6040">
        <v>594</v>
      </c>
    </row>
    <row r="6041" spans="1:6" x14ac:dyDescent="0.25">
      <c r="A6041">
        <v>8887</v>
      </c>
      <c r="B6041" s="15">
        <v>45066</v>
      </c>
      <c r="C6041" s="133"/>
      <c r="D6041" s="133"/>
      <c r="E6041" s="3"/>
      <c r="F6041">
        <v>595</v>
      </c>
    </row>
    <row r="6042" spans="1:6" x14ac:dyDescent="0.25">
      <c r="A6042">
        <v>8887</v>
      </c>
      <c r="B6042" s="15">
        <v>45067</v>
      </c>
      <c r="C6042" s="133"/>
      <c r="D6042" s="133"/>
      <c r="E6042" s="3"/>
      <c r="F6042">
        <v>596</v>
      </c>
    </row>
    <row r="6043" spans="1:6" x14ac:dyDescent="0.25">
      <c r="A6043">
        <v>8887</v>
      </c>
      <c r="B6043" s="15">
        <v>45068</v>
      </c>
      <c r="C6043" s="110"/>
      <c r="D6043" s="110"/>
      <c r="E6043" s="3"/>
      <c r="F6043">
        <v>597</v>
      </c>
    </row>
    <row r="6044" spans="1:6" x14ac:dyDescent="0.25">
      <c r="A6044">
        <v>8887</v>
      </c>
      <c r="B6044" s="15">
        <v>45069</v>
      </c>
      <c r="C6044" s="110"/>
      <c r="D6044" s="110"/>
      <c r="E6044" s="3"/>
      <c r="F6044">
        <v>598</v>
      </c>
    </row>
    <row r="6045" spans="1:6" x14ac:dyDescent="0.25">
      <c r="A6045">
        <v>8887</v>
      </c>
      <c r="B6045" s="15">
        <v>45070</v>
      </c>
      <c r="C6045" s="110"/>
      <c r="D6045" s="110"/>
      <c r="E6045" s="3"/>
      <c r="F6045">
        <v>599</v>
      </c>
    </row>
    <row r="6046" spans="1:6" x14ac:dyDescent="0.25">
      <c r="A6046">
        <v>8887</v>
      </c>
      <c r="B6046" s="15">
        <v>45071</v>
      </c>
      <c r="C6046" s="110"/>
      <c r="D6046" s="110"/>
      <c r="E6046" s="3"/>
      <c r="F6046">
        <v>600</v>
      </c>
    </row>
    <row r="6047" spans="1:6" x14ac:dyDescent="0.25">
      <c r="A6047">
        <v>8887</v>
      </c>
      <c r="B6047" s="15">
        <v>45072</v>
      </c>
      <c r="C6047" s="110"/>
      <c r="D6047" s="110"/>
      <c r="E6047" s="3"/>
      <c r="F6047">
        <v>601</v>
      </c>
    </row>
    <row r="6048" spans="1:6" x14ac:dyDescent="0.25">
      <c r="A6048">
        <v>8887</v>
      </c>
      <c r="B6048" s="15">
        <v>45073</v>
      </c>
      <c r="C6048" s="133"/>
      <c r="D6048" s="133"/>
      <c r="E6048" s="3"/>
      <c r="F6048">
        <v>602</v>
      </c>
    </row>
    <row r="6049" spans="1:6" x14ac:dyDescent="0.25">
      <c r="A6049">
        <v>8887</v>
      </c>
      <c r="B6049" s="15">
        <v>45074</v>
      </c>
      <c r="C6049" s="133"/>
      <c r="D6049" s="133"/>
      <c r="E6049" s="3"/>
      <c r="F6049">
        <v>603</v>
      </c>
    </row>
    <row r="6050" spans="1:6" x14ac:dyDescent="0.25">
      <c r="A6050">
        <v>8887</v>
      </c>
      <c r="B6050" s="15">
        <v>45075</v>
      </c>
      <c r="C6050" s="147"/>
      <c r="D6050" s="147"/>
      <c r="E6050" s="3"/>
      <c r="F6050">
        <v>604</v>
      </c>
    </row>
    <row r="6051" spans="1:6" x14ac:dyDescent="0.25">
      <c r="A6051">
        <v>8887</v>
      </c>
      <c r="B6051" s="15">
        <v>45076</v>
      </c>
      <c r="C6051" s="104" t="s">
        <v>2</v>
      </c>
      <c r="D6051" s="104" t="s">
        <v>2</v>
      </c>
      <c r="E6051" s="3"/>
      <c r="F6051">
        <v>605</v>
      </c>
    </row>
    <row r="6052" spans="1:6" x14ac:dyDescent="0.25">
      <c r="A6052">
        <v>8887</v>
      </c>
      <c r="B6052" s="15">
        <v>45077</v>
      </c>
      <c r="C6052" s="104" t="s">
        <v>2</v>
      </c>
      <c r="D6052" s="104" t="s">
        <v>2</v>
      </c>
      <c r="E6052" s="3"/>
      <c r="F6052">
        <v>606</v>
      </c>
    </row>
    <row r="6053" spans="1:6" x14ac:dyDescent="0.25">
      <c r="A6053">
        <v>8887</v>
      </c>
      <c r="B6053" s="15">
        <v>45078</v>
      </c>
      <c r="C6053" s="104" t="s">
        <v>2</v>
      </c>
      <c r="D6053" s="104" t="s">
        <v>2</v>
      </c>
      <c r="E6053" s="3"/>
      <c r="F6053">
        <v>607</v>
      </c>
    </row>
    <row r="6054" spans="1:6" x14ac:dyDescent="0.25">
      <c r="A6054">
        <v>8887</v>
      </c>
      <c r="B6054" s="15">
        <v>45079</v>
      </c>
      <c r="C6054" s="104" t="s">
        <v>2</v>
      </c>
      <c r="D6054" s="104" t="s">
        <v>2</v>
      </c>
      <c r="E6054" s="3"/>
      <c r="F6054">
        <v>608</v>
      </c>
    </row>
    <row r="6055" spans="1:6" x14ac:dyDescent="0.25">
      <c r="A6055">
        <v>8887</v>
      </c>
      <c r="B6055" s="15">
        <v>45080</v>
      </c>
      <c r="C6055" s="133"/>
      <c r="D6055" s="133"/>
      <c r="E6055" s="3"/>
      <c r="F6055">
        <v>609</v>
      </c>
    </row>
    <row r="6056" spans="1:6" x14ac:dyDescent="0.25">
      <c r="A6056">
        <v>8887</v>
      </c>
      <c r="B6056" s="15">
        <v>45081</v>
      </c>
      <c r="C6056" s="133"/>
      <c r="D6056" s="133"/>
      <c r="E6056" s="3"/>
      <c r="F6056">
        <v>610</v>
      </c>
    </row>
    <row r="6057" spans="1:6" x14ac:dyDescent="0.25">
      <c r="A6057">
        <v>8887</v>
      </c>
      <c r="B6057" s="15">
        <v>45082</v>
      </c>
      <c r="C6057" s="110"/>
      <c r="D6057" s="110"/>
      <c r="E6057" s="3"/>
      <c r="F6057">
        <v>611</v>
      </c>
    </row>
    <row r="6058" spans="1:6" x14ac:dyDescent="0.25">
      <c r="A6058">
        <v>8887</v>
      </c>
      <c r="B6058" s="15">
        <v>45083</v>
      </c>
      <c r="C6058" s="110"/>
      <c r="D6058" s="110"/>
      <c r="E6058" s="3"/>
      <c r="F6058">
        <v>612</v>
      </c>
    </row>
    <row r="6059" spans="1:6" x14ac:dyDescent="0.25">
      <c r="A6059">
        <v>8887</v>
      </c>
      <c r="B6059" s="15">
        <v>45084</v>
      </c>
      <c r="C6059" s="110"/>
      <c r="D6059" s="110"/>
      <c r="E6059" s="3"/>
      <c r="F6059">
        <v>613</v>
      </c>
    </row>
    <row r="6060" spans="1:6" x14ac:dyDescent="0.25">
      <c r="A6060">
        <v>8887</v>
      </c>
      <c r="B6060" s="15">
        <v>45085</v>
      </c>
      <c r="C6060" s="110"/>
      <c r="D6060" s="110"/>
      <c r="E6060" s="3"/>
      <c r="F6060">
        <v>614</v>
      </c>
    </row>
    <row r="6061" spans="1:6" x14ac:dyDescent="0.25">
      <c r="A6061">
        <v>8887</v>
      </c>
      <c r="B6061" s="15">
        <v>45086</v>
      </c>
      <c r="C6061" s="110"/>
      <c r="D6061" s="110"/>
      <c r="E6061" s="3"/>
      <c r="F6061">
        <v>615</v>
      </c>
    </row>
    <row r="6062" spans="1:6" x14ac:dyDescent="0.25">
      <c r="A6062">
        <v>8887</v>
      </c>
      <c r="B6062" s="15">
        <v>45087</v>
      </c>
      <c r="C6062" s="133"/>
      <c r="D6062" s="133"/>
      <c r="E6062" s="3"/>
      <c r="F6062">
        <v>616</v>
      </c>
    </row>
    <row r="6063" spans="1:6" x14ac:dyDescent="0.25">
      <c r="A6063">
        <v>8887</v>
      </c>
      <c r="B6063" s="15">
        <v>45088</v>
      </c>
      <c r="C6063" s="133"/>
      <c r="D6063" s="133"/>
      <c r="E6063" s="3"/>
      <c r="F6063">
        <v>617</v>
      </c>
    </row>
    <row r="6064" spans="1:6" x14ac:dyDescent="0.25">
      <c r="A6064">
        <v>8887</v>
      </c>
      <c r="B6064" s="15">
        <v>45089</v>
      </c>
      <c r="C6064" s="110"/>
      <c r="D6064" s="110"/>
      <c r="E6064" s="3"/>
      <c r="F6064">
        <v>618</v>
      </c>
    </row>
    <row r="6065" spans="1:6" x14ac:dyDescent="0.25">
      <c r="A6065">
        <v>8887</v>
      </c>
      <c r="B6065" s="15">
        <v>45090</v>
      </c>
      <c r="C6065" s="127"/>
      <c r="D6065" s="127"/>
      <c r="E6065" s="3"/>
      <c r="F6065">
        <v>619</v>
      </c>
    </row>
    <row r="6066" spans="1:6" x14ac:dyDescent="0.25">
      <c r="A6066">
        <v>8887</v>
      </c>
      <c r="B6066" s="15">
        <v>45091</v>
      </c>
      <c r="C6066" s="110"/>
      <c r="D6066" s="110"/>
      <c r="E6066" s="3"/>
      <c r="F6066">
        <v>620</v>
      </c>
    </row>
    <row r="6067" spans="1:6" x14ac:dyDescent="0.25">
      <c r="A6067">
        <v>8887</v>
      </c>
      <c r="B6067" s="15">
        <v>45092</v>
      </c>
      <c r="C6067" s="110"/>
      <c r="D6067" s="110"/>
      <c r="E6067" s="3"/>
      <c r="F6067">
        <v>621</v>
      </c>
    </row>
    <row r="6068" spans="1:6" x14ac:dyDescent="0.25">
      <c r="A6068">
        <v>8887</v>
      </c>
      <c r="B6068" s="15">
        <v>45093</v>
      </c>
      <c r="C6068" s="110"/>
      <c r="D6068" s="110"/>
      <c r="E6068" s="3"/>
      <c r="F6068">
        <v>622</v>
      </c>
    </row>
    <row r="6069" spans="1:6" x14ac:dyDescent="0.25">
      <c r="A6069">
        <v>8887</v>
      </c>
      <c r="B6069" s="15">
        <v>45094</v>
      </c>
      <c r="C6069" s="133"/>
      <c r="D6069" s="133"/>
      <c r="E6069" s="3"/>
      <c r="F6069">
        <v>623</v>
      </c>
    </row>
    <row r="6070" spans="1:6" x14ac:dyDescent="0.25">
      <c r="A6070">
        <v>8887</v>
      </c>
      <c r="B6070" s="15">
        <v>45095</v>
      </c>
      <c r="C6070" s="133"/>
      <c r="D6070" s="133"/>
      <c r="E6070" s="3"/>
      <c r="F6070">
        <v>624</v>
      </c>
    </row>
    <row r="6071" spans="1:6" x14ac:dyDescent="0.25">
      <c r="A6071">
        <v>8887</v>
      </c>
      <c r="B6071" s="15">
        <v>45096</v>
      </c>
      <c r="C6071" s="110"/>
      <c r="D6071" s="110"/>
      <c r="E6071" s="3"/>
      <c r="F6071">
        <v>625</v>
      </c>
    </row>
    <row r="6072" spans="1:6" x14ac:dyDescent="0.25">
      <c r="A6072">
        <v>8887</v>
      </c>
      <c r="B6072" s="15">
        <v>45097</v>
      </c>
      <c r="C6072" s="110" t="s">
        <v>280</v>
      </c>
      <c r="D6072" s="110" t="s">
        <v>157</v>
      </c>
      <c r="E6072" s="3"/>
      <c r="F6072">
        <v>626</v>
      </c>
    </row>
    <row r="6073" spans="1:6" x14ac:dyDescent="0.25">
      <c r="A6073">
        <v>8887</v>
      </c>
      <c r="B6073" s="15">
        <v>45098</v>
      </c>
      <c r="C6073" s="110" t="s">
        <v>157</v>
      </c>
      <c r="D6073" s="110" t="s">
        <v>157</v>
      </c>
      <c r="E6073" s="3"/>
      <c r="F6073">
        <v>627</v>
      </c>
    </row>
    <row r="6074" spans="1:6" x14ac:dyDescent="0.25">
      <c r="A6074">
        <v>8887</v>
      </c>
      <c r="B6074" s="15">
        <v>45099</v>
      </c>
      <c r="C6074" s="110" t="s">
        <v>157</v>
      </c>
      <c r="D6074" s="110" t="s">
        <v>157</v>
      </c>
      <c r="E6074" s="3"/>
      <c r="F6074">
        <v>628</v>
      </c>
    </row>
    <row r="6075" spans="1:6" x14ac:dyDescent="0.25">
      <c r="A6075">
        <v>8887</v>
      </c>
      <c r="B6075" s="15">
        <v>45100</v>
      </c>
      <c r="C6075" s="110"/>
      <c r="D6075" s="110"/>
      <c r="E6075" s="3"/>
      <c r="F6075">
        <v>629</v>
      </c>
    </row>
    <row r="6076" spans="1:6" x14ac:dyDescent="0.25">
      <c r="A6076">
        <v>8887</v>
      </c>
      <c r="B6076" s="15">
        <v>45101</v>
      </c>
      <c r="C6076" s="133"/>
      <c r="D6076" s="133"/>
      <c r="E6076" s="3"/>
      <c r="F6076">
        <v>630</v>
      </c>
    </row>
    <row r="6077" spans="1:6" x14ac:dyDescent="0.25">
      <c r="A6077">
        <v>8887</v>
      </c>
      <c r="B6077" s="15">
        <v>45102</v>
      </c>
      <c r="C6077" s="133"/>
      <c r="D6077" s="133"/>
      <c r="E6077" s="3"/>
      <c r="F6077">
        <v>631</v>
      </c>
    </row>
    <row r="6078" spans="1:6" x14ac:dyDescent="0.25">
      <c r="A6078">
        <v>8887</v>
      </c>
      <c r="B6078" s="15">
        <v>45103</v>
      </c>
      <c r="C6078" s="110"/>
      <c r="D6078" s="110"/>
      <c r="E6078" s="3"/>
      <c r="F6078">
        <v>632</v>
      </c>
    </row>
    <row r="6079" spans="1:6" x14ac:dyDescent="0.25">
      <c r="A6079">
        <v>8887</v>
      </c>
      <c r="B6079" s="15">
        <v>45104</v>
      </c>
      <c r="C6079" s="110"/>
      <c r="D6079" s="110"/>
      <c r="E6079" s="3"/>
      <c r="F6079">
        <v>633</v>
      </c>
    </row>
    <row r="6080" spans="1:6" x14ac:dyDescent="0.25">
      <c r="A6080">
        <v>8887</v>
      </c>
      <c r="B6080" s="15">
        <v>45105</v>
      </c>
      <c r="C6080" s="110" t="s">
        <v>157</v>
      </c>
      <c r="D6080" s="110" t="s">
        <v>157</v>
      </c>
      <c r="E6080" s="3"/>
      <c r="F6080">
        <v>634</v>
      </c>
    </row>
    <row r="6081" spans="1:6" x14ac:dyDescent="0.25">
      <c r="A6081">
        <v>8887</v>
      </c>
      <c r="B6081" s="15">
        <v>45106</v>
      </c>
      <c r="C6081" s="110"/>
      <c r="D6081" s="110"/>
      <c r="E6081" s="3"/>
      <c r="F6081">
        <v>635</v>
      </c>
    </row>
    <row r="6082" spans="1:6" x14ac:dyDescent="0.25">
      <c r="A6082">
        <v>8887</v>
      </c>
      <c r="B6082" s="15">
        <v>45107</v>
      </c>
      <c r="C6082" s="110"/>
      <c r="D6082" s="110"/>
      <c r="E6082" s="3"/>
      <c r="F6082">
        <v>636</v>
      </c>
    </row>
    <row r="6083" spans="1:6" x14ac:dyDescent="0.25">
      <c r="A6083">
        <v>8887</v>
      </c>
      <c r="B6083" s="15">
        <v>45108</v>
      </c>
      <c r="C6083" s="133"/>
      <c r="D6083" s="133"/>
      <c r="E6083" s="3"/>
      <c r="F6083">
        <v>637</v>
      </c>
    </row>
    <row r="6084" spans="1:6" x14ac:dyDescent="0.25">
      <c r="A6084">
        <v>8887</v>
      </c>
      <c r="B6084" s="15">
        <v>45109</v>
      </c>
      <c r="C6084" s="133"/>
      <c r="D6084" s="133"/>
      <c r="E6084" s="3"/>
      <c r="F6084">
        <v>638</v>
      </c>
    </row>
    <row r="6085" spans="1:6" x14ac:dyDescent="0.25">
      <c r="A6085">
        <v>8887</v>
      </c>
      <c r="B6085" s="15">
        <v>45110</v>
      </c>
      <c r="C6085" s="110"/>
      <c r="D6085" s="110"/>
      <c r="E6085" s="3"/>
      <c r="F6085">
        <v>639</v>
      </c>
    </row>
    <row r="6086" spans="1:6" x14ac:dyDescent="0.25">
      <c r="A6086">
        <v>8887</v>
      </c>
      <c r="B6086" s="15">
        <v>45111</v>
      </c>
      <c r="C6086" s="110"/>
      <c r="D6086" s="110"/>
      <c r="E6086" s="3"/>
      <c r="F6086">
        <v>640</v>
      </c>
    </row>
    <row r="6087" spans="1:6" x14ac:dyDescent="0.25">
      <c r="A6087">
        <v>8887</v>
      </c>
      <c r="B6087" s="15">
        <v>45112</v>
      </c>
      <c r="C6087" s="110"/>
      <c r="D6087" s="110"/>
      <c r="E6087" s="3"/>
      <c r="F6087">
        <v>641</v>
      </c>
    </row>
    <row r="6088" spans="1:6" x14ac:dyDescent="0.25">
      <c r="A6088">
        <v>8887</v>
      </c>
      <c r="B6088" s="15">
        <v>45113</v>
      </c>
      <c r="C6088" s="110"/>
      <c r="D6088" s="110"/>
      <c r="E6088" s="3"/>
      <c r="F6088">
        <v>642</v>
      </c>
    </row>
    <row r="6089" spans="1:6" x14ac:dyDescent="0.25">
      <c r="A6089">
        <v>8887</v>
      </c>
      <c r="B6089" s="15">
        <v>45114</v>
      </c>
      <c r="C6089" s="104" t="s">
        <v>2</v>
      </c>
      <c r="D6089" s="104" t="s">
        <v>2</v>
      </c>
      <c r="E6089" s="3"/>
      <c r="F6089">
        <v>643</v>
      </c>
    </row>
    <row r="6090" spans="1:6" x14ac:dyDescent="0.25">
      <c r="A6090">
        <v>8887</v>
      </c>
      <c r="B6090" s="15">
        <v>45115</v>
      </c>
      <c r="C6090" s="133"/>
      <c r="D6090" s="133"/>
      <c r="E6090" s="3"/>
      <c r="F6090">
        <v>644</v>
      </c>
    </row>
    <row r="6091" spans="1:6" x14ac:dyDescent="0.25">
      <c r="A6091">
        <v>8887</v>
      </c>
      <c r="B6091" s="15">
        <v>45116</v>
      </c>
      <c r="C6091" s="133"/>
      <c r="D6091" s="133"/>
      <c r="E6091" s="3"/>
      <c r="F6091">
        <v>645</v>
      </c>
    </row>
    <row r="6092" spans="1:6" x14ac:dyDescent="0.25">
      <c r="A6092">
        <v>8887</v>
      </c>
      <c r="B6092" s="15">
        <v>45117</v>
      </c>
      <c r="C6092" s="110"/>
      <c r="D6092" s="110"/>
      <c r="E6092" s="3"/>
      <c r="F6092">
        <v>646</v>
      </c>
    </row>
    <row r="6093" spans="1:6" x14ac:dyDescent="0.25">
      <c r="A6093">
        <v>8887</v>
      </c>
      <c r="B6093" s="15">
        <v>45118</v>
      </c>
      <c r="C6093" s="127"/>
      <c r="D6093" s="127"/>
      <c r="E6093" s="3"/>
      <c r="F6093">
        <v>647</v>
      </c>
    </row>
    <row r="6094" spans="1:6" x14ac:dyDescent="0.25">
      <c r="A6094">
        <v>8887</v>
      </c>
      <c r="B6094" s="15">
        <v>45119</v>
      </c>
      <c r="C6094" s="110"/>
      <c r="D6094" s="110"/>
      <c r="E6094" s="3"/>
      <c r="F6094">
        <v>648</v>
      </c>
    </row>
    <row r="6095" spans="1:6" x14ac:dyDescent="0.25">
      <c r="A6095">
        <v>8887</v>
      </c>
      <c r="B6095" s="15">
        <v>45120</v>
      </c>
      <c r="C6095" s="110" t="s">
        <v>157</v>
      </c>
      <c r="D6095" s="110" t="s">
        <v>157</v>
      </c>
      <c r="E6095" s="3"/>
      <c r="F6095">
        <v>649</v>
      </c>
    </row>
    <row r="6096" spans="1:6" x14ac:dyDescent="0.25">
      <c r="A6096">
        <v>8887</v>
      </c>
      <c r="B6096" s="15">
        <v>45121</v>
      </c>
      <c r="C6096" s="133"/>
      <c r="D6096" s="133"/>
      <c r="E6096" s="3"/>
      <c r="F6096">
        <v>650</v>
      </c>
    </row>
    <row r="6097" spans="1:6" x14ac:dyDescent="0.25">
      <c r="A6097">
        <v>8887</v>
      </c>
      <c r="B6097" s="15">
        <v>45122</v>
      </c>
      <c r="C6097" s="133"/>
      <c r="D6097" s="133"/>
      <c r="E6097" s="3"/>
      <c r="F6097">
        <v>651</v>
      </c>
    </row>
    <row r="6098" spans="1:6" x14ac:dyDescent="0.25">
      <c r="A6098">
        <v>8887</v>
      </c>
      <c r="B6098" s="15">
        <v>45123</v>
      </c>
      <c r="C6098" s="133"/>
      <c r="D6098" s="133"/>
      <c r="E6098" s="3"/>
      <c r="F6098">
        <v>652</v>
      </c>
    </row>
    <row r="6099" spans="1:6" x14ac:dyDescent="0.25">
      <c r="A6099">
        <v>8887</v>
      </c>
      <c r="B6099" s="15">
        <v>45124</v>
      </c>
      <c r="C6099" s="114" t="s">
        <v>1</v>
      </c>
      <c r="D6099" s="114" t="s">
        <v>1</v>
      </c>
      <c r="E6099" s="3"/>
      <c r="F6099">
        <v>653</v>
      </c>
    </row>
    <row r="6100" spans="1:6" x14ac:dyDescent="0.25">
      <c r="A6100">
        <v>8887</v>
      </c>
      <c r="B6100" s="15">
        <v>45125</v>
      </c>
      <c r="C6100" s="114" t="s">
        <v>1</v>
      </c>
      <c r="D6100" s="114" t="s">
        <v>1</v>
      </c>
      <c r="E6100" s="3"/>
      <c r="F6100">
        <v>654</v>
      </c>
    </row>
    <row r="6101" spans="1:6" x14ac:dyDescent="0.25">
      <c r="A6101">
        <v>8887</v>
      </c>
      <c r="B6101" s="15">
        <v>45126</v>
      </c>
      <c r="C6101" s="114" t="s">
        <v>1</v>
      </c>
      <c r="D6101" s="114" t="s">
        <v>1</v>
      </c>
      <c r="E6101" s="3"/>
      <c r="F6101">
        <v>655</v>
      </c>
    </row>
    <row r="6102" spans="1:6" x14ac:dyDescent="0.25">
      <c r="A6102">
        <v>8887</v>
      </c>
      <c r="B6102" s="15">
        <v>45127</v>
      </c>
      <c r="C6102" s="114" t="s">
        <v>1</v>
      </c>
      <c r="D6102" s="114" t="s">
        <v>1</v>
      </c>
      <c r="E6102" s="3"/>
      <c r="F6102">
        <v>656</v>
      </c>
    </row>
    <row r="6103" spans="1:6" x14ac:dyDescent="0.25">
      <c r="A6103">
        <v>8887</v>
      </c>
      <c r="B6103" s="15">
        <v>45128</v>
      </c>
      <c r="C6103" s="114" t="s">
        <v>1</v>
      </c>
      <c r="D6103" s="114" t="s">
        <v>1</v>
      </c>
      <c r="E6103" s="3"/>
      <c r="F6103">
        <v>657</v>
      </c>
    </row>
    <row r="6104" spans="1:6" x14ac:dyDescent="0.25">
      <c r="A6104">
        <v>8887</v>
      </c>
      <c r="B6104" s="15">
        <v>45129</v>
      </c>
      <c r="C6104" s="133"/>
      <c r="D6104" s="133"/>
      <c r="E6104" s="3"/>
      <c r="F6104">
        <v>658</v>
      </c>
    </row>
    <row r="6105" spans="1:6" x14ac:dyDescent="0.25">
      <c r="A6105">
        <v>8887</v>
      </c>
      <c r="B6105" s="15">
        <v>45130</v>
      </c>
      <c r="C6105" s="133"/>
      <c r="D6105" s="133"/>
      <c r="E6105" s="3"/>
      <c r="F6105">
        <v>659</v>
      </c>
    </row>
    <row r="6106" spans="1:6" x14ac:dyDescent="0.25">
      <c r="A6106">
        <v>8887</v>
      </c>
      <c r="B6106" s="15">
        <v>45131</v>
      </c>
      <c r="C6106" s="114" t="s">
        <v>1</v>
      </c>
      <c r="D6106" s="114" t="s">
        <v>1</v>
      </c>
      <c r="E6106" s="3"/>
      <c r="F6106">
        <v>660</v>
      </c>
    </row>
    <row r="6107" spans="1:6" x14ac:dyDescent="0.25">
      <c r="A6107">
        <v>8887</v>
      </c>
      <c r="B6107" s="15">
        <v>45132</v>
      </c>
      <c r="C6107" s="114" t="s">
        <v>1</v>
      </c>
      <c r="D6107" s="114" t="s">
        <v>1</v>
      </c>
      <c r="E6107" s="3"/>
      <c r="F6107">
        <v>661</v>
      </c>
    </row>
    <row r="6108" spans="1:6" x14ac:dyDescent="0.25">
      <c r="A6108">
        <v>8887</v>
      </c>
      <c r="B6108" s="15">
        <v>45133</v>
      </c>
      <c r="C6108" s="114" t="s">
        <v>1</v>
      </c>
      <c r="D6108" s="114" t="s">
        <v>1</v>
      </c>
      <c r="E6108" s="3"/>
      <c r="F6108">
        <v>662</v>
      </c>
    </row>
    <row r="6109" spans="1:6" x14ac:dyDescent="0.25">
      <c r="A6109">
        <v>8887</v>
      </c>
      <c r="B6109" s="15">
        <v>45134</v>
      </c>
      <c r="C6109" s="114" t="s">
        <v>1</v>
      </c>
      <c r="D6109" s="114" t="s">
        <v>1</v>
      </c>
      <c r="E6109" s="3"/>
      <c r="F6109">
        <v>663</v>
      </c>
    </row>
    <row r="6110" spans="1:6" x14ac:dyDescent="0.25">
      <c r="A6110">
        <v>8887</v>
      </c>
      <c r="B6110" s="15">
        <v>45135</v>
      </c>
      <c r="C6110" s="114" t="s">
        <v>1</v>
      </c>
      <c r="D6110" s="114" t="s">
        <v>1</v>
      </c>
      <c r="E6110" s="3"/>
      <c r="F6110">
        <v>664</v>
      </c>
    </row>
    <row r="6111" spans="1:6" x14ac:dyDescent="0.25">
      <c r="A6111">
        <v>8887</v>
      </c>
      <c r="B6111" s="15">
        <v>45136</v>
      </c>
      <c r="C6111" s="133"/>
      <c r="D6111" s="133"/>
      <c r="E6111" s="3"/>
      <c r="F6111">
        <v>665</v>
      </c>
    </row>
    <row r="6112" spans="1:6" x14ac:dyDescent="0.25">
      <c r="A6112">
        <v>8887</v>
      </c>
      <c r="B6112" s="15">
        <v>45137</v>
      </c>
      <c r="C6112" s="133"/>
      <c r="D6112" s="133"/>
      <c r="E6112" s="3"/>
      <c r="F6112">
        <v>666</v>
      </c>
    </row>
    <row r="6113" spans="1:6" x14ac:dyDescent="0.25">
      <c r="A6113">
        <v>8887</v>
      </c>
      <c r="B6113" s="15">
        <v>45138</v>
      </c>
      <c r="C6113" s="114" t="s">
        <v>1</v>
      </c>
      <c r="D6113" s="114" t="s">
        <v>1</v>
      </c>
      <c r="E6113" s="3"/>
      <c r="F6113">
        <v>667</v>
      </c>
    </row>
    <row r="6114" spans="1:6" x14ac:dyDescent="0.25">
      <c r="A6114">
        <v>8887</v>
      </c>
      <c r="B6114" s="15">
        <v>45139</v>
      </c>
      <c r="C6114" s="114" t="s">
        <v>1</v>
      </c>
      <c r="D6114" s="114" t="s">
        <v>1</v>
      </c>
      <c r="E6114" s="3"/>
      <c r="F6114">
        <v>668</v>
      </c>
    </row>
    <row r="6115" spans="1:6" x14ac:dyDescent="0.25">
      <c r="A6115">
        <v>8887</v>
      </c>
      <c r="B6115" s="15">
        <v>45140</v>
      </c>
      <c r="C6115" s="114" t="s">
        <v>1</v>
      </c>
      <c r="D6115" s="114" t="s">
        <v>1</v>
      </c>
      <c r="E6115" s="3"/>
      <c r="F6115">
        <v>669</v>
      </c>
    </row>
    <row r="6116" spans="1:6" x14ac:dyDescent="0.25">
      <c r="A6116">
        <v>8887</v>
      </c>
      <c r="B6116" s="15">
        <v>45141</v>
      </c>
      <c r="C6116" s="114" t="s">
        <v>1</v>
      </c>
      <c r="D6116" s="114" t="s">
        <v>1</v>
      </c>
      <c r="E6116" s="3"/>
      <c r="F6116">
        <v>670</v>
      </c>
    </row>
    <row r="6117" spans="1:6" x14ac:dyDescent="0.25">
      <c r="A6117">
        <v>8887</v>
      </c>
      <c r="B6117" s="15">
        <v>45142</v>
      </c>
      <c r="C6117" s="114" t="s">
        <v>1</v>
      </c>
      <c r="D6117" s="114" t="s">
        <v>1</v>
      </c>
      <c r="E6117" s="3"/>
      <c r="F6117">
        <v>671</v>
      </c>
    </row>
    <row r="6118" spans="1:6" x14ac:dyDescent="0.25">
      <c r="A6118">
        <v>8887</v>
      </c>
      <c r="B6118" s="15">
        <v>45143</v>
      </c>
      <c r="C6118" s="133"/>
      <c r="D6118" s="133"/>
      <c r="E6118" s="3"/>
      <c r="F6118">
        <v>672</v>
      </c>
    </row>
    <row r="6119" spans="1:6" x14ac:dyDescent="0.25">
      <c r="A6119">
        <v>8887</v>
      </c>
      <c r="B6119" s="15">
        <v>45144</v>
      </c>
      <c r="C6119" s="133"/>
      <c r="D6119" s="133"/>
      <c r="E6119" s="3"/>
      <c r="F6119">
        <v>673</v>
      </c>
    </row>
    <row r="6120" spans="1:6" x14ac:dyDescent="0.25">
      <c r="A6120">
        <v>8887</v>
      </c>
      <c r="B6120" s="15">
        <v>45145</v>
      </c>
      <c r="C6120" s="114" t="s">
        <v>1</v>
      </c>
      <c r="D6120" s="114" t="s">
        <v>1</v>
      </c>
      <c r="E6120" s="3"/>
      <c r="F6120">
        <v>674</v>
      </c>
    </row>
    <row r="6121" spans="1:6" x14ac:dyDescent="0.25">
      <c r="A6121">
        <v>8887</v>
      </c>
      <c r="B6121" s="15">
        <v>45146</v>
      </c>
      <c r="C6121" s="114" t="s">
        <v>1</v>
      </c>
      <c r="D6121" s="114" t="s">
        <v>1</v>
      </c>
      <c r="E6121" s="3"/>
      <c r="F6121">
        <v>675</v>
      </c>
    </row>
    <row r="6122" spans="1:6" x14ac:dyDescent="0.25">
      <c r="A6122">
        <v>8887</v>
      </c>
      <c r="B6122" s="15">
        <v>45147</v>
      </c>
      <c r="C6122" s="114" t="s">
        <v>1</v>
      </c>
      <c r="D6122" s="114" t="s">
        <v>1</v>
      </c>
      <c r="E6122" s="3"/>
      <c r="F6122">
        <v>676</v>
      </c>
    </row>
    <row r="6123" spans="1:6" x14ac:dyDescent="0.25">
      <c r="A6123">
        <v>8887</v>
      </c>
      <c r="B6123" s="15">
        <v>45148</v>
      </c>
      <c r="C6123" s="114" t="s">
        <v>1</v>
      </c>
      <c r="D6123" s="114" t="s">
        <v>1</v>
      </c>
      <c r="E6123" s="3"/>
      <c r="F6123">
        <v>677</v>
      </c>
    </row>
    <row r="6124" spans="1:6" x14ac:dyDescent="0.25">
      <c r="A6124">
        <v>8887</v>
      </c>
      <c r="B6124" s="15">
        <v>45149</v>
      </c>
      <c r="C6124" s="114" t="s">
        <v>1</v>
      </c>
      <c r="D6124" s="114" t="s">
        <v>1</v>
      </c>
      <c r="E6124" s="3"/>
      <c r="F6124">
        <v>678</v>
      </c>
    </row>
    <row r="6125" spans="1:6" x14ac:dyDescent="0.25">
      <c r="A6125">
        <v>8887</v>
      </c>
      <c r="B6125" s="15">
        <v>45150</v>
      </c>
      <c r="C6125" s="133"/>
      <c r="D6125" s="133"/>
      <c r="E6125" s="3"/>
      <c r="F6125">
        <v>679</v>
      </c>
    </row>
    <row r="6126" spans="1:6" x14ac:dyDescent="0.25">
      <c r="A6126">
        <v>8887</v>
      </c>
      <c r="B6126" s="15">
        <v>45151</v>
      </c>
      <c r="C6126" s="133"/>
      <c r="D6126" s="133"/>
      <c r="E6126" s="3"/>
      <c r="F6126">
        <v>680</v>
      </c>
    </row>
    <row r="6127" spans="1:6" x14ac:dyDescent="0.25">
      <c r="A6127">
        <v>8887</v>
      </c>
      <c r="B6127" s="15">
        <v>45152</v>
      </c>
      <c r="C6127" s="114" t="s">
        <v>1</v>
      </c>
      <c r="D6127" s="114" t="s">
        <v>1</v>
      </c>
      <c r="E6127" s="3"/>
      <c r="F6127">
        <v>681</v>
      </c>
    </row>
    <row r="6128" spans="1:6" x14ac:dyDescent="0.25">
      <c r="A6128">
        <v>8887</v>
      </c>
      <c r="B6128" s="15">
        <v>45153</v>
      </c>
      <c r="C6128" s="114" t="s">
        <v>1</v>
      </c>
      <c r="D6128" s="114" t="s">
        <v>1</v>
      </c>
      <c r="E6128" s="3"/>
      <c r="F6128">
        <v>682</v>
      </c>
    </row>
    <row r="6129" spans="1:6" x14ac:dyDescent="0.25">
      <c r="A6129">
        <v>8887</v>
      </c>
      <c r="B6129" s="15">
        <v>45154</v>
      </c>
      <c r="C6129" s="114" t="s">
        <v>1</v>
      </c>
      <c r="D6129" s="114" t="s">
        <v>1</v>
      </c>
      <c r="E6129" s="3"/>
      <c r="F6129">
        <v>683</v>
      </c>
    </row>
    <row r="6130" spans="1:6" x14ac:dyDescent="0.25">
      <c r="A6130">
        <v>8887</v>
      </c>
      <c r="B6130" s="15">
        <v>45155</v>
      </c>
      <c r="C6130" s="114" t="s">
        <v>1</v>
      </c>
      <c r="D6130" s="114" t="s">
        <v>1</v>
      </c>
      <c r="E6130" s="3"/>
      <c r="F6130">
        <v>684</v>
      </c>
    </row>
    <row r="6131" spans="1:6" x14ac:dyDescent="0.25">
      <c r="A6131">
        <v>8887</v>
      </c>
      <c r="B6131" s="15">
        <v>45156</v>
      </c>
      <c r="C6131" s="114" t="s">
        <v>1</v>
      </c>
      <c r="D6131" s="114" t="s">
        <v>1</v>
      </c>
      <c r="E6131" s="3"/>
      <c r="F6131">
        <v>685</v>
      </c>
    </row>
    <row r="6132" spans="1:6" x14ac:dyDescent="0.25">
      <c r="A6132">
        <v>8887</v>
      </c>
      <c r="B6132" s="15">
        <v>45157</v>
      </c>
      <c r="C6132" s="133"/>
      <c r="D6132" s="133"/>
      <c r="E6132" s="3"/>
      <c r="F6132">
        <v>686</v>
      </c>
    </row>
    <row r="6133" spans="1:6" x14ac:dyDescent="0.25">
      <c r="A6133">
        <v>8887</v>
      </c>
      <c r="B6133" s="15">
        <v>45158</v>
      </c>
      <c r="C6133" s="133"/>
      <c r="D6133" s="133"/>
      <c r="E6133" s="3"/>
      <c r="F6133">
        <v>687</v>
      </c>
    </row>
    <row r="6134" spans="1:6" x14ac:dyDescent="0.25">
      <c r="A6134">
        <v>8887</v>
      </c>
      <c r="B6134" s="15">
        <v>45159</v>
      </c>
      <c r="C6134" s="114" t="s">
        <v>1</v>
      </c>
      <c r="D6134" s="114" t="s">
        <v>1</v>
      </c>
      <c r="E6134" s="3"/>
      <c r="F6134">
        <v>688</v>
      </c>
    </row>
    <row r="6135" spans="1:6" x14ac:dyDescent="0.25">
      <c r="A6135">
        <v>8887</v>
      </c>
      <c r="B6135" s="15">
        <v>45160</v>
      </c>
      <c r="C6135" s="114" t="s">
        <v>1</v>
      </c>
      <c r="D6135" s="114" t="s">
        <v>1</v>
      </c>
      <c r="E6135" s="3"/>
      <c r="F6135">
        <v>689</v>
      </c>
    </row>
    <row r="6136" spans="1:6" x14ac:dyDescent="0.25">
      <c r="A6136">
        <v>8887</v>
      </c>
      <c r="B6136" s="15">
        <v>45161</v>
      </c>
      <c r="C6136" s="114" t="s">
        <v>1</v>
      </c>
      <c r="D6136" s="114" t="s">
        <v>1</v>
      </c>
      <c r="E6136" s="3"/>
      <c r="F6136">
        <v>690</v>
      </c>
    </row>
    <row r="6137" spans="1:6" x14ac:dyDescent="0.25">
      <c r="A6137">
        <v>8887</v>
      </c>
      <c r="B6137" s="15">
        <v>45162</v>
      </c>
      <c r="C6137" s="114" t="s">
        <v>1</v>
      </c>
      <c r="D6137" s="114" t="s">
        <v>1</v>
      </c>
      <c r="E6137" s="3"/>
      <c r="F6137">
        <v>691</v>
      </c>
    </row>
    <row r="6138" spans="1:6" x14ac:dyDescent="0.25">
      <c r="A6138">
        <v>8887</v>
      </c>
      <c r="B6138" s="15">
        <v>45163</v>
      </c>
      <c r="C6138" s="114" t="s">
        <v>1</v>
      </c>
      <c r="D6138" s="114" t="s">
        <v>1</v>
      </c>
      <c r="E6138" s="3"/>
      <c r="F6138">
        <v>692</v>
      </c>
    </row>
    <row r="6139" spans="1:6" x14ac:dyDescent="0.25">
      <c r="A6139">
        <v>8887</v>
      </c>
      <c r="B6139" s="15">
        <v>45164</v>
      </c>
      <c r="C6139" s="133"/>
      <c r="D6139" s="133"/>
      <c r="E6139" s="3"/>
      <c r="F6139">
        <v>693</v>
      </c>
    </row>
    <row r="6140" spans="1:6" x14ac:dyDescent="0.25">
      <c r="A6140">
        <v>8887</v>
      </c>
      <c r="B6140" s="15">
        <v>45165</v>
      </c>
      <c r="C6140" s="133"/>
      <c r="D6140" s="133"/>
      <c r="E6140" s="3"/>
      <c r="F6140">
        <v>694</v>
      </c>
    </row>
    <row r="6141" spans="1:6" x14ac:dyDescent="0.25">
      <c r="A6141">
        <v>8887</v>
      </c>
      <c r="B6141" s="15">
        <v>45166</v>
      </c>
      <c r="C6141" s="114" t="s">
        <v>1</v>
      </c>
      <c r="D6141" s="114" t="s">
        <v>1</v>
      </c>
      <c r="E6141" s="3"/>
      <c r="F6141">
        <v>695</v>
      </c>
    </row>
    <row r="6142" spans="1:6" x14ac:dyDescent="0.25">
      <c r="A6142">
        <v>8887</v>
      </c>
      <c r="B6142" s="15">
        <v>45167</v>
      </c>
      <c r="C6142" s="114" t="s">
        <v>1</v>
      </c>
      <c r="D6142" s="114" t="s">
        <v>1</v>
      </c>
      <c r="E6142" s="3"/>
      <c r="F6142">
        <v>696</v>
      </c>
    </row>
    <row r="6143" spans="1:6" x14ac:dyDescent="0.25">
      <c r="A6143">
        <v>8887</v>
      </c>
      <c r="B6143" s="15">
        <v>45168</v>
      </c>
      <c r="C6143" s="114" t="s">
        <v>1</v>
      </c>
      <c r="D6143" s="114" t="s">
        <v>1</v>
      </c>
      <c r="E6143" s="3"/>
      <c r="F6143">
        <v>697</v>
      </c>
    </row>
    <row r="6144" spans="1:6" x14ac:dyDescent="0.25">
      <c r="A6144">
        <v>8887</v>
      </c>
      <c r="B6144" s="15">
        <v>45169</v>
      </c>
      <c r="C6144" s="114" t="s">
        <v>1</v>
      </c>
      <c r="D6144" s="114" t="s">
        <v>1</v>
      </c>
      <c r="E6144" s="3"/>
      <c r="F6144">
        <v>698</v>
      </c>
    </row>
    <row r="6145" spans="1:6" x14ac:dyDescent="0.25">
      <c r="A6145">
        <v>8887</v>
      </c>
      <c r="B6145" s="15">
        <v>45170</v>
      </c>
      <c r="C6145" s="114" t="s">
        <v>1</v>
      </c>
      <c r="D6145" s="114" t="s">
        <v>1</v>
      </c>
      <c r="E6145" s="3"/>
      <c r="F6145">
        <v>699</v>
      </c>
    </row>
    <row r="6146" spans="1:6" x14ac:dyDescent="0.25">
      <c r="A6146">
        <v>8887</v>
      </c>
      <c r="B6146" s="15">
        <v>45171</v>
      </c>
      <c r="C6146" s="133"/>
      <c r="D6146" s="133"/>
      <c r="E6146" s="3"/>
      <c r="F6146">
        <v>700</v>
      </c>
    </row>
    <row r="6147" spans="1:6" x14ac:dyDescent="0.25">
      <c r="A6147">
        <v>8887</v>
      </c>
      <c r="B6147" s="15">
        <v>45172</v>
      </c>
      <c r="C6147" s="133"/>
      <c r="D6147" s="133"/>
      <c r="E6147" s="3"/>
      <c r="F6147">
        <v>701</v>
      </c>
    </row>
    <row r="6148" spans="1:6" x14ac:dyDescent="0.25">
      <c r="A6148">
        <v>8887</v>
      </c>
      <c r="B6148" s="15">
        <v>45173</v>
      </c>
      <c r="C6148" s="114" t="s">
        <v>1</v>
      </c>
      <c r="D6148" s="114" t="s">
        <v>1</v>
      </c>
      <c r="E6148" s="3"/>
      <c r="F6148">
        <v>702</v>
      </c>
    </row>
    <row r="6149" spans="1:6" x14ac:dyDescent="0.25">
      <c r="A6149">
        <v>8887</v>
      </c>
      <c r="B6149" s="15">
        <v>45174</v>
      </c>
      <c r="C6149" s="114" t="s">
        <v>1</v>
      </c>
      <c r="D6149" s="114" t="s">
        <v>1</v>
      </c>
      <c r="E6149" s="3"/>
      <c r="F6149">
        <v>703</v>
      </c>
    </row>
    <row r="6150" spans="1:6" x14ac:dyDescent="0.25">
      <c r="A6150">
        <v>8887</v>
      </c>
      <c r="B6150" s="15">
        <v>45175</v>
      </c>
      <c r="C6150" s="114" t="s">
        <v>1</v>
      </c>
      <c r="D6150" s="114" t="s">
        <v>1</v>
      </c>
      <c r="E6150" s="3"/>
      <c r="F6150">
        <v>704</v>
      </c>
    </row>
    <row r="6151" spans="1:6" x14ac:dyDescent="0.25">
      <c r="A6151">
        <v>8887</v>
      </c>
      <c r="B6151" s="15">
        <v>45176</v>
      </c>
      <c r="C6151" s="114" t="s">
        <v>1</v>
      </c>
      <c r="D6151" s="114" t="s">
        <v>1</v>
      </c>
      <c r="E6151" s="3"/>
      <c r="F6151">
        <v>705</v>
      </c>
    </row>
    <row r="6152" spans="1:6" x14ac:dyDescent="0.25">
      <c r="A6152">
        <v>8887</v>
      </c>
      <c r="B6152" s="15">
        <v>45177</v>
      </c>
      <c r="C6152" s="114" t="s">
        <v>1</v>
      </c>
      <c r="D6152" s="114" t="s">
        <v>1</v>
      </c>
      <c r="E6152" s="3"/>
      <c r="F6152">
        <v>706</v>
      </c>
    </row>
    <row r="6153" spans="1:6" x14ac:dyDescent="0.25">
      <c r="A6153">
        <v>8887</v>
      </c>
      <c r="B6153" s="15">
        <v>45178</v>
      </c>
      <c r="C6153" s="133"/>
      <c r="D6153" s="133"/>
      <c r="E6153" s="3"/>
      <c r="F6153">
        <v>707</v>
      </c>
    </row>
    <row r="6154" spans="1:6" x14ac:dyDescent="0.25">
      <c r="A6154">
        <v>8887</v>
      </c>
      <c r="B6154" s="15">
        <v>45179</v>
      </c>
      <c r="C6154" s="133"/>
      <c r="D6154" s="133"/>
      <c r="E6154" s="3"/>
      <c r="F6154">
        <v>708</v>
      </c>
    </row>
    <row r="6155" spans="1:6" x14ac:dyDescent="0.25">
      <c r="A6155">
        <v>8887</v>
      </c>
      <c r="B6155" s="15">
        <v>45180</v>
      </c>
      <c r="C6155" s="114" t="s">
        <v>1</v>
      </c>
      <c r="D6155" s="114" t="s">
        <v>1</v>
      </c>
      <c r="E6155" s="3"/>
      <c r="F6155">
        <v>709</v>
      </c>
    </row>
    <row r="6156" spans="1:6" x14ac:dyDescent="0.25">
      <c r="A6156">
        <v>8887</v>
      </c>
      <c r="B6156" s="15">
        <v>45181</v>
      </c>
      <c r="C6156" s="114" t="s">
        <v>1</v>
      </c>
      <c r="D6156" s="114" t="s">
        <v>1</v>
      </c>
      <c r="E6156" s="3"/>
      <c r="F6156">
        <v>710</v>
      </c>
    </row>
    <row r="6157" spans="1:6" x14ac:dyDescent="0.25">
      <c r="A6157">
        <v>8887</v>
      </c>
      <c r="B6157" s="15">
        <v>45182</v>
      </c>
      <c r="C6157" s="114" t="s">
        <v>1</v>
      </c>
      <c r="D6157" s="114" t="s">
        <v>1</v>
      </c>
      <c r="E6157" s="3"/>
      <c r="F6157">
        <v>711</v>
      </c>
    </row>
    <row r="6158" spans="1:6" x14ac:dyDescent="0.25">
      <c r="A6158">
        <v>8887</v>
      </c>
      <c r="B6158" s="15">
        <v>45183</v>
      </c>
      <c r="C6158" s="114" t="s">
        <v>1</v>
      </c>
      <c r="D6158" s="114" t="s">
        <v>1</v>
      </c>
      <c r="E6158" s="3"/>
      <c r="F6158">
        <v>712</v>
      </c>
    </row>
    <row r="6159" spans="1:6" x14ac:dyDescent="0.25">
      <c r="A6159">
        <v>8887</v>
      </c>
      <c r="B6159" s="15">
        <v>45184</v>
      </c>
      <c r="C6159" s="114" t="s">
        <v>1</v>
      </c>
      <c r="D6159" s="114" t="s">
        <v>1</v>
      </c>
      <c r="E6159" s="3"/>
      <c r="F6159">
        <v>713</v>
      </c>
    </row>
    <row r="6160" spans="1:6" x14ac:dyDescent="0.25">
      <c r="A6160">
        <v>8887</v>
      </c>
      <c r="B6160" s="15">
        <v>45185</v>
      </c>
      <c r="C6160" s="133"/>
      <c r="D6160" s="133"/>
      <c r="E6160" s="3"/>
      <c r="F6160">
        <v>714</v>
      </c>
    </row>
    <row r="6161" spans="1:6" x14ac:dyDescent="0.25">
      <c r="A6161">
        <v>8887</v>
      </c>
      <c r="B6161" s="15">
        <v>45186</v>
      </c>
      <c r="C6161" s="133"/>
      <c r="D6161" s="133"/>
      <c r="E6161" s="3"/>
      <c r="F6161">
        <v>715</v>
      </c>
    </row>
    <row r="6162" spans="1:6" x14ac:dyDescent="0.25">
      <c r="A6162">
        <v>8887</v>
      </c>
      <c r="B6162" s="15">
        <v>45187</v>
      </c>
      <c r="C6162" s="114" t="s">
        <v>1</v>
      </c>
      <c r="D6162" s="114" t="s">
        <v>1</v>
      </c>
      <c r="E6162" s="3"/>
      <c r="F6162">
        <v>716</v>
      </c>
    </row>
    <row r="6163" spans="1:6" x14ac:dyDescent="0.25">
      <c r="A6163">
        <v>8887</v>
      </c>
      <c r="B6163" s="15">
        <v>45188</v>
      </c>
      <c r="C6163" s="114" t="s">
        <v>1</v>
      </c>
      <c r="D6163" s="114" t="s">
        <v>1</v>
      </c>
      <c r="E6163" s="3"/>
      <c r="F6163">
        <v>717</v>
      </c>
    </row>
    <row r="6164" spans="1:6" x14ac:dyDescent="0.25">
      <c r="A6164">
        <v>8887</v>
      </c>
      <c r="B6164" s="15">
        <v>45189</v>
      </c>
      <c r="C6164" s="114" t="s">
        <v>1</v>
      </c>
      <c r="D6164" s="114" t="s">
        <v>1</v>
      </c>
      <c r="E6164" s="3"/>
      <c r="F6164">
        <v>718</v>
      </c>
    </row>
    <row r="6165" spans="1:6" x14ac:dyDescent="0.25">
      <c r="A6165">
        <v>8887</v>
      </c>
      <c r="B6165" s="15">
        <v>45190</v>
      </c>
      <c r="C6165" s="114" t="s">
        <v>1</v>
      </c>
      <c r="D6165" s="114" t="s">
        <v>1</v>
      </c>
      <c r="E6165" s="3"/>
      <c r="F6165">
        <v>719</v>
      </c>
    </row>
    <row r="6166" spans="1:6" x14ac:dyDescent="0.25">
      <c r="A6166">
        <v>8887</v>
      </c>
      <c r="B6166" s="15">
        <v>45191</v>
      </c>
      <c r="C6166" s="114" t="s">
        <v>1</v>
      </c>
      <c r="D6166" s="114" t="s">
        <v>1</v>
      </c>
      <c r="E6166" s="3"/>
      <c r="F6166">
        <v>720</v>
      </c>
    </row>
    <row r="6167" spans="1:6" x14ac:dyDescent="0.25">
      <c r="A6167">
        <v>8887</v>
      </c>
      <c r="B6167" s="15">
        <v>45192</v>
      </c>
      <c r="C6167" s="133"/>
      <c r="D6167" s="133"/>
      <c r="E6167" s="3"/>
      <c r="F6167">
        <v>721</v>
      </c>
    </row>
    <row r="6168" spans="1:6" x14ac:dyDescent="0.25">
      <c r="A6168">
        <v>8887</v>
      </c>
      <c r="B6168" s="15">
        <v>45193</v>
      </c>
      <c r="C6168" s="133"/>
      <c r="D6168" s="133"/>
      <c r="E6168" s="3"/>
      <c r="F6168">
        <v>722</v>
      </c>
    </row>
    <row r="6169" spans="1:6" x14ac:dyDescent="0.25">
      <c r="A6169">
        <v>8887</v>
      </c>
      <c r="B6169" s="15">
        <v>45194</v>
      </c>
      <c r="C6169" s="114" t="s">
        <v>1</v>
      </c>
      <c r="D6169" s="114" t="s">
        <v>1</v>
      </c>
      <c r="E6169" s="3"/>
      <c r="F6169">
        <v>723</v>
      </c>
    </row>
    <row r="6170" spans="1:6" x14ac:dyDescent="0.25">
      <c r="A6170">
        <v>8887</v>
      </c>
      <c r="B6170" s="15">
        <v>45195</v>
      </c>
      <c r="C6170" s="114" t="s">
        <v>1</v>
      </c>
      <c r="D6170" s="114" t="s">
        <v>1</v>
      </c>
      <c r="E6170" s="3"/>
      <c r="F6170">
        <v>724</v>
      </c>
    </row>
    <row r="6171" spans="1:6" x14ac:dyDescent="0.25">
      <c r="A6171">
        <v>8887</v>
      </c>
      <c r="B6171" s="15">
        <v>45196</v>
      </c>
      <c r="C6171" s="114" t="s">
        <v>1</v>
      </c>
      <c r="D6171" s="114" t="s">
        <v>1</v>
      </c>
      <c r="E6171" s="3"/>
      <c r="F6171">
        <v>725</v>
      </c>
    </row>
    <row r="6172" spans="1:6" x14ac:dyDescent="0.25">
      <c r="A6172">
        <v>8887</v>
      </c>
      <c r="B6172" s="15">
        <v>45197</v>
      </c>
      <c r="C6172" s="114" t="s">
        <v>1</v>
      </c>
      <c r="D6172" s="114" t="s">
        <v>1</v>
      </c>
      <c r="E6172" s="3"/>
      <c r="F6172">
        <v>726</v>
      </c>
    </row>
    <row r="6173" spans="1:6" x14ac:dyDescent="0.25">
      <c r="A6173">
        <v>8887</v>
      </c>
      <c r="B6173" s="15">
        <v>45198</v>
      </c>
      <c r="C6173" s="114" t="s">
        <v>1</v>
      </c>
      <c r="D6173" s="114" t="s">
        <v>1</v>
      </c>
      <c r="E6173" s="3"/>
      <c r="F6173">
        <v>727</v>
      </c>
    </row>
    <row r="6174" spans="1:6" x14ac:dyDescent="0.25">
      <c r="A6174">
        <v>8887</v>
      </c>
      <c r="B6174" s="15">
        <v>45199</v>
      </c>
      <c r="C6174" s="133"/>
      <c r="D6174" s="133"/>
      <c r="E6174" s="3"/>
      <c r="F6174">
        <v>728</v>
      </c>
    </row>
    <row r="6175" spans="1:6" x14ac:dyDescent="0.25">
      <c r="A6175">
        <v>8887</v>
      </c>
      <c r="B6175" s="15">
        <v>45200</v>
      </c>
      <c r="C6175" s="133"/>
      <c r="D6175" s="133"/>
      <c r="E6175" s="3"/>
      <c r="F6175">
        <v>729</v>
      </c>
    </row>
    <row r="6176" spans="1:6" x14ac:dyDescent="0.25">
      <c r="A6176">
        <v>8887</v>
      </c>
      <c r="B6176" s="15">
        <v>45201</v>
      </c>
      <c r="C6176" s="114" t="s">
        <v>1</v>
      </c>
      <c r="D6176" s="114" t="s">
        <v>1</v>
      </c>
      <c r="E6176" s="3"/>
      <c r="F6176">
        <v>730</v>
      </c>
    </row>
    <row r="6177" spans="1:6" x14ac:dyDescent="0.25">
      <c r="A6177">
        <v>8887</v>
      </c>
      <c r="B6177" s="15">
        <v>45202</v>
      </c>
      <c r="C6177" s="114" t="s">
        <v>1</v>
      </c>
      <c r="D6177" s="114" t="s">
        <v>1</v>
      </c>
      <c r="E6177" s="3"/>
      <c r="F6177">
        <v>731</v>
      </c>
    </row>
    <row r="6178" spans="1:6" x14ac:dyDescent="0.25">
      <c r="A6178">
        <v>8887</v>
      </c>
      <c r="B6178" s="15">
        <v>45203</v>
      </c>
      <c r="C6178" s="114" t="s">
        <v>1</v>
      </c>
      <c r="D6178" s="114" t="s">
        <v>1</v>
      </c>
      <c r="E6178" s="3"/>
      <c r="F6178">
        <v>732</v>
      </c>
    </row>
    <row r="6179" spans="1:6" x14ac:dyDescent="0.25">
      <c r="A6179">
        <v>8887</v>
      </c>
      <c r="B6179" s="15">
        <v>45204</v>
      </c>
      <c r="C6179" s="114" t="s">
        <v>1</v>
      </c>
      <c r="D6179" s="114" t="s">
        <v>1</v>
      </c>
      <c r="E6179" s="3"/>
      <c r="F6179">
        <v>733</v>
      </c>
    </row>
    <row r="6180" spans="1:6" x14ac:dyDescent="0.25">
      <c r="A6180">
        <v>8887</v>
      </c>
      <c r="B6180" s="15">
        <v>45205</v>
      </c>
      <c r="C6180" s="114" t="s">
        <v>1</v>
      </c>
      <c r="D6180" s="114" t="s">
        <v>1</v>
      </c>
      <c r="E6180" s="3"/>
      <c r="F6180">
        <v>734</v>
      </c>
    </row>
    <row r="6181" spans="1:6" x14ac:dyDescent="0.25">
      <c r="A6181">
        <v>8887</v>
      </c>
      <c r="B6181" s="15">
        <v>45206</v>
      </c>
      <c r="C6181" s="133"/>
      <c r="D6181" s="133"/>
      <c r="E6181" s="3"/>
      <c r="F6181">
        <v>735</v>
      </c>
    </row>
    <row r="6182" spans="1:6" x14ac:dyDescent="0.25">
      <c r="A6182">
        <v>8887</v>
      </c>
      <c r="B6182" s="15">
        <v>45207</v>
      </c>
      <c r="C6182" s="133"/>
      <c r="D6182" s="133"/>
      <c r="E6182" s="3"/>
      <c r="F6182">
        <v>736</v>
      </c>
    </row>
    <row r="6183" spans="1:6" x14ac:dyDescent="0.25">
      <c r="A6183">
        <v>8887</v>
      </c>
      <c r="B6183" s="15">
        <v>45208</v>
      </c>
      <c r="C6183" s="114" t="s">
        <v>1</v>
      </c>
      <c r="D6183" s="114" t="s">
        <v>1</v>
      </c>
      <c r="E6183" s="3"/>
      <c r="F6183">
        <v>737</v>
      </c>
    </row>
    <row r="6184" spans="1:6" x14ac:dyDescent="0.25">
      <c r="A6184">
        <v>8887</v>
      </c>
      <c r="B6184" s="15">
        <v>45209</v>
      </c>
      <c r="C6184" s="114" t="s">
        <v>1</v>
      </c>
      <c r="D6184" s="114" t="s">
        <v>1</v>
      </c>
      <c r="E6184" s="3"/>
      <c r="F6184">
        <v>738</v>
      </c>
    </row>
    <row r="6185" spans="1:6" x14ac:dyDescent="0.25">
      <c r="A6185">
        <v>8887</v>
      </c>
      <c r="B6185" s="15">
        <v>45210</v>
      </c>
      <c r="C6185" s="114" t="s">
        <v>1</v>
      </c>
      <c r="D6185" s="114" t="s">
        <v>1</v>
      </c>
      <c r="E6185" s="3"/>
      <c r="F6185">
        <v>739</v>
      </c>
    </row>
    <row r="6186" spans="1:6" x14ac:dyDescent="0.25">
      <c r="A6186">
        <v>8887</v>
      </c>
      <c r="B6186" s="15">
        <v>45211</v>
      </c>
      <c r="C6186" s="114" t="s">
        <v>1</v>
      </c>
      <c r="D6186" s="114" t="s">
        <v>1</v>
      </c>
      <c r="E6186" s="3"/>
      <c r="F6186">
        <v>740</v>
      </c>
    </row>
    <row r="6187" spans="1:6" x14ac:dyDescent="0.25">
      <c r="A6187">
        <v>8887</v>
      </c>
      <c r="B6187" s="15">
        <v>45212</v>
      </c>
      <c r="C6187" s="114" t="s">
        <v>1</v>
      </c>
      <c r="D6187" s="114" t="s">
        <v>1</v>
      </c>
      <c r="E6187" s="3"/>
      <c r="F6187">
        <v>741</v>
      </c>
    </row>
    <row r="6188" spans="1:6" x14ac:dyDescent="0.25">
      <c r="A6188">
        <v>8887</v>
      </c>
      <c r="B6188" s="15">
        <v>45213</v>
      </c>
      <c r="C6188" s="133"/>
      <c r="D6188" s="133"/>
      <c r="E6188" s="3"/>
      <c r="F6188">
        <v>742</v>
      </c>
    </row>
    <row r="6189" spans="1:6" x14ac:dyDescent="0.25">
      <c r="A6189">
        <v>8887</v>
      </c>
      <c r="B6189" s="15">
        <v>45214</v>
      </c>
      <c r="C6189" s="133"/>
      <c r="D6189" s="133"/>
      <c r="E6189" s="3"/>
      <c r="F6189">
        <v>743</v>
      </c>
    </row>
    <row r="6190" spans="1:6" x14ac:dyDescent="0.25">
      <c r="A6190">
        <v>8887</v>
      </c>
      <c r="B6190" s="15">
        <v>45215</v>
      </c>
      <c r="C6190" s="114" t="s">
        <v>1</v>
      </c>
      <c r="D6190" s="114" t="s">
        <v>1</v>
      </c>
      <c r="E6190" s="3"/>
      <c r="F6190">
        <v>744</v>
      </c>
    </row>
    <row r="6191" spans="1:6" x14ac:dyDescent="0.25">
      <c r="A6191">
        <v>8887</v>
      </c>
      <c r="B6191" s="15">
        <v>45216</v>
      </c>
      <c r="C6191" s="114" t="s">
        <v>1</v>
      </c>
      <c r="D6191" s="114" t="s">
        <v>1</v>
      </c>
      <c r="E6191" s="3"/>
      <c r="F6191">
        <v>745</v>
      </c>
    </row>
    <row r="6192" spans="1:6" x14ac:dyDescent="0.25">
      <c r="A6192">
        <v>8887</v>
      </c>
      <c r="B6192" s="15">
        <v>45217</v>
      </c>
      <c r="C6192" s="114" t="s">
        <v>1</v>
      </c>
      <c r="D6192" s="114" t="s">
        <v>1</v>
      </c>
      <c r="E6192" s="3"/>
      <c r="F6192">
        <v>746</v>
      </c>
    </row>
    <row r="6193" spans="1:6" x14ac:dyDescent="0.25">
      <c r="A6193">
        <v>8887</v>
      </c>
      <c r="B6193" s="15">
        <v>45218</v>
      </c>
      <c r="C6193" s="114" t="s">
        <v>1</v>
      </c>
      <c r="D6193" s="114" t="s">
        <v>1</v>
      </c>
      <c r="E6193" s="3"/>
      <c r="F6193">
        <v>747</v>
      </c>
    </row>
    <row r="6194" spans="1:6" x14ac:dyDescent="0.25">
      <c r="A6194">
        <v>8887</v>
      </c>
      <c r="B6194" s="15">
        <v>45219</v>
      </c>
      <c r="C6194" s="114" t="s">
        <v>1</v>
      </c>
      <c r="D6194" s="114" t="s">
        <v>1</v>
      </c>
      <c r="E6194" s="3"/>
      <c r="F6194">
        <v>748</v>
      </c>
    </row>
    <row r="6195" spans="1:6" x14ac:dyDescent="0.25">
      <c r="A6195">
        <v>8887</v>
      </c>
      <c r="B6195" s="15">
        <v>45220</v>
      </c>
      <c r="C6195" s="133"/>
      <c r="D6195" s="133"/>
      <c r="E6195" s="3"/>
      <c r="F6195">
        <v>749</v>
      </c>
    </row>
    <row r="6196" spans="1:6" x14ac:dyDescent="0.25">
      <c r="A6196">
        <v>8887</v>
      </c>
      <c r="B6196" s="15">
        <v>45221</v>
      </c>
      <c r="C6196" s="133"/>
      <c r="D6196" s="133"/>
      <c r="E6196" s="3"/>
      <c r="F6196">
        <v>750</v>
      </c>
    </row>
    <row r="6197" spans="1:6" x14ac:dyDescent="0.25">
      <c r="A6197">
        <v>8887</v>
      </c>
      <c r="B6197" s="15">
        <v>45222</v>
      </c>
      <c r="C6197" s="114" t="s">
        <v>1</v>
      </c>
      <c r="D6197" s="114" t="s">
        <v>1</v>
      </c>
      <c r="E6197" s="3"/>
      <c r="F6197">
        <v>751</v>
      </c>
    </row>
    <row r="6198" spans="1:6" x14ac:dyDescent="0.25">
      <c r="A6198">
        <v>8887</v>
      </c>
      <c r="B6198" s="15">
        <v>45223</v>
      </c>
      <c r="C6198" s="114" t="s">
        <v>1</v>
      </c>
      <c r="D6198" s="114" t="s">
        <v>1</v>
      </c>
      <c r="E6198" s="3"/>
      <c r="F6198">
        <v>752</v>
      </c>
    </row>
    <row r="6199" spans="1:6" x14ac:dyDescent="0.25">
      <c r="A6199">
        <v>8887</v>
      </c>
      <c r="B6199" s="15">
        <v>45224</v>
      </c>
      <c r="C6199" s="114" t="s">
        <v>1</v>
      </c>
      <c r="D6199" s="114" t="s">
        <v>1</v>
      </c>
      <c r="E6199" s="3"/>
      <c r="F6199">
        <v>753</v>
      </c>
    </row>
    <row r="6200" spans="1:6" x14ac:dyDescent="0.25">
      <c r="A6200">
        <v>8887</v>
      </c>
      <c r="B6200" s="15">
        <v>45225</v>
      </c>
      <c r="C6200" s="114" t="s">
        <v>1</v>
      </c>
      <c r="D6200" s="114" t="s">
        <v>1</v>
      </c>
      <c r="E6200" s="3"/>
      <c r="F6200">
        <v>754</v>
      </c>
    </row>
    <row r="6201" spans="1:6" x14ac:dyDescent="0.25">
      <c r="A6201">
        <v>8887</v>
      </c>
      <c r="B6201" s="15">
        <v>45226</v>
      </c>
      <c r="C6201" s="114" t="s">
        <v>1</v>
      </c>
      <c r="D6201" s="114" t="s">
        <v>1</v>
      </c>
      <c r="E6201" s="3"/>
      <c r="F6201">
        <v>755</v>
      </c>
    </row>
    <row r="6202" spans="1:6" x14ac:dyDescent="0.25">
      <c r="A6202">
        <v>8887</v>
      </c>
      <c r="B6202" s="15">
        <v>45227</v>
      </c>
      <c r="C6202" s="133"/>
      <c r="D6202" s="133"/>
      <c r="E6202" s="3"/>
      <c r="F6202">
        <v>756</v>
      </c>
    </row>
    <row r="6203" spans="1:6" x14ac:dyDescent="0.25">
      <c r="A6203">
        <v>8887</v>
      </c>
      <c r="B6203" s="15">
        <v>45228</v>
      </c>
      <c r="C6203" s="133"/>
      <c r="D6203" s="133"/>
      <c r="E6203" s="3"/>
      <c r="F6203">
        <v>757</v>
      </c>
    </row>
    <row r="6204" spans="1:6" x14ac:dyDescent="0.25">
      <c r="A6204">
        <v>8887</v>
      </c>
      <c r="B6204" s="15">
        <v>45229</v>
      </c>
      <c r="C6204" s="114" t="s">
        <v>1</v>
      </c>
      <c r="D6204" s="114" t="s">
        <v>1</v>
      </c>
      <c r="E6204" s="3"/>
      <c r="F6204">
        <v>758</v>
      </c>
    </row>
    <row r="6205" spans="1:6" x14ac:dyDescent="0.25">
      <c r="A6205">
        <v>8887</v>
      </c>
      <c r="B6205" s="15">
        <v>45230</v>
      </c>
      <c r="C6205" s="114" t="s">
        <v>1</v>
      </c>
      <c r="D6205" s="114" t="s">
        <v>1</v>
      </c>
      <c r="E6205" s="3"/>
      <c r="F6205">
        <v>759</v>
      </c>
    </row>
    <row r="6206" spans="1:6" x14ac:dyDescent="0.25">
      <c r="A6206">
        <v>8887</v>
      </c>
      <c r="B6206" s="15">
        <v>45231</v>
      </c>
      <c r="C6206" s="147"/>
      <c r="D6206" s="147"/>
      <c r="E6206" s="3"/>
      <c r="F6206">
        <v>760</v>
      </c>
    </row>
    <row r="6207" spans="1:6" x14ac:dyDescent="0.25">
      <c r="A6207">
        <v>8887</v>
      </c>
      <c r="B6207" s="15">
        <v>45232</v>
      </c>
      <c r="C6207" s="114" t="s">
        <v>1</v>
      </c>
      <c r="D6207" s="114" t="s">
        <v>1</v>
      </c>
      <c r="E6207" s="3"/>
      <c r="F6207">
        <v>761</v>
      </c>
    </row>
    <row r="6208" spans="1:6" x14ac:dyDescent="0.25">
      <c r="A6208">
        <v>8887</v>
      </c>
      <c r="B6208" s="15">
        <v>45233</v>
      </c>
      <c r="C6208" s="114" t="s">
        <v>1</v>
      </c>
      <c r="D6208" s="114" t="s">
        <v>1</v>
      </c>
      <c r="E6208" s="3"/>
      <c r="F6208">
        <v>762</v>
      </c>
    </row>
    <row r="6209" spans="1:6" x14ac:dyDescent="0.25">
      <c r="A6209">
        <v>8887</v>
      </c>
      <c r="B6209" s="15">
        <v>45234</v>
      </c>
      <c r="C6209" s="133"/>
      <c r="D6209" s="133"/>
      <c r="E6209" s="3"/>
      <c r="F6209">
        <v>763</v>
      </c>
    </row>
    <row r="6210" spans="1:6" x14ac:dyDescent="0.25">
      <c r="A6210">
        <v>8887</v>
      </c>
      <c r="B6210" s="15">
        <v>45235</v>
      </c>
      <c r="C6210" s="133"/>
      <c r="D6210" s="133"/>
      <c r="E6210" s="3"/>
      <c r="F6210">
        <v>764</v>
      </c>
    </row>
    <row r="6211" spans="1:6" x14ac:dyDescent="0.25">
      <c r="A6211">
        <v>8887</v>
      </c>
      <c r="B6211" s="15">
        <v>45236</v>
      </c>
      <c r="C6211" s="114" t="s">
        <v>1</v>
      </c>
      <c r="D6211" s="114" t="s">
        <v>1</v>
      </c>
      <c r="E6211" s="3"/>
      <c r="F6211">
        <v>765</v>
      </c>
    </row>
    <row r="6212" spans="1:6" x14ac:dyDescent="0.25">
      <c r="A6212">
        <v>8887</v>
      </c>
      <c r="B6212" s="15">
        <v>45237</v>
      </c>
      <c r="C6212" s="114" t="s">
        <v>1</v>
      </c>
      <c r="D6212" s="114" t="s">
        <v>1</v>
      </c>
      <c r="E6212" s="3"/>
      <c r="F6212">
        <v>766</v>
      </c>
    </row>
    <row r="6213" spans="1:6" x14ac:dyDescent="0.25">
      <c r="A6213">
        <v>8887</v>
      </c>
      <c r="B6213" s="15">
        <v>45238</v>
      </c>
      <c r="C6213" s="114" t="s">
        <v>1</v>
      </c>
      <c r="D6213" s="114" t="s">
        <v>1</v>
      </c>
      <c r="E6213" s="3"/>
      <c r="F6213">
        <v>767</v>
      </c>
    </row>
    <row r="6214" spans="1:6" x14ac:dyDescent="0.25">
      <c r="A6214">
        <v>8887</v>
      </c>
      <c r="B6214" s="15">
        <v>45239</v>
      </c>
      <c r="C6214" s="114" t="s">
        <v>1</v>
      </c>
      <c r="D6214" s="114" t="s">
        <v>1</v>
      </c>
      <c r="E6214" s="3"/>
      <c r="F6214">
        <v>768</v>
      </c>
    </row>
    <row r="6215" spans="1:6" x14ac:dyDescent="0.25">
      <c r="A6215">
        <v>8887</v>
      </c>
      <c r="B6215" s="15">
        <v>45240</v>
      </c>
      <c r="C6215" s="114" t="s">
        <v>1</v>
      </c>
      <c r="D6215" s="114" t="s">
        <v>1</v>
      </c>
      <c r="E6215" s="3"/>
      <c r="F6215">
        <v>769</v>
      </c>
    </row>
    <row r="6216" spans="1:6" x14ac:dyDescent="0.25">
      <c r="A6216">
        <v>8887</v>
      </c>
      <c r="B6216" s="15">
        <v>45241</v>
      </c>
      <c r="C6216" s="133"/>
      <c r="D6216" s="133"/>
      <c r="E6216" s="3"/>
      <c r="F6216">
        <v>770</v>
      </c>
    </row>
    <row r="6217" spans="1:6" x14ac:dyDescent="0.25">
      <c r="A6217">
        <v>8887</v>
      </c>
      <c r="B6217" s="15">
        <v>45242</v>
      </c>
      <c r="C6217" s="133"/>
      <c r="D6217" s="133"/>
      <c r="E6217" s="3"/>
      <c r="F6217">
        <v>771</v>
      </c>
    </row>
    <row r="6218" spans="1:6" x14ac:dyDescent="0.25">
      <c r="A6218">
        <v>8887</v>
      </c>
      <c r="B6218" s="15">
        <v>45243</v>
      </c>
      <c r="C6218" s="114" t="s">
        <v>1</v>
      </c>
      <c r="D6218" s="114" t="s">
        <v>1</v>
      </c>
      <c r="E6218" s="3"/>
      <c r="F6218">
        <v>772</v>
      </c>
    </row>
    <row r="6219" spans="1:6" x14ac:dyDescent="0.25">
      <c r="A6219">
        <v>8887</v>
      </c>
      <c r="B6219" s="15">
        <v>45244</v>
      </c>
      <c r="C6219" s="114" t="s">
        <v>1</v>
      </c>
      <c r="D6219" s="114" t="s">
        <v>1</v>
      </c>
      <c r="E6219" s="3"/>
      <c r="F6219">
        <v>773</v>
      </c>
    </row>
    <row r="6220" spans="1:6" x14ac:dyDescent="0.25">
      <c r="A6220">
        <v>8887</v>
      </c>
      <c r="B6220" s="15">
        <v>45245</v>
      </c>
      <c r="C6220" s="114" t="s">
        <v>1</v>
      </c>
      <c r="D6220" s="114" t="s">
        <v>1</v>
      </c>
      <c r="E6220" s="3"/>
      <c r="F6220">
        <v>774</v>
      </c>
    </row>
    <row r="6221" spans="1:6" x14ac:dyDescent="0.25">
      <c r="A6221">
        <v>8887</v>
      </c>
      <c r="B6221" s="15">
        <v>45246</v>
      </c>
      <c r="C6221" s="114" t="s">
        <v>1</v>
      </c>
      <c r="D6221" s="114" t="s">
        <v>1</v>
      </c>
      <c r="E6221" s="3"/>
      <c r="F6221">
        <v>775</v>
      </c>
    </row>
    <row r="6222" spans="1:6" x14ac:dyDescent="0.25">
      <c r="A6222">
        <v>8887</v>
      </c>
      <c r="B6222" s="15">
        <v>45247</v>
      </c>
      <c r="C6222" s="114" t="s">
        <v>1</v>
      </c>
      <c r="D6222" s="114" t="s">
        <v>1</v>
      </c>
      <c r="E6222" s="3"/>
      <c r="F6222">
        <v>776</v>
      </c>
    </row>
    <row r="6223" spans="1:6" x14ac:dyDescent="0.25">
      <c r="A6223">
        <v>8887</v>
      </c>
      <c r="B6223" s="15">
        <v>45248</v>
      </c>
      <c r="C6223" s="133"/>
      <c r="D6223" s="133"/>
      <c r="E6223" s="3"/>
      <c r="F6223">
        <v>777</v>
      </c>
    </row>
    <row r="6224" spans="1:6" x14ac:dyDescent="0.25">
      <c r="A6224">
        <v>8887</v>
      </c>
      <c r="B6224" s="15">
        <v>45249</v>
      </c>
      <c r="C6224" s="133"/>
      <c r="D6224" s="133"/>
      <c r="E6224" s="3"/>
      <c r="F6224">
        <v>778</v>
      </c>
    </row>
    <row r="6225" spans="1:6" x14ac:dyDescent="0.25">
      <c r="A6225">
        <v>8887</v>
      </c>
      <c r="B6225" s="15">
        <v>45250</v>
      </c>
      <c r="C6225" s="114" t="s">
        <v>1</v>
      </c>
      <c r="D6225" s="114" t="s">
        <v>1</v>
      </c>
      <c r="E6225" s="3"/>
      <c r="F6225">
        <v>779</v>
      </c>
    </row>
    <row r="6226" spans="1:6" x14ac:dyDescent="0.25">
      <c r="A6226">
        <v>8887</v>
      </c>
      <c r="B6226" s="15">
        <v>45251</v>
      </c>
      <c r="C6226" s="114" t="s">
        <v>1</v>
      </c>
      <c r="D6226" s="114" t="s">
        <v>1</v>
      </c>
      <c r="E6226" s="3"/>
      <c r="F6226">
        <v>780</v>
      </c>
    </row>
    <row r="6227" spans="1:6" x14ac:dyDescent="0.25">
      <c r="A6227">
        <v>8887</v>
      </c>
      <c r="B6227" s="15">
        <v>45252</v>
      </c>
      <c r="C6227" s="114" t="s">
        <v>1</v>
      </c>
      <c r="D6227" s="114" t="s">
        <v>1</v>
      </c>
      <c r="E6227" s="3"/>
      <c r="F6227">
        <v>781</v>
      </c>
    </row>
    <row r="6228" spans="1:6" x14ac:dyDescent="0.25">
      <c r="A6228">
        <v>8887</v>
      </c>
      <c r="B6228" s="15">
        <v>45253</v>
      </c>
      <c r="C6228" s="114" t="s">
        <v>1</v>
      </c>
      <c r="D6228" s="114" t="s">
        <v>1</v>
      </c>
      <c r="E6228" s="3"/>
      <c r="F6228">
        <v>782</v>
      </c>
    </row>
    <row r="6229" spans="1:6" x14ac:dyDescent="0.25">
      <c r="A6229">
        <v>8887</v>
      </c>
      <c r="B6229" s="15">
        <v>45254</v>
      </c>
      <c r="C6229" s="114" t="s">
        <v>1</v>
      </c>
      <c r="D6229" s="114" t="s">
        <v>1</v>
      </c>
      <c r="E6229" s="3"/>
      <c r="F6229">
        <v>783</v>
      </c>
    </row>
    <row r="6230" spans="1:6" x14ac:dyDescent="0.25">
      <c r="A6230">
        <v>8887</v>
      </c>
      <c r="B6230" s="15">
        <v>45255</v>
      </c>
      <c r="C6230" s="133"/>
      <c r="D6230" s="133"/>
      <c r="E6230" s="3"/>
      <c r="F6230">
        <v>784</v>
      </c>
    </row>
    <row r="6231" spans="1:6" x14ac:dyDescent="0.25">
      <c r="A6231">
        <v>8887</v>
      </c>
      <c r="B6231" s="15">
        <v>45256</v>
      </c>
      <c r="C6231" s="133"/>
      <c r="D6231" s="133"/>
      <c r="E6231" s="3"/>
      <c r="F6231">
        <v>785</v>
      </c>
    </row>
    <row r="6232" spans="1:6" x14ac:dyDescent="0.25">
      <c r="A6232">
        <v>8887</v>
      </c>
      <c r="B6232" s="15">
        <v>45257</v>
      </c>
      <c r="C6232" s="114" t="s">
        <v>1</v>
      </c>
      <c r="D6232" s="114" t="s">
        <v>1</v>
      </c>
      <c r="E6232" s="3"/>
      <c r="F6232">
        <v>786</v>
      </c>
    </row>
    <row r="6233" spans="1:6" x14ac:dyDescent="0.25">
      <c r="A6233">
        <v>8887</v>
      </c>
      <c r="B6233" s="15">
        <v>45258</v>
      </c>
      <c r="C6233" s="114" t="s">
        <v>1</v>
      </c>
      <c r="D6233" s="114" t="s">
        <v>1</v>
      </c>
      <c r="E6233" s="3"/>
      <c r="F6233">
        <v>787</v>
      </c>
    </row>
    <row r="6234" spans="1:6" x14ac:dyDescent="0.25">
      <c r="A6234">
        <v>8887</v>
      </c>
      <c r="B6234" s="15">
        <v>45259</v>
      </c>
      <c r="C6234" s="114" t="s">
        <v>1</v>
      </c>
      <c r="D6234" s="114" t="s">
        <v>1</v>
      </c>
      <c r="E6234" s="3"/>
      <c r="F6234">
        <v>788</v>
      </c>
    </row>
    <row r="6235" spans="1:6" x14ac:dyDescent="0.25">
      <c r="A6235">
        <v>8887</v>
      </c>
      <c r="B6235" s="15">
        <v>45260</v>
      </c>
      <c r="C6235" s="114" t="s">
        <v>1</v>
      </c>
      <c r="D6235" s="114" t="s">
        <v>1</v>
      </c>
      <c r="E6235" s="3"/>
      <c r="F6235">
        <v>789</v>
      </c>
    </row>
    <row r="6236" spans="1:6" x14ac:dyDescent="0.25">
      <c r="A6236">
        <v>8887</v>
      </c>
      <c r="B6236" s="15">
        <v>45261</v>
      </c>
      <c r="C6236" s="114" t="s">
        <v>1</v>
      </c>
      <c r="D6236" s="114" t="s">
        <v>1</v>
      </c>
      <c r="E6236" s="3"/>
      <c r="F6236">
        <v>790</v>
      </c>
    </row>
    <row r="6237" spans="1:6" x14ac:dyDescent="0.25">
      <c r="A6237">
        <v>8887</v>
      </c>
      <c r="B6237" s="15">
        <v>45262</v>
      </c>
      <c r="C6237" s="133"/>
      <c r="D6237" s="133"/>
      <c r="E6237" s="3"/>
      <c r="F6237">
        <v>791</v>
      </c>
    </row>
    <row r="6238" spans="1:6" x14ac:dyDescent="0.25">
      <c r="A6238">
        <v>8887</v>
      </c>
      <c r="B6238" s="15">
        <v>45263</v>
      </c>
      <c r="C6238" s="133"/>
      <c r="D6238" s="133"/>
      <c r="E6238" s="3"/>
      <c r="F6238">
        <v>792</v>
      </c>
    </row>
    <row r="6239" spans="1:6" x14ac:dyDescent="0.25">
      <c r="A6239">
        <v>8887</v>
      </c>
      <c r="B6239" s="15">
        <v>45264</v>
      </c>
      <c r="C6239" s="114" t="s">
        <v>1</v>
      </c>
      <c r="D6239" s="114" t="s">
        <v>1</v>
      </c>
      <c r="E6239" s="3"/>
      <c r="F6239">
        <v>793</v>
      </c>
    </row>
    <row r="6240" spans="1:6" x14ac:dyDescent="0.25">
      <c r="A6240">
        <v>8887</v>
      </c>
      <c r="B6240" s="15">
        <v>45265</v>
      </c>
      <c r="C6240" s="114" t="s">
        <v>1</v>
      </c>
      <c r="D6240" s="114" t="s">
        <v>1</v>
      </c>
      <c r="E6240" s="3"/>
      <c r="F6240">
        <v>794</v>
      </c>
    </row>
    <row r="6241" spans="1:6" x14ac:dyDescent="0.25">
      <c r="A6241">
        <v>8887</v>
      </c>
      <c r="B6241" s="15">
        <v>45266</v>
      </c>
      <c r="C6241" s="114" t="s">
        <v>1</v>
      </c>
      <c r="D6241" s="114" t="s">
        <v>1</v>
      </c>
      <c r="E6241" s="3"/>
      <c r="F6241">
        <v>795</v>
      </c>
    </row>
    <row r="6242" spans="1:6" x14ac:dyDescent="0.25">
      <c r="A6242">
        <v>8887</v>
      </c>
      <c r="B6242" s="15">
        <v>45267</v>
      </c>
      <c r="C6242" s="114" t="s">
        <v>1</v>
      </c>
      <c r="D6242" s="114" t="s">
        <v>1</v>
      </c>
      <c r="E6242" s="3"/>
      <c r="F6242">
        <v>796</v>
      </c>
    </row>
    <row r="6243" spans="1:6" x14ac:dyDescent="0.25">
      <c r="A6243">
        <v>8887</v>
      </c>
      <c r="B6243" s="15">
        <v>45268</v>
      </c>
      <c r="C6243" s="114" t="s">
        <v>1</v>
      </c>
      <c r="D6243" s="114" t="s">
        <v>1</v>
      </c>
      <c r="E6243" s="3"/>
      <c r="F6243">
        <v>797</v>
      </c>
    </row>
    <row r="6244" spans="1:6" x14ac:dyDescent="0.25">
      <c r="A6244">
        <v>8887</v>
      </c>
      <c r="B6244" s="15">
        <v>45269</v>
      </c>
      <c r="C6244" s="133"/>
      <c r="D6244" s="133"/>
      <c r="E6244" s="3"/>
      <c r="F6244">
        <v>798</v>
      </c>
    </row>
    <row r="6245" spans="1:6" x14ac:dyDescent="0.25">
      <c r="A6245">
        <v>8887</v>
      </c>
      <c r="B6245" s="15">
        <v>45270</v>
      </c>
      <c r="C6245" s="133"/>
      <c r="D6245" s="133"/>
      <c r="E6245" s="3"/>
      <c r="F6245">
        <v>799</v>
      </c>
    </row>
    <row r="6246" spans="1:6" x14ac:dyDescent="0.25">
      <c r="A6246">
        <v>8887</v>
      </c>
      <c r="B6246" s="15">
        <v>45271</v>
      </c>
      <c r="C6246" s="114" t="s">
        <v>1</v>
      </c>
      <c r="D6246" s="114" t="s">
        <v>1</v>
      </c>
      <c r="E6246" s="3"/>
      <c r="F6246">
        <v>800</v>
      </c>
    </row>
    <row r="6247" spans="1:6" x14ac:dyDescent="0.25">
      <c r="A6247">
        <v>8887</v>
      </c>
      <c r="B6247" s="15">
        <v>45272</v>
      </c>
      <c r="C6247" s="114" t="s">
        <v>1</v>
      </c>
      <c r="D6247" s="114" t="s">
        <v>1</v>
      </c>
      <c r="E6247" s="3"/>
      <c r="F6247">
        <v>801</v>
      </c>
    </row>
    <row r="6248" spans="1:6" x14ac:dyDescent="0.25">
      <c r="A6248">
        <v>8887</v>
      </c>
      <c r="B6248" s="15">
        <v>45273</v>
      </c>
      <c r="C6248" s="114" t="s">
        <v>1</v>
      </c>
      <c r="D6248" s="114" t="s">
        <v>1</v>
      </c>
      <c r="E6248" s="3"/>
      <c r="F6248">
        <v>802</v>
      </c>
    </row>
    <row r="6249" spans="1:6" x14ac:dyDescent="0.25">
      <c r="A6249">
        <v>8887</v>
      </c>
      <c r="B6249" s="15">
        <v>45274</v>
      </c>
      <c r="C6249" s="114" t="s">
        <v>1</v>
      </c>
      <c r="D6249" s="114" t="s">
        <v>1</v>
      </c>
      <c r="E6249" s="3"/>
      <c r="F6249">
        <v>803</v>
      </c>
    </row>
    <row r="6250" spans="1:6" x14ac:dyDescent="0.25">
      <c r="A6250">
        <v>8887</v>
      </c>
      <c r="B6250" s="15">
        <v>45275</v>
      </c>
      <c r="C6250" s="114" t="s">
        <v>1</v>
      </c>
      <c r="D6250" s="114" t="s">
        <v>1</v>
      </c>
      <c r="E6250" s="3"/>
      <c r="F6250">
        <v>804</v>
      </c>
    </row>
    <row r="6251" spans="1:6" x14ac:dyDescent="0.25">
      <c r="A6251">
        <v>8887</v>
      </c>
      <c r="B6251" s="15">
        <v>45276</v>
      </c>
      <c r="C6251" s="133"/>
      <c r="D6251" s="133"/>
      <c r="E6251" s="3"/>
      <c r="F6251">
        <v>805</v>
      </c>
    </row>
    <row r="6252" spans="1:6" x14ac:dyDescent="0.25">
      <c r="A6252">
        <v>8887</v>
      </c>
      <c r="B6252" s="15">
        <v>45277</v>
      </c>
      <c r="C6252" s="133"/>
      <c r="D6252" s="133"/>
      <c r="E6252" s="3"/>
      <c r="F6252">
        <v>806</v>
      </c>
    </row>
    <row r="6253" spans="1:6" x14ac:dyDescent="0.25">
      <c r="A6253">
        <v>8887</v>
      </c>
      <c r="B6253" s="15">
        <v>45278</v>
      </c>
      <c r="C6253" s="114" t="s">
        <v>1</v>
      </c>
      <c r="D6253" s="114" t="s">
        <v>1</v>
      </c>
      <c r="E6253" s="3"/>
      <c r="F6253">
        <v>807</v>
      </c>
    </row>
    <row r="6254" spans="1:6" x14ac:dyDescent="0.25">
      <c r="A6254">
        <v>8887</v>
      </c>
      <c r="B6254" s="15">
        <v>45279</v>
      </c>
      <c r="C6254" s="114" t="s">
        <v>1</v>
      </c>
      <c r="D6254" s="114" t="s">
        <v>1</v>
      </c>
      <c r="E6254" s="3"/>
      <c r="F6254">
        <v>808</v>
      </c>
    </row>
    <row r="6255" spans="1:6" x14ac:dyDescent="0.25">
      <c r="A6255">
        <v>8887</v>
      </c>
      <c r="B6255" s="15">
        <v>45280</v>
      </c>
      <c r="C6255" s="114" t="s">
        <v>1</v>
      </c>
      <c r="D6255" s="114" t="s">
        <v>1</v>
      </c>
      <c r="E6255" s="3"/>
      <c r="F6255">
        <v>809</v>
      </c>
    </row>
    <row r="6256" spans="1:6" x14ac:dyDescent="0.25">
      <c r="A6256">
        <v>8887</v>
      </c>
      <c r="B6256" s="15">
        <v>45281</v>
      </c>
      <c r="C6256" s="114" t="s">
        <v>1</v>
      </c>
      <c r="D6256" s="114" t="s">
        <v>1</v>
      </c>
      <c r="E6256" s="3"/>
      <c r="F6256">
        <v>810</v>
      </c>
    </row>
    <row r="6257" spans="1:6" x14ac:dyDescent="0.25">
      <c r="A6257">
        <v>8887</v>
      </c>
      <c r="B6257" s="15">
        <v>45282</v>
      </c>
      <c r="C6257" s="114" t="s">
        <v>1</v>
      </c>
      <c r="D6257" s="114" t="s">
        <v>1</v>
      </c>
      <c r="E6257" s="3"/>
      <c r="F6257">
        <v>811</v>
      </c>
    </row>
    <row r="6258" spans="1:6" x14ac:dyDescent="0.25">
      <c r="A6258">
        <v>8887</v>
      </c>
      <c r="B6258" s="15">
        <v>45283</v>
      </c>
      <c r="C6258" s="133"/>
      <c r="D6258" s="133"/>
      <c r="E6258" s="3"/>
      <c r="F6258">
        <v>812</v>
      </c>
    </row>
    <row r="6259" spans="1:6" x14ac:dyDescent="0.25">
      <c r="A6259">
        <v>8887</v>
      </c>
      <c r="B6259" s="15">
        <v>45284</v>
      </c>
      <c r="C6259" s="133"/>
      <c r="D6259" s="133"/>
      <c r="E6259" s="3"/>
      <c r="F6259">
        <v>813</v>
      </c>
    </row>
    <row r="6260" spans="1:6" x14ac:dyDescent="0.25">
      <c r="A6260">
        <v>8887</v>
      </c>
      <c r="B6260" s="15">
        <v>45285</v>
      </c>
      <c r="C6260" s="133"/>
      <c r="D6260" s="133"/>
      <c r="E6260" s="3"/>
      <c r="F6260">
        <v>814</v>
      </c>
    </row>
    <row r="6261" spans="1:6" x14ac:dyDescent="0.25">
      <c r="A6261">
        <v>8887</v>
      </c>
      <c r="B6261" s="15">
        <v>45286</v>
      </c>
      <c r="C6261" s="114" t="s">
        <v>1</v>
      </c>
      <c r="D6261" s="114" t="s">
        <v>1</v>
      </c>
      <c r="E6261" s="3"/>
      <c r="F6261">
        <v>815</v>
      </c>
    </row>
    <row r="6262" spans="1:6" x14ac:dyDescent="0.25">
      <c r="A6262">
        <v>8887</v>
      </c>
      <c r="B6262" s="15">
        <v>45287</v>
      </c>
      <c r="C6262" s="114" t="s">
        <v>1</v>
      </c>
      <c r="D6262" s="114" t="s">
        <v>1</v>
      </c>
      <c r="E6262" s="3"/>
      <c r="F6262">
        <v>816</v>
      </c>
    </row>
    <row r="6263" spans="1:6" x14ac:dyDescent="0.25">
      <c r="A6263">
        <v>8887</v>
      </c>
      <c r="B6263" s="15">
        <v>45288</v>
      </c>
      <c r="C6263" s="114" t="s">
        <v>1</v>
      </c>
      <c r="D6263" s="114" t="s">
        <v>1</v>
      </c>
      <c r="E6263" s="3"/>
      <c r="F6263">
        <v>817</v>
      </c>
    </row>
    <row r="6264" spans="1:6" x14ac:dyDescent="0.25">
      <c r="A6264">
        <v>8887</v>
      </c>
      <c r="B6264" s="15">
        <v>45289</v>
      </c>
      <c r="C6264" s="114" t="s">
        <v>1</v>
      </c>
      <c r="D6264" s="114" t="s">
        <v>1</v>
      </c>
      <c r="E6264" s="3"/>
      <c r="F6264">
        <v>818</v>
      </c>
    </row>
    <row r="6265" spans="1:6" x14ac:dyDescent="0.25">
      <c r="A6265">
        <v>8887</v>
      </c>
      <c r="B6265" s="15">
        <v>45290</v>
      </c>
      <c r="C6265" s="133"/>
      <c r="D6265" s="133"/>
      <c r="E6265" s="3"/>
      <c r="F6265">
        <v>819</v>
      </c>
    </row>
    <row r="6266" spans="1:6" x14ac:dyDescent="0.25">
      <c r="A6266">
        <v>8887</v>
      </c>
      <c r="B6266" s="15">
        <v>45291</v>
      </c>
      <c r="C6266" s="133"/>
      <c r="D6266" s="133"/>
      <c r="E6266" s="3"/>
      <c r="F6266">
        <v>820</v>
      </c>
    </row>
    <row r="6267" spans="1:6" x14ac:dyDescent="0.25">
      <c r="A6267">
        <v>8887</v>
      </c>
      <c r="B6267" s="15">
        <v>45292</v>
      </c>
      <c r="C6267" s="133"/>
      <c r="D6267" s="133"/>
      <c r="E6267" s="3"/>
      <c r="F6267">
        <v>821</v>
      </c>
    </row>
    <row r="6268" spans="1:6" x14ac:dyDescent="0.25">
      <c r="A6268">
        <v>8887</v>
      </c>
      <c r="B6268" s="15">
        <v>45293</v>
      </c>
      <c r="C6268" s="114" t="s">
        <v>1</v>
      </c>
      <c r="D6268" s="114" t="s">
        <v>1</v>
      </c>
      <c r="E6268" s="3"/>
      <c r="F6268">
        <v>822</v>
      </c>
    </row>
    <row r="6269" spans="1:6" x14ac:dyDescent="0.25">
      <c r="A6269">
        <v>8887</v>
      </c>
      <c r="B6269" s="15">
        <v>45294</v>
      </c>
      <c r="C6269" s="114" t="s">
        <v>1</v>
      </c>
      <c r="D6269" s="114" t="s">
        <v>1</v>
      </c>
      <c r="E6269" s="3"/>
      <c r="F6269">
        <v>823</v>
      </c>
    </row>
    <row r="6270" spans="1:6" x14ac:dyDescent="0.25">
      <c r="A6270">
        <v>8887</v>
      </c>
      <c r="B6270" s="15">
        <v>45295</v>
      </c>
      <c r="C6270" s="114" t="s">
        <v>1</v>
      </c>
      <c r="D6270" s="114" t="s">
        <v>1</v>
      </c>
      <c r="E6270" s="3"/>
      <c r="F6270">
        <v>824</v>
      </c>
    </row>
    <row r="6271" spans="1:6" x14ac:dyDescent="0.25">
      <c r="A6271">
        <v>8887</v>
      </c>
      <c r="B6271" s="15">
        <v>45296</v>
      </c>
      <c r="C6271" s="114" t="s">
        <v>1</v>
      </c>
      <c r="D6271" s="114" t="s">
        <v>1</v>
      </c>
      <c r="E6271" s="3"/>
      <c r="F6271">
        <v>825</v>
      </c>
    </row>
    <row r="6272" spans="1:6" x14ac:dyDescent="0.25">
      <c r="A6272">
        <v>8887</v>
      </c>
      <c r="B6272" s="15">
        <v>45297</v>
      </c>
      <c r="C6272" s="133"/>
      <c r="D6272" s="133"/>
      <c r="E6272" s="3"/>
      <c r="F6272">
        <v>826</v>
      </c>
    </row>
    <row r="6273" spans="1:6" x14ac:dyDescent="0.25">
      <c r="A6273">
        <v>8887</v>
      </c>
      <c r="B6273" s="15">
        <v>45298</v>
      </c>
      <c r="C6273" s="133"/>
      <c r="D6273" s="133"/>
      <c r="E6273" s="3"/>
      <c r="F6273">
        <v>827</v>
      </c>
    </row>
    <row r="6274" spans="1:6" x14ac:dyDescent="0.25">
      <c r="A6274">
        <v>8887</v>
      </c>
      <c r="B6274" s="15">
        <v>45299</v>
      </c>
      <c r="C6274" s="114" t="s">
        <v>1</v>
      </c>
      <c r="D6274" s="114" t="s">
        <v>1</v>
      </c>
      <c r="E6274" s="3"/>
      <c r="F6274">
        <v>828</v>
      </c>
    </row>
    <row r="6275" spans="1:6" x14ac:dyDescent="0.25">
      <c r="A6275">
        <v>8887</v>
      </c>
      <c r="B6275" s="15">
        <v>45300</v>
      </c>
      <c r="C6275" s="114" t="s">
        <v>1</v>
      </c>
      <c r="D6275" s="114" t="s">
        <v>1</v>
      </c>
      <c r="E6275" s="3"/>
      <c r="F6275">
        <v>829</v>
      </c>
    </row>
    <row r="6276" spans="1:6" x14ac:dyDescent="0.25">
      <c r="A6276">
        <v>8887</v>
      </c>
      <c r="B6276" s="15">
        <v>45301</v>
      </c>
      <c r="C6276" s="114" t="s">
        <v>1</v>
      </c>
      <c r="D6276" s="114" t="s">
        <v>1</v>
      </c>
      <c r="E6276" s="3"/>
      <c r="F6276">
        <v>830</v>
      </c>
    </row>
    <row r="6277" spans="1:6" x14ac:dyDescent="0.25">
      <c r="A6277">
        <v>8887</v>
      </c>
      <c r="B6277" s="15">
        <v>45302</v>
      </c>
      <c r="C6277" s="114" t="s">
        <v>1</v>
      </c>
      <c r="D6277" s="114" t="s">
        <v>1</v>
      </c>
      <c r="E6277" s="3"/>
      <c r="F6277">
        <v>831</v>
      </c>
    </row>
    <row r="6278" spans="1:6" x14ac:dyDescent="0.25">
      <c r="A6278">
        <v>8887</v>
      </c>
      <c r="B6278" s="15">
        <v>45303</v>
      </c>
      <c r="C6278" s="114" t="s">
        <v>1</v>
      </c>
      <c r="D6278" s="114" t="s">
        <v>1</v>
      </c>
      <c r="E6278" s="3"/>
      <c r="F6278">
        <v>832</v>
      </c>
    </row>
    <row r="6279" spans="1:6" x14ac:dyDescent="0.25">
      <c r="A6279">
        <v>8887</v>
      </c>
      <c r="B6279" s="15">
        <v>45304</v>
      </c>
      <c r="C6279" s="133"/>
      <c r="D6279" s="133"/>
      <c r="E6279" s="3"/>
      <c r="F6279">
        <v>833</v>
      </c>
    </row>
    <row r="6280" spans="1:6" x14ac:dyDescent="0.25">
      <c r="A6280">
        <v>8887</v>
      </c>
      <c r="B6280" s="15">
        <v>45305</v>
      </c>
      <c r="C6280" s="133"/>
      <c r="D6280" s="133"/>
      <c r="E6280" s="3"/>
      <c r="F6280">
        <v>834</v>
      </c>
    </row>
    <row r="6281" spans="1:6" x14ac:dyDescent="0.25">
      <c r="A6281">
        <v>8887</v>
      </c>
      <c r="B6281" s="15">
        <v>45306</v>
      </c>
      <c r="C6281" s="114" t="s">
        <v>1</v>
      </c>
      <c r="D6281" s="114" t="s">
        <v>1</v>
      </c>
      <c r="E6281" s="3"/>
      <c r="F6281">
        <v>835</v>
      </c>
    </row>
    <row r="6282" spans="1:6" x14ac:dyDescent="0.25">
      <c r="A6282">
        <v>8887</v>
      </c>
      <c r="B6282" s="15">
        <v>45307</v>
      </c>
      <c r="C6282" s="114" t="s">
        <v>1</v>
      </c>
      <c r="D6282" s="114" t="s">
        <v>1</v>
      </c>
      <c r="E6282" s="3"/>
      <c r="F6282">
        <v>836</v>
      </c>
    </row>
    <row r="6283" spans="1:6" x14ac:dyDescent="0.25">
      <c r="A6283">
        <v>8887</v>
      </c>
      <c r="B6283" s="15">
        <v>45308</v>
      </c>
      <c r="C6283" s="114" t="s">
        <v>1</v>
      </c>
      <c r="D6283" s="114" t="s">
        <v>1</v>
      </c>
      <c r="E6283" s="3"/>
      <c r="F6283">
        <v>837</v>
      </c>
    </row>
    <row r="6284" spans="1:6" x14ac:dyDescent="0.25">
      <c r="A6284">
        <v>8887</v>
      </c>
      <c r="B6284" s="15">
        <v>45309</v>
      </c>
      <c r="C6284" s="114" t="s">
        <v>1</v>
      </c>
      <c r="D6284" s="114" t="s">
        <v>1</v>
      </c>
      <c r="E6284" s="3"/>
      <c r="F6284">
        <v>838</v>
      </c>
    </row>
    <row r="6285" spans="1:6" x14ac:dyDescent="0.25">
      <c r="A6285">
        <v>8887</v>
      </c>
      <c r="B6285" s="15">
        <v>45310</v>
      </c>
      <c r="C6285" s="114" t="s">
        <v>1</v>
      </c>
      <c r="D6285" s="114" t="s">
        <v>1</v>
      </c>
      <c r="E6285" s="3"/>
      <c r="F6285">
        <v>839</v>
      </c>
    </row>
    <row r="6286" spans="1:6" x14ac:dyDescent="0.25">
      <c r="A6286">
        <v>8887</v>
      </c>
      <c r="B6286" s="15">
        <v>45311</v>
      </c>
      <c r="C6286" s="133"/>
      <c r="D6286" s="133"/>
      <c r="E6286" s="3"/>
      <c r="F6286">
        <v>840</v>
      </c>
    </row>
    <row r="6287" spans="1:6" x14ac:dyDescent="0.25">
      <c r="A6287">
        <v>8887</v>
      </c>
      <c r="B6287" s="15">
        <v>45312</v>
      </c>
      <c r="C6287" s="133"/>
      <c r="D6287" s="133"/>
      <c r="E6287" s="3"/>
      <c r="F6287">
        <v>841</v>
      </c>
    </row>
    <row r="6288" spans="1:6" x14ac:dyDescent="0.25">
      <c r="A6288">
        <v>8887</v>
      </c>
      <c r="B6288" s="15">
        <v>45313</v>
      </c>
      <c r="C6288" s="114" t="s">
        <v>1</v>
      </c>
      <c r="D6288" s="114" t="s">
        <v>1</v>
      </c>
      <c r="E6288" s="3"/>
      <c r="F6288">
        <v>842</v>
      </c>
    </row>
    <row r="6289" spans="1:6" x14ac:dyDescent="0.25">
      <c r="A6289">
        <v>8887</v>
      </c>
      <c r="B6289" s="15">
        <v>45314</v>
      </c>
      <c r="C6289" s="114" t="s">
        <v>1</v>
      </c>
      <c r="D6289" s="114" t="s">
        <v>1</v>
      </c>
      <c r="E6289" s="3"/>
      <c r="F6289">
        <v>843</v>
      </c>
    </row>
    <row r="6290" spans="1:6" x14ac:dyDescent="0.25">
      <c r="A6290">
        <v>8887</v>
      </c>
      <c r="B6290" s="15">
        <v>45315</v>
      </c>
      <c r="C6290" s="114" t="s">
        <v>1</v>
      </c>
      <c r="D6290" s="114" t="s">
        <v>1</v>
      </c>
      <c r="E6290" s="3"/>
      <c r="F6290">
        <v>844</v>
      </c>
    </row>
    <row r="6291" spans="1:6" x14ac:dyDescent="0.25">
      <c r="A6291">
        <v>8887</v>
      </c>
      <c r="B6291" s="15">
        <v>45316</v>
      </c>
      <c r="C6291" s="114" t="s">
        <v>1</v>
      </c>
      <c r="D6291" s="114" t="s">
        <v>1</v>
      </c>
      <c r="E6291" s="3"/>
      <c r="F6291">
        <v>845</v>
      </c>
    </row>
    <row r="6292" spans="1:6" x14ac:dyDescent="0.25">
      <c r="A6292">
        <v>8887</v>
      </c>
      <c r="B6292" s="15">
        <v>45317</v>
      </c>
      <c r="C6292" s="114" t="s">
        <v>1</v>
      </c>
      <c r="D6292" s="114" t="s">
        <v>1</v>
      </c>
      <c r="E6292" s="3"/>
      <c r="F6292">
        <v>846</v>
      </c>
    </row>
    <row r="6293" spans="1:6" x14ac:dyDescent="0.25">
      <c r="A6293">
        <v>8887</v>
      </c>
      <c r="B6293" s="15">
        <v>45318</v>
      </c>
      <c r="C6293" s="133"/>
      <c r="D6293" s="133"/>
      <c r="E6293" s="3"/>
      <c r="F6293">
        <v>847</v>
      </c>
    </row>
    <row r="6294" spans="1:6" x14ac:dyDescent="0.25">
      <c r="A6294">
        <v>8887</v>
      </c>
      <c r="B6294" s="15">
        <v>45319</v>
      </c>
      <c r="C6294" s="133"/>
      <c r="D6294" s="133"/>
      <c r="E6294" s="3"/>
      <c r="F6294">
        <v>848</v>
      </c>
    </row>
    <row r="6295" spans="1:6" x14ac:dyDescent="0.25">
      <c r="A6295">
        <v>8887</v>
      </c>
      <c r="B6295" s="15">
        <v>45320</v>
      </c>
      <c r="C6295" s="114" t="s">
        <v>1</v>
      </c>
      <c r="D6295" s="114" t="s">
        <v>1</v>
      </c>
      <c r="E6295" s="3"/>
      <c r="F6295">
        <v>849</v>
      </c>
    </row>
    <row r="6296" spans="1:6" x14ac:dyDescent="0.25">
      <c r="A6296">
        <v>8887</v>
      </c>
      <c r="B6296" s="15">
        <v>45321</v>
      </c>
      <c r="C6296" s="114" t="s">
        <v>1</v>
      </c>
      <c r="D6296" s="114" t="s">
        <v>1</v>
      </c>
      <c r="E6296" s="3"/>
      <c r="F6296">
        <v>850</v>
      </c>
    </row>
    <row r="6297" spans="1:6" x14ac:dyDescent="0.25">
      <c r="A6297">
        <v>8887</v>
      </c>
      <c r="B6297" s="15">
        <v>45322</v>
      </c>
      <c r="C6297" s="114" t="s">
        <v>1</v>
      </c>
      <c r="D6297" s="114" t="s">
        <v>1</v>
      </c>
      <c r="E6297" s="3"/>
      <c r="F6297">
        <v>851</v>
      </c>
    </row>
    <row r="6298" spans="1:6" x14ac:dyDescent="0.25">
      <c r="A6298">
        <v>8887</v>
      </c>
      <c r="B6298" s="15">
        <v>45323</v>
      </c>
      <c r="C6298" s="114" t="s">
        <v>1</v>
      </c>
      <c r="D6298" s="114" t="s">
        <v>1</v>
      </c>
      <c r="E6298" s="3"/>
      <c r="F6298">
        <v>852</v>
      </c>
    </row>
    <row r="6299" spans="1:6" x14ac:dyDescent="0.25">
      <c r="A6299">
        <v>8887</v>
      </c>
      <c r="B6299" s="15">
        <v>45324</v>
      </c>
      <c r="C6299" s="114" t="s">
        <v>1</v>
      </c>
      <c r="D6299" s="114" t="s">
        <v>1</v>
      </c>
      <c r="E6299" s="3"/>
      <c r="F6299">
        <v>853</v>
      </c>
    </row>
    <row r="6300" spans="1:6" x14ac:dyDescent="0.25">
      <c r="A6300">
        <v>8887</v>
      </c>
      <c r="B6300" s="15">
        <v>45325</v>
      </c>
      <c r="C6300" s="133"/>
      <c r="D6300" s="133"/>
      <c r="E6300" s="3"/>
      <c r="F6300">
        <v>854</v>
      </c>
    </row>
    <row r="6301" spans="1:6" x14ac:dyDescent="0.25">
      <c r="A6301">
        <v>8887</v>
      </c>
      <c r="B6301" s="15">
        <v>45326</v>
      </c>
      <c r="C6301" s="133"/>
      <c r="D6301" s="133"/>
      <c r="E6301" s="3"/>
      <c r="F6301">
        <v>855</v>
      </c>
    </row>
    <row r="6302" spans="1:6" x14ac:dyDescent="0.25">
      <c r="A6302">
        <v>8887</v>
      </c>
      <c r="B6302" s="15">
        <v>45327</v>
      </c>
      <c r="C6302" s="114" t="s">
        <v>1</v>
      </c>
      <c r="D6302" s="114" t="s">
        <v>1</v>
      </c>
      <c r="E6302" s="3"/>
      <c r="F6302">
        <v>856</v>
      </c>
    </row>
    <row r="6303" spans="1:6" x14ac:dyDescent="0.25">
      <c r="A6303">
        <v>8887</v>
      </c>
      <c r="B6303" s="15">
        <v>45328</v>
      </c>
      <c r="C6303" s="114" t="s">
        <v>1</v>
      </c>
      <c r="D6303" s="114" t="s">
        <v>1</v>
      </c>
      <c r="E6303" s="3"/>
      <c r="F6303">
        <v>857</v>
      </c>
    </row>
    <row r="6304" spans="1:6" x14ac:dyDescent="0.25">
      <c r="A6304">
        <v>8887</v>
      </c>
      <c r="B6304" s="15">
        <v>45329</v>
      </c>
      <c r="C6304" s="114" t="s">
        <v>1</v>
      </c>
      <c r="D6304" s="114" t="s">
        <v>1</v>
      </c>
      <c r="E6304" s="3"/>
      <c r="F6304">
        <v>858</v>
      </c>
    </row>
    <row r="6305" spans="1:6" x14ac:dyDescent="0.25">
      <c r="A6305">
        <v>8887</v>
      </c>
      <c r="B6305" s="15">
        <v>45330</v>
      </c>
      <c r="C6305" s="114" t="s">
        <v>1</v>
      </c>
      <c r="D6305" s="114" t="s">
        <v>1</v>
      </c>
      <c r="E6305" s="3"/>
      <c r="F6305">
        <v>859</v>
      </c>
    </row>
    <row r="6306" spans="1:6" x14ac:dyDescent="0.25">
      <c r="A6306">
        <v>8887</v>
      </c>
      <c r="B6306" s="15">
        <v>45331</v>
      </c>
      <c r="C6306" s="114" t="s">
        <v>1</v>
      </c>
      <c r="D6306" s="114" t="s">
        <v>1</v>
      </c>
      <c r="E6306" s="3"/>
      <c r="F6306">
        <v>860</v>
      </c>
    </row>
    <row r="6307" spans="1:6" x14ac:dyDescent="0.25">
      <c r="A6307">
        <v>8887</v>
      </c>
      <c r="B6307" s="15">
        <v>45332</v>
      </c>
      <c r="C6307" s="133"/>
      <c r="D6307" s="133"/>
      <c r="E6307" s="3"/>
      <c r="F6307">
        <v>861</v>
      </c>
    </row>
    <row r="6308" spans="1:6" x14ac:dyDescent="0.25">
      <c r="A6308">
        <v>8887</v>
      </c>
      <c r="B6308" s="15">
        <v>45333</v>
      </c>
      <c r="C6308" s="133"/>
      <c r="D6308" s="133"/>
      <c r="E6308" s="3"/>
      <c r="F6308">
        <v>862</v>
      </c>
    </row>
    <row r="6309" spans="1:6" x14ac:dyDescent="0.25">
      <c r="A6309">
        <v>8887</v>
      </c>
      <c r="B6309" s="15">
        <v>45334</v>
      </c>
      <c r="C6309" s="114" t="s">
        <v>1</v>
      </c>
      <c r="D6309" s="114" t="s">
        <v>1</v>
      </c>
      <c r="E6309" s="3"/>
      <c r="F6309">
        <v>863</v>
      </c>
    </row>
    <row r="6310" spans="1:6" x14ac:dyDescent="0.25">
      <c r="A6310">
        <v>8887</v>
      </c>
      <c r="B6310" s="15">
        <v>45335</v>
      </c>
      <c r="C6310" s="114" t="s">
        <v>1</v>
      </c>
      <c r="D6310" s="114" t="s">
        <v>1</v>
      </c>
      <c r="E6310" s="3"/>
      <c r="F6310">
        <v>864</v>
      </c>
    </row>
    <row r="6311" spans="1:6" x14ac:dyDescent="0.25">
      <c r="A6311">
        <v>8887</v>
      </c>
      <c r="B6311" s="15">
        <v>45336</v>
      </c>
      <c r="C6311" s="114" t="s">
        <v>1</v>
      </c>
      <c r="D6311" s="114" t="s">
        <v>1</v>
      </c>
      <c r="E6311" s="3"/>
      <c r="F6311">
        <v>865</v>
      </c>
    </row>
    <row r="6312" spans="1:6" x14ac:dyDescent="0.25">
      <c r="A6312">
        <v>8887</v>
      </c>
      <c r="B6312" s="15">
        <v>45337</v>
      </c>
      <c r="C6312" s="114" t="s">
        <v>1</v>
      </c>
      <c r="D6312" s="114" t="s">
        <v>1</v>
      </c>
      <c r="E6312" s="3"/>
      <c r="F6312">
        <v>866</v>
      </c>
    </row>
    <row r="6313" spans="1:6" x14ac:dyDescent="0.25">
      <c r="A6313">
        <v>8887</v>
      </c>
      <c r="B6313" s="15">
        <v>45338</v>
      </c>
      <c r="C6313" s="114" t="s">
        <v>1</v>
      </c>
      <c r="D6313" s="114" t="s">
        <v>1</v>
      </c>
      <c r="E6313" s="3"/>
      <c r="F6313">
        <v>867</v>
      </c>
    </row>
    <row r="6314" spans="1:6" x14ac:dyDescent="0.25">
      <c r="A6314">
        <v>8887</v>
      </c>
      <c r="B6314" s="15">
        <v>45339</v>
      </c>
      <c r="C6314" s="133"/>
      <c r="D6314" s="133"/>
      <c r="E6314" s="3"/>
      <c r="F6314">
        <v>868</v>
      </c>
    </row>
    <row r="6315" spans="1:6" x14ac:dyDescent="0.25">
      <c r="A6315">
        <v>8887</v>
      </c>
      <c r="B6315" s="15">
        <v>45340</v>
      </c>
      <c r="C6315" s="133"/>
      <c r="D6315" s="133"/>
      <c r="E6315" s="3"/>
      <c r="F6315">
        <v>869</v>
      </c>
    </row>
    <row r="6316" spans="1:6" x14ac:dyDescent="0.25">
      <c r="A6316">
        <v>8887</v>
      </c>
      <c r="B6316" s="15">
        <v>45341</v>
      </c>
      <c r="C6316" s="114" t="s">
        <v>1</v>
      </c>
      <c r="D6316" s="114" t="s">
        <v>1</v>
      </c>
      <c r="E6316" s="3"/>
      <c r="F6316">
        <v>870</v>
      </c>
    </row>
    <row r="6317" spans="1:6" x14ac:dyDescent="0.25">
      <c r="A6317">
        <v>8887</v>
      </c>
      <c r="B6317" s="15">
        <v>45342</v>
      </c>
      <c r="C6317" s="114" t="s">
        <v>1</v>
      </c>
      <c r="D6317" s="114" t="s">
        <v>1</v>
      </c>
      <c r="E6317" s="3"/>
      <c r="F6317">
        <v>871</v>
      </c>
    </row>
    <row r="6318" spans="1:6" x14ac:dyDescent="0.25">
      <c r="A6318">
        <v>8887</v>
      </c>
      <c r="B6318" s="15">
        <v>45343</v>
      </c>
      <c r="C6318" s="114" t="s">
        <v>1</v>
      </c>
      <c r="D6318" s="114" t="s">
        <v>1</v>
      </c>
      <c r="E6318" s="3"/>
      <c r="F6318">
        <v>872</v>
      </c>
    </row>
    <row r="6319" spans="1:6" x14ac:dyDescent="0.25">
      <c r="A6319">
        <v>8887</v>
      </c>
      <c r="B6319" s="15">
        <v>45344</v>
      </c>
      <c r="C6319" s="114" t="s">
        <v>1</v>
      </c>
      <c r="D6319" s="114" t="s">
        <v>1</v>
      </c>
      <c r="E6319" s="3"/>
      <c r="F6319">
        <v>873</v>
      </c>
    </row>
    <row r="6320" spans="1:6" x14ac:dyDescent="0.25">
      <c r="A6320">
        <v>8887</v>
      </c>
      <c r="B6320" s="15">
        <v>45345</v>
      </c>
      <c r="C6320" s="114" t="s">
        <v>1</v>
      </c>
      <c r="D6320" s="114" t="s">
        <v>1</v>
      </c>
      <c r="E6320" s="3"/>
      <c r="F6320">
        <v>874</v>
      </c>
    </row>
    <row r="6321" spans="1:6" x14ac:dyDescent="0.25">
      <c r="A6321">
        <v>8887</v>
      </c>
      <c r="B6321" s="15">
        <v>45346</v>
      </c>
      <c r="C6321" s="133"/>
      <c r="D6321" s="133"/>
      <c r="E6321" s="3"/>
      <c r="F6321">
        <v>875</v>
      </c>
    </row>
    <row r="6322" spans="1:6" x14ac:dyDescent="0.25">
      <c r="A6322">
        <v>8887</v>
      </c>
      <c r="B6322" s="15">
        <v>45347</v>
      </c>
      <c r="C6322" s="133"/>
      <c r="D6322" s="133"/>
      <c r="E6322" s="3"/>
      <c r="F6322">
        <v>876</v>
      </c>
    </row>
    <row r="6323" spans="1:6" x14ac:dyDescent="0.25">
      <c r="A6323">
        <v>8887</v>
      </c>
      <c r="B6323" s="15">
        <v>45348</v>
      </c>
      <c r="C6323" s="114" t="s">
        <v>1</v>
      </c>
      <c r="D6323" s="114" t="s">
        <v>1</v>
      </c>
      <c r="E6323" s="3"/>
      <c r="F6323">
        <v>877</v>
      </c>
    </row>
    <row r="6324" spans="1:6" x14ac:dyDescent="0.25">
      <c r="A6324">
        <v>8887</v>
      </c>
      <c r="B6324" s="15">
        <v>45349</v>
      </c>
      <c r="C6324" s="114" t="s">
        <v>1</v>
      </c>
      <c r="D6324" s="114" t="s">
        <v>1</v>
      </c>
      <c r="E6324" s="3"/>
      <c r="F6324">
        <v>878</v>
      </c>
    </row>
    <row r="6325" spans="1:6" x14ac:dyDescent="0.25">
      <c r="A6325">
        <v>8887</v>
      </c>
      <c r="B6325" s="15">
        <v>45350</v>
      </c>
      <c r="C6325" s="114" t="s">
        <v>1</v>
      </c>
      <c r="D6325" s="114" t="s">
        <v>1</v>
      </c>
      <c r="E6325" s="3"/>
      <c r="F6325">
        <v>879</v>
      </c>
    </row>
    <row r="6326" spans="1:6" x14ac:dyDescent="0.25">
      <c r="A6326">
        <v>8887</v>
      </c>
      <c r="B6326" s="15">
        <v>45351</v>
      </c>
      <c r="C6326" s="114" t="s">
        <v>1</v>
      </c>
      <c r="D6326" s="114" t="s">
        <v>1</v>
      </c>
      <c r="E6326" s="3"/>
      <c r="F6326">
        <v>880</v>
      </c>
    </row>
    <row r="6327" spans="1:6" x14ac:dyDescent="0.25">
      <c r="A6327">
        <v>8887</v>
      </c>
      <c r="B6327" s="15">
        <v>45352</v>
      </c>
      <c r="C6327" s="114" t="s">
        <v>1</v>
      </c>
      <c r="D6327" s="114" t="s">
        <v>1</v>
      </c>
      <c r="E6327" s="3"/>
      <c r="F6327">
        <v>881</v>
      </c>
    </row>
    <row r="6328" spans="1:6" x14ac:dyDescent="0.25">
      <c r="A6328">
        <v>8887</v>
      </c>
      <c r="B6328" s="15">
        <v>45353</v>
      </c>
      <c r="C6328" s="133"/>
      <c r="D6328" s="133"/>
      <c r="E6328" s="3"/>
      <c r="F6328">
        <v>882</v>
      </c>
    </row>
    <row r="6329" spans="1:6" x14ac:dyDescent="0.25">
      <c r="A6329">
        <v>8887</v>
      </c>
      <c r="B6329" s="15">
        <v>45354</v>
      </c>
      <c r="C6329" s="133"/>
      <c r="D6329" s="133"/>
      <c r="E6329" s="3"/>
      <c r="F6329">
        <v>883</v>
      </c>
    </row>
    <row r="6330" spans="1:6" x14ac:dyDescent="0.25">
      <c r="A6330">
        <v>8887</v>
      </c>
      <c r="B6330" s="15">
        <v>45355</v>
      </c>
      <c r="C6330" s="114" t="s">
        <v>1</v>
      </c>
      <c r="D6330" s="114" t="s">
        <v>1</v>
      </c>
      <c r="E6330" s="3"/>
      <c r="F6330">
        <v>884</v>
      </c>
    </row>
    <row r="6331" spans="1:6" x14ac:dyDescent="0.25">
      <c r="A6331">
        <v>8887</v>
      </c>
      <c r="B6331" s="15">
        <v>45356</v>
      </c>
      <c r="C6331" s="114" t="s">
        <v>1</v>
      </c>
      <c r="D6331" s="114" t="s">
        <v>1</v>
      </c>
      <c r="E6331" s="3"/>
      <c r="F6331">
        <v>885</v>
      </c>
    </row>
    <row r="6332" spans="1:6" x14ac:dyDescent="0.25">
      <c r="A6332">
        <v>8887</v>
      </c>
      <c r="B6332" s="15">
        <v>45357</v>
      </c>
      <c r="C6332" s="114" t="s">
        <v>1</v>
      </c>
      <c r="D6332" s="114" t="s">
        <v>1</v>
      </c>
      <c r="E6332" s="3"/>
      <c r="F6332">
        <v>886</v>
      </c>
    </row>
    <row r="6333" spans="1:6" x14ac:dyDescent="0.25">
      <c r="A6333">
        <v>8887</v>
      </c>
      <c r="B6333" s="15">
        <v>45358</v>
      </c>
      <c r="C6333" s="114" t="s">
        <v>1</v>
      </c>
      <c r="D6333" s="114" t="s">
        <v>1</v>
      </c>
      <c r="E6333" s="3"/>
      <c r="F6333">
        <v>887</v>
      </c>
    </row>
    <row r="6334" spans="1:6" x14ac:dyDescent="0.25">
      <c r="A6334">
        <v>8887</v>
      </c>
      <c r="B6334" s="15">
        <v>45359</v>
      </c>
      <c r="C6334" s="114" t="s">
        <v>1</v>
      </c>
      <c r="D6334" s="114" t="s">
        <v>1</v>
      </c>
      <c r="E6334" s="3"/>
      <c r="F6334">
        <v>888</v>
      </c>
    </row>
    <row r="6335" spans="1:6" x14ac:dyDescent="0.25">
      <c r="A6335">
        <v>8887</v>
      </c>
      <c r="B6335" s="15">
        <v>45360</v>
      </c>
      <c r="C6335" s="133"/>
      <c r="D6335" s="133"/>
      <c r="E6335" s="3"/>
      <c r="F6335">
        <v>889</v>
      </c>
    </row>
    <row r="6336" spans="1:6" x14ac:dyDescent="0.25">
      <c r="A6336">
        <v>8887</v>
      </c>
      <c r="B6336" s="15">
        <v>45361</v>
      </c>
      <c r="C6336" s="133"/>
      <c r="D6336" s="133"/>
      <c r="E6336" s="3"/>
      <c r="F6336">
        <v>890</v>
      </c>
    </row>
    <row r="6337" spans="1:6" x14ac:dyDescent="0.25">
      <c r="A6337">
        <v>8887</v>
      </c>
      <c r="B6337" s="15">
        <v>45362</v>
      </c>
      <c r="C6337" s="114" t="s">
        <v>1</v>
      </c>
      <c r="D6337" s="114" t="s">
        <v>1</v>
      </c>
      <c r="E6337" s="3"/>
      <c r="F6337">
        <v>891</v>
      </c>
    </row>
    <row r="6338" spans="1:6" x14ac:dyDescent="0.25">
      <c r="A6338">
        <v>8887</v>
      </c>
      <c r="B6338" s="15">
        <v>45363</v>
      </c>
      <c r="C6338" s="114" t="s">
        <v>1</v>
      </c>
      <c r="D6338" s="114" t="s">
        <v>1</v>
      </c>
      <c r="E6338" s="3"/>
      <c r="F6338">
        <v>892</v>
      </c>
    </row>
    <row r="6339" spans="1:6" x14ac:dyDescent="0.25">
      <c r="A6339">
        <v>8887</v>
      </c>
      <c r="B6339" s="15">
        <v>45364</v>
      </c>
      <c r="C6339" s="114" t="s">
        <v>1</v>
      </c>
      <c r="D6339" s="114" t="s">
        <v>1</v>
      </c>
      <c r="E6339" s="3"/>
      <c r="F6339">
        <v>893</v>
      </c>
    </row>
    <row r="6340" spans="1:6" x14ac:dyDescent="0.25">
      <c r="A6340">
        <v>8887</v>
      </c>
      <c r="B6340" s="15">
        <v>45365</v>
      </c>
      <c r="C6340" s="114" t="s">
        <v>1</v>
      </c>
      <c r="D6340" s="114" t="s">
        <v>1</v>
      </c>
      <c r="E6340" s="3"/>
      <c r="F6340">
        <v>894</v>
      </c>
    </row>
    <row r="6341" spans="1:6" x14ac:dyDescent="0.25">
      <c r="A6341">
        <v>8887</v>
      </c>
      <c r="B6341" s="15">
        <v>45366</v>
      </c>
      <c r="C6341" s="114" t="s">
        <v>1</v>
      </c>
      <c r="D6341" s="114" t="s">
        <v>1</v>
      </c>
      <c r="E6341" s="3"/>
      <c r="F6341">
        <v>895</v>
      </c>
    </row>
    <row r="6342" spans="1:6" x14ac:dyDescent="0.25">
      <c r="A6342">
        <v>8887</v>
      </c>
      <c r="B6342" s="15">
        <v>45367</v>
      </c>
      <c r="C6342" s="133"/>
      <c r="D6342" s="133"/>
      <c r="E6342" s="3"/>
      <c r="F6342">
        <v>896</v>
      </c>
    </row>
    <row r="6343" spans="1:6" x14ac:dyDescent="0.25">
      <c r="A6343">
        <v>8887</v>
      </c>
      <c r="B6343" s="15">
        <v>45368</v>
      </c>
      <c r="C6343" s="133"/>
      <c r="D6343" s="133"/>
      <c r="E6343" s="3"/>
      <c r="F6343">
        <v>897</v>
      </c>
    </row>
    <row r="6344" spans="1:6" x14ac:dyDescent="0.25">
      <c r="A6344">
        <v>8887</v>
      </c>
      <c r="B6344" s="15">
        <v>45369</v>
      </c>
      <c r="C6344" s="114" t="s">
        <v>1</v>
      </c>
      <c r="D6344" s="114" t="s">
        <v>1</v>
      </c>
      <c r="E6344" s="3"/>
      <c r="F6344">
        <v>898</v>
      </c>
    </row>
    <row r="6345" spans="1:6" x14ac:dyDescent="0.25">
      <c r="A6345">
        <v>8887</v>
      </c>
      <c r="B6345" s="15">
        <v>45370</v>
      </c>
      <c r="C6345" s="114" t="s">
        <v>1</v>
      </c>
      <c r="D6345" s="114" t="s">
        <v>1</v>
      </c>
      <c r="E6345" s="3"/>
      <c r="F6345">
        <v>899</v>
      </c>
    </row>
    <row r="6346" spans="1:6" x14ac:dyDescent="0.25">
      <c r="A6346">
        <v>8887</v>
      </c>
      <c r="B6346" s="15">
        <v>45371</v>
      </c>
      <c r="C6346" s="114" t="s">
        <v>1</v>
      </c>
      <c r="D6346" s="114" t="s">
        <v>1</v>
      </c>
      <c r="E6346" s="3"/>
      <c r="F6346">
        <v>900</v>
      </c>
    </row>
    <row r="6347" spans="1:6" x14ac:dyDescent="0.25">
      <c r="A6347">
        <v>8887</v>
      </c>
      <c r="B6347" s="15">
        <v>45372</v>
      </c>
      <c r="C6347" s="110"/>
      <c r="D6347" s="110"/>
      <c r="E6347" s="3"/>
      <c r="F6347">
        <v>901</v>
      </c>
    </row>
    <row r="6348" spans="1:6" x14ac:dyDescent="0.25">
      <c r="A6348">
        <v>8887</v>
      </c>
      <c r="B6348" s="15">
        <v>45373</v>
      </c>
      <c r="C6348" s="110"/>
      <c r="D6348" s="110"/>
      <c r="E6348" s="3"/>
      <c r="F6348">
        <v>902</v>
      </c>
    </row>
    <row r="6349" spans="1:6" x14ac:dyDescent="0.25">
      <c r="A6349">
        <v>8887</v>
      </c>
      <c r="B6349" s="15">
        <v>45374</v>
      </c>
      <c r="C6349" s="133"/>
      <c r="D6349" s="133"/>
      <c r="E6349" s="3"/>
      <c r="F6349">
        <v>903</v>
      </c>
    </row>
    <row r="6350" spans="1:6" x14ac:dyDescent="0.25">
      <c r="A6350">
        <v>8887</v>
      </c>
      <c r="B6350" s="15">
        <v>45375</v>
      </c>
      <c r="C6350" s="133"/>
      <c r="D6350" s="133"/>
      <c r="E6350" s="3"/>
      <c r="F6350">
        <v>904</v>
      </c>
    </row>
    <row r="6351" spans="1:6" x14ac:dyDescent="0.25">
      <c r="A6351">
        <v>8887</v>
      </c>
      <c r="B6351" s="15">
        <v>45376</v>
      </c>
      <c r="C6351" s="110"/>
      <c r="D6351" s="110"/>
      <c r="E6351" s="3"/>
      <c r="F6351">
        <v>905</v>
      </c>
    </row>
    <row r="6352" spans="1:6" x14ac:dyDescent="0.25">
      <c r="A6352">
        <v>8887</v>
      </c>
      <c r="B6352" s="15">
        <v>45377</v>
      </c>
      <c r="C6352" s="110"/>
      <c r="D6352" s="110"/>
      <c r="E6352" s="3"/>
      <c r="F6352">
        <v>906</v>
      </c>
    </row>
    <row r="6353" spans="1:6" x14ac:dyDescent="0.25">
      <c r="A6353">
        <v>8887</v>
      </c>
      <c r="B6353" s="15">
        <v>45378</v>
      </c>
      <c r="C6353" s="110"/>
      <c r="D6353" s="110"/>
      <c r="E6353" s="3"/>
      <c r="F6353">
        <v>907</v>
      </c>
    </row>
    <row r="6354" spans="1:6" x14ac:dyDescent="0.25">
      <c r="A6354">
        <v>8887</v>
      </c>
      <c r="B6354" s="15">
        <v>45379</v>
      </c>
      <c r="C6354" s="110"/>
      <c r="D6354" s="110"/>
      <c r="E6354" s="3"/>
      <c r="F6354">
        <v>908</v>
      </c>
    </row>
    <row r="6355" spans="1:6" x14ac:dyDescent="0.25">
      <c r="A6355">
        <v>8887</v>
      </c>
      <c r="B6355" s="15">
        <v>45380</v>
      </c>
      <c r="C6355" s="110"/>
      <c r="D6355" s="110"/>
      <c r="E6355" s="3"/>
      <c r="F6355">
        <v>909</v>
      </c>
    </row>
    <row r="6356" spans="1:6" x14ac:dyDescent="0.25">
      <c r="A6356">
        <v>8887</v>
      </c>
      <c r="B6356" s="15">
        <v>45381</v>
      </c>
      <c r="C6356" s="133"/>
      <c r="D6356" s="133"/>
      <c r="E6356" s="3"/>
      <c r="F6356">
        <v>910</v>
      </c>
    </row>
    <row r="6357" spans="1:6" x14ac:dyDescent="0.25">
      <c r="A6357">
        <v>8887</v>
      </c>
      <c r="B6357" s="15">
        <v>45382</v>
      </c>
      <c r="C6357" s="133"/>
      <c r="D6357" s="133"/>
      <c r="E6357" s="3"/>
      <c r="F6357">
        <v>911</v>
      </c>
    </row>
    <row r="6358" spans="1:6" x14ac:dyDescent="0.25">
      <c r="A6358">
        <v>8887</v>
      </c>
      <c r="B6358" s="15">
        <v>45383</v>
      </c>
      <c r="C6358" s="133"/>
      <c r="D6358" s="133"/>
      <c r="E6358" s="3"/>
      <c r="F6358">
        <v>912</v>
      </c>
    </row>
    <row r="6359" spans="1:6" x14ac:dyDescent="0.25">
      <c r="A6359">
        <v>8887</v>
      </c>
      <c r="B6359" s="15">
        <v>45384</v>
      </c>
      <c r="C6359" s="110"/>
      <c r="D6359" s="110"/>
      <c r="E6359" s="3"/>
      <c r="F6359">
        <v>913</v>
      </c>
    </row>
    <row r="6360" spans="1:6" x14ac:dyDescent="0.25">
      <c r="A6360">
        <v>8887</v>
      </c>
      <c r="B6360" s="15">
        <v>45385</v>
      </c>
      <c r="C6360" s="110"/>
      <c r="D6360" s="110"/>
      <c r="E6360" s="3"/>
      <c r="F6360">
        <v>914</v>
      </c>
    </row>
    <row r="6361" spans="1:6" x14ac:dyDescent="0.25">
      <c r="A6361">
        <v>8887</v>
      </c>
      <c r="B6361" s="15">
        <v>45386</v>
      </c>
      <c r="C6361" s="110"/>
      <c r="D6361" s="110"/>
      <c r="E6361" s="3"/>
      <c r="F6361">
        <v>915</v>
      </c>
    </row>
    <row r="6362" spans="1:6" x14ac:dyDescent="0.25">
      <c r="A6362">
        <v>8887</v>
      </c>
      <c r="B6362" s="15">
        <v>45387</v>
      </c>
      <c r="C6362" s="110"/>
      <c r="D6362" s="110"/>
      <c r="E6362" s="3"/>
      <c r="F6362">
        <v>916</v>
      </c>
    </row>
    <row r="6363" spans="1:6" x14ac:dyDescent="0.25">
      <c r="A6363">
        <v>8887</v>
      </c>
      <c r="B6363" s="15">
        <v>45388</v>
      </c>
      <c r="C6363" s="133"/>
      <c r="D6363" s="133"/>
      <c r="E6363" s="3"/>
      <c r="F6363">
        <v>917</v>
      </c>
    </row>
    <row r="6364" spans="1:6" x14ac:dyDescent="0.25">
      <c r="A6364">
        <v>8887</v>
      </c>
      <c r="B6364" s="15">
        <v>45389</v>
      </c>
      <c r="C6364" s="133"/>
      <c r="D6364" s="133"/>
      <c r="E6364" s="3"/>
      <c r="F6364">
        <v>918</v>
      </c>
    </row>
    <row r="6365" spans="1:6" x14ac:dyDescent="0.25">
      <c r="A6365">
        <v>8887</v>
      </c>
      <c r="B6365" s="15">
        <v>45390</v>
      </c>
      <c r="C6365" s="110"/>
      <c r="D6365" s="110"/>
      <c r="E6365" s="3"/>
      <c r="F6365">
        <v>919</v>
      </c>
    </row>
    <row r="6366" spans="1:6" x14ac:dyDescent="0.25">
      <c r="A6366">
        <v>8887</v>
      </c>
      <c r="B6366" s="15">
        <v>45391</v>
      </c>
      <c r="C6366" s="110"/>
      <c r="D6366" s="110"/>
      <c r="E6366" s="3"/>
      <c r="F6366">
        <v>920</v>
      </c>
    </row>
    <row r="6367" spans="1:6" x14ac:dyDescent="0.25">
      <c r="A6367">
        <v>8887</v>
      </c>
      <c r="B6367" s="15">
        <v>45392</v>
      </c>
      <c r="C6367" s="110"/>
      <c r="D6367" s="110"/>
      <c r="E6367" s="3"/>
      <c r="F6367">
        <v>921</v>
      </c>
    </row>
    <row r="6368" spans="1:6" x14ac:dyDescent="0.25">
      <c r="A6368">
        <v>8887</v>
      </c>
      <c r="B6368" s="15">
        <v>45393</v>
      </c>
      <c r="C6368" s="110"/>
      <c r="D6368" s="110"/>
      <c r="E6368" s="3"/>
      <c r="F6368">
        <v>922</v>
      </c>
    </row>
    <row r="6369" spans="1:6" x14ac:dyDescent="0.25">
      <c r="A6369">
        <v>8887</v>
      </c>
      <c r="B6369" s="15">
        <v>45394</v>
      </c>
      <c r="C6369" s="110"/>
      <c r="D6369" s="110"/>
      <c r="E6369" s="3"/>
      <c r="F6369">
        <v>923</v>
      </c>
    </row>
    <row r="6370" spans="1:6" x14ac:dyDescent="0.25">
      <c r="A6370">
        <v>8887</v>
      </c>
      <c r="B6370" s="15">
        <v>45395</v>
      </c>
      <c r="C6370" s="133"/>
      <c r="D6370" s="133"/>
      <c r="E6370" s="3"/>
      <c r="F6370">
        <v>924</v>
      </c>
    </row>
    <row r="6371" spans="1:6" x14ac:dyDescent="0.25">
      <c r="A6371">
        <v>8887</v>
      </c>
      <c r="B6371" s="15">
        <v>45396</v>
      </c>
      <c r="C6371" s="133"/>
      <c r="D6371" s="133"/>
      <c r="E6371" s="3"/>
      <c r="F6371">
        <v>925</v>
      </c>
    </row>
    <row r="6372" spans="1:6" x14ac:dyDescent="0.25">
      <c r="A6372">
        <v>8887</v>
      </c>
      <c r="B6372" s="15">
        <v>45397</v>
      </c>
      <c r="C6372" s="110"/>
      <c r="D6372" s="110"/>
      <c r="E6372" s="3"/>
      <c r="F6372">
        <v>926</v>
      </c>
    </row>
    <row r="6373" spans="1:6" x14ac:dyDescent="0.25">
      <c r="A6373">
        <v>8887</v>
      </c>
      <c r="B6373" s="15">
        <v>45398</v>
      </c>
      <c r="C6373" s="127"/>
      <c r="D6373" s="127"/>
      <c r="E6373" s="3"/>
      <c r="F6373">
        <v>927</v>
      </c>
    </row>
    <row r="6374" spans="1:6" x14ac:dyDescent="0.25">
      <c r="A6374">
        <v>8887</v>
      </c>
      <c r="B6374" s="15">
        <v>45399</v>
      </c>
      <c r="C6374" s="110"/>
      <c r="D6374" s="110"/>
      <c r="E6374" s="3"/>
      <c r="F6374">
        <v>928</v>
      </c>
    </row>
    <row r="6375" spans="1:6" x14ac:dyDescent="0.25">
      <c r="A6375">
        <v>8887</v>
      </c>
      <c r="B6375" s="15">
        <v>45400</v>
      </c>
      <c r="C6375" s="110"/>
      <c r="D6375" s="110"/>
      <c r="E6375" s="3"/>
      <c r="F6375">
        <v>929</v>
      </c>
    </row>
    <row r="6376" spans="1:6" x14ac:dyDescent="0.25">
      <c r="A6376">
        <v>8887</v>
      </c>
      <c r="B6376" s="15">
        <v>45401</v>
      </c>
      <c r="C6376" s="110"/>
      <c r="D6376" s="110"/>
      <c r="E6376" s="3"/>
      <c r="F6376">
        <v>930</v>
      </c>
    </row>
    <row r="6377" spans="1:6" x14ac:dyDescent="0.25">
      <c r="A6377">
        <v>8887</v>
      </c>
      <c r="B6377" s="15">
        <v>45402</v>
      </c>
      <c r="C6377" s="133"/>
      <c r="D6377" s="133"/>
      <c r="E6377" s="3"/>
      <c r="F6377">
        <v>931</v>
      </c>
    </row>
    <row r="6378" spans="1:6" x14ac:dyDescent="0.25">
      <c r="A6378">
        <v>8887</v>
      </c>
      <c r="B6378" s="15">
        <v>45403</v>
      </c>
      <c r="C6378" s="133"/>
      <c r="D6378" s="133"/>
      <c r="E6378" s="3"/>
      <c r="F6378">
        <v>932</v>
      </c>
    </row>
    <row r="6379" spans="1:6" x14ac:dyDescent="0.25">
      <c r="A6379">
        <v>8887</v>
      </c>
      <c r="B6379" s="15">
        <v>45404</v>
      </c>
      <c r="C6379" s="110"/>
      <c r="D6379" s="110"/>
      <c r="E6379" s="3"/>
      <c r="F6379">
        <v>933</v>
      </c>
    </row>
    <row r="6380" spans="1:6" x14ac:dyDescent="0.25">
      <c r="A6380">
        <v>8887</v>
      </c>
      <c r="B6380" s="15">
        <v>45405</v>
      </c>
      <c r="C6380" s="110"/>
      <c r="D6380" s="110"/>
      <c r="E6380" s="3"/>
      <c r="F6380">
        <v>934</v>
      </c>
    </row>
    <row r="6381" spans="1:6" x14ac:dyDescent="0.25">
      <c r="A6381">
        <v>8887</v>
      </c>
      <c r="B6381" s="15">
        <v>45406</v>
      </c>
      <c r="C6381" s="110"/>
      <c r="D6381" s="110"/>
      <c r="E6381" s="3"/>
      <c r="F6381">
        <v>935</v>
      </c>
    </row>
    <row r="6382" spans="1:6" x14ac:dyDescent="0.25">
      <c r="A6382">
        <v>8887</v>
      </c>
      <c r="B6382" s="15">
        <v>45407</v>
      </c>
      <c r="C6382" s="110"/>
      <c r="D6382" s="110"/>
      <c r="E6382" s="3"/>
      <c r="F6382">
        <v>936</v>
      </c>
    </row>
    <row r="6383" spans="1:6" x14ac:dyDescent="0.25">
      <c r="A6383">
        <v>8887</v>
      </c>
      <c r="B6383" s="15">
        <v>45408</v>
      </c>
      <c r="C6383" s="110"/>
      <c r="D6383" s="110"/>
      <c r="E6383" s="3"/>
      <c r="F6383">
        <v>937</v>
      </c>
    </row>
    <row r="6384" spans="1:6" x14ac:dyDescent="0.25">
      <c r="A6384">
        <v>8887</v>
      </c>
      <c r="B6384" s="15">
        <v>45409</v>
      </c>
      <c r="C6384" s="133"/>
      <c r="D6384" s="133"/>
      <c r="E6384" s="3"/>
      <c r="F6384">
        <v>938</v>
      </c>
    </row>
    <row r="6385" spans="1:6" x14ac:dyDescent="0.25">
      <c r="A6385">
        <v>8887</v>
      </c>
      <c r="B6385" s="15">
        <v>45410</v>
      </c>
      <c r="C6385" s="133"/>
      <c r="D6385" s="133"/>
      <c r="E6385" s="3"/>
      <c r="F6385">
        <v>939</v>
      </c>
    </row>
    <row r="6386" spans="1:6" x14ac:dyDescent="0.25">
      <c r="A6386">
        <v>8887</v>
      </c>
      <c r="B6386" s="15">
        <v>45411</v>
      </c>
      <c r="C6386" s="110"/>
      <c r="D6386" s="110"/>
      <c r="E6386" s="3"/>
      <c r="F6386">
        <v>940</v>
      </c>
    </row>
    <row r="6387" spans="1:6" x14ac:dyDescent="0.25">
      <c r="A6387">
        <v>8887</v>
      </c>
      <c r="B6387" s="15">
        <v>45412</v>
      </c>
      <c r="C6387" s="110"/>
      <c r="D6387" s="110"/>
      <c r="E6387" s="3"/>
      <c r="F6387">
        <v>941</v>
      </c>
    </row>
    <row r="6388" spans="1:6" x14ac:dyDescent="0.25">
      <c r="A6388">
        <v>8887</v>
      </c>
      <c r="B6388" s="15">
        <v>45413</v>
      </c>
      <c r="C6388" s="119"/>
      <c r="D6388" s="119"/>
      <c r="E6388" s="3"/>
      <c r="F6388">
        <v>942</v>
      </c>
    </row>
    <row r="6389" spans="1:6" x14ac:dyDescent="0.25">
      <c r="A6389">
        <v>8887</v>
      </c>
      <c r="B6389" s="15">
        <v>45414</v>
      </c>
      <c r="C6389" s="110"/>
      <c r="D6389" s="110"/>
      <c r="E6389" s="3"/>
      <c r="F6389">
        <v>943</v>
      </c>
    </row>
    <row r="6390" spans="1:6" x14ac:dyDescent="0.25">
      <c r="A6390">
        <v>8887</v>
      </c>
      <c r="B6390" s="15">
        <v>45415</v>
      </c>
      <c r="C6390" s="110"/>
      <c r="D6390" s="110"/>
      <c r="E6390" s="3"/>
      <c r="F6390">
        <v>944</v>
      </c>
    </row>
    <row r="6391" spans="1:6" x14ac:dyDescent="0.25">
      <c r="A6391">
        <v>8887</v>
      </c>
      <c r="B6391" s="15">
        <v>45416</v>
      </c>
      <c r="C6391" s="133"/>
      <c r="D6391" s="133"/>
      <c r="E6391" s="3"/>
      <c r="F6391">
        <v>945</v>
      </c>
    </row>
    <row r="6392" spans="1:6" x14ac:dyDescent="0.25">
      <c r="A6392">
        <v>8887</v>
      </c>
      <c r="B6392" s="15">
        <v>45417</v>
      </c>
      <c r="C6392" s="133"/>
      <c r="D6392" s="133"/>
      <c r="E6392" s="3"/>
      <c r="F6392">
        <v>946</v>
      </c>
    </row>
    <row r="6393" spans="1:6" x14ac:dyDescent="0.25">
      <c r="A6393">
        <v>8887</v>
      </c>
      <c r="B6393" s="15">
        <v>45418</v>
      </c>
      <c r="C6393" s="110"/>
      <c r="D6393" s="110"/>
      <c r="E6393" s="3"/>
      <c r="F6393">
        <v>947</v>
      </c>
    </row>
    <row r="6394" spans="1:6" x14ac:dyDescent="0.25">
      <c r="A6394">
        <v>8887</v>
      </c>
      <c r="B6394" s="15">
        <v>45419</v>
      </c>
      <c r="C6394" s="110"/>
      <c r="D6394" s="110"/>
      <c r="E6394" s="3"/>
      <c r="F6394">
        <v>948</v>
      </c>
    </row>
    <row r="6395" spans="1:6" x14ac:dyDescent="0.25">
      <c r="A6395">
        <v>8887</v>
      </c>
      <c r="B6395" s="15">
        <v>45420</v>
      </c>
      <c r="C6395" s="119"/>
      <c r="D6395" s="119"/>
      <c r="E6395" s="3"/>
      <c r="F6395">
        <v>949</v>
      </c>
    </row>
    <row r="6396" spans="1:6" x14ac:dyDescent="0.25">
      <c r="A6396">
        <v>8887</v>
      </c>
      <c r="B6396" s="15">
        <v>45421</v>
      </c>
      <c r="C6396" s="110"/>
      <c r="D6396" s="110"/>
      <c r="E6396" s="3"/>
      <c r="F6396">
        <v>950</v>
      </c>
    </row>
    <row r="6397" spans="1:6" x14ac:dyDescent="0.25">
      <c r="A6397">
        <v>8887</v>
      </c>
      <c r="B6397" s="15">
        <v>45422</v>
      </c>
      <c r="C6397" s="110"/>
      <c r="D6397" s="110"/>
      <c r="E6397" s="3"/>
      <c r="F6397">
        <v>951</v>
      </c>
    </row>
    <row r="6398" spans="1:6" x14ac:dyDescent="0.25">
      <c r="A6398">
        <v>8887</v>
      </c>
      <c r="B6398" s="15">
        <v>45423</v>
      </c>
      <c r="C6398" s="133"/>
      <c r="D6398" s="133"/>
      <c r="E6398" s="3"/>
      <c r="F6398">
        <v>952</v>
      </c>
    </row>
    <row r="6399" spans="1:6" x14ac:dyDescent="0.25">
      <c r="A6399">
        <v>8887</v>
      </c>
      <c r="B6399" s="15">
        <v>45424</v>
      </c>
      <c r="C6399" s="133"/>
      <c r="D6399" s="133"/>
      <c r="E6399" s="3"/>
      <c r="F6399">
        <v>953</v>
      </c>
    </row>
    <row r="6400" spans="1:6" x14ac:dyDescent="0.25">
      <c r="A6400">
        <v>8887</v>
      </c>
      <c r="B6400" s="15">
        <v>45425</v>
      </c>
      <c r="C6400" s="110"/>
      <c r="D6400" s="110"/>
      <c r="E6400" s="3"/>
      <c r="F6400">
        <v>954</v>
      </c>
    </row>
    <row r="6401" spans="1:6" x14ac:dyDescent="0.25">
      <c r="A6401">
        <v>8887</v>
      </c>
      <c r="B6401" s="15">
        <v>45426</v>
      </c>
      <c r="C6401" s="127"/>
      <c r="D6401" s="127"/>
      <c r="E6401" s="3"/>
      <c r="F6401">
        <v>955</v>
      </c>
    </row>
    <row r="6402" spans="1:6" x14ac:dyDescent="0.25">
      <c r="A6402">
        <v>8887</v>
      </c>
      <c r="B6402" s="15">
        <v>45427</v>
      </c>
      <c r="C6402" s="110"/>
      <c r="D6402" s="110"/>
      <c r="E6402" s="3"/>
      <c r="F6402">
        <v>956</v>
      </c>
    </row>
    <row r="6403" spans="1:6" x14ac:dyDescent="0.25">
      <c r="A6403">
        <v>8887</v>
      </c>
      <c r="B6403" s="15">
        <v>45428</v>
      </c>
      <c r="C6403" s="110"/>
      <c r="D6403" s="110"/>
      <c r="E6403" s="3"/>
      <c r="F6403">
        <v>957</v>
      </c>
    </row>
    <row r="6404" spans="1:6" x14ac:dyDescent="0.25">
      <c r="A6404">
        <v>8887</v>
      </c>
      <c r="B6404" s="15">
        <v>45429</v>
      </c>
      <c r="C6404" s="110"/>
      <c r="D6404" s="110"/>
      <c r="E6404" s="3"/>
      <c r="F6404">
        <v>958</v>
      </c>
    </row>
    <row r="6405" spans="1:6" x14ac:dyDescent="0.25">
      <c r="A6405">
        <v>8887</v>
      </c>
      <c r="B6405" s="15">
        <v>45430</v>
      </c>
      <c r="C6405" s="133"/>
      <c r="D6405" s="133"/>
      <c r="E6405" s="3"/>
      <c r="F6405">
        <v>959</v>
      </c>
    </row>
    <row r="6406" spans="1:6" x14ac:dyDescent="0.25">
      <c r="A6406">
        <v>8887</v>
      </c>
      <c r="B6406" s="15">
        <v>45431</v>
      </c>
      <c r="C6406" s="133"/>
      <c r="D6406" s="133"/>
      <c r="E6406" s="3"/>
      <c r="F6406">
        <v>960</v>
      </c>
    </row>
    <row r="6407" spans="1:6" x14ac:dyDescent="0.25">
      <c r="A6407">
        <v>8887</v>
      </c>
      <c r="B6407" s="15">
        <v>45432</v>
      </c>
      <c r="C6407" s="110"/>
      <c r="D6407" s="110"/>
      <c r="E6407" s="3"/>
      <c r="F6407">
        <v>961</v>
      </c>
    </row>
    <row r="6408" spans="1:6" x14ac:dyDescent="0.25">
      <c r="A6408">
        <v>8887</v>
      </c>
      <c r="B6408" s="15">
        <v>45433</v>
      </c>
      <c r="C6408" s="110"/>
      <c r="D6408" s="110"/>
      <c r="E6408" s="3"/>
      <c r="F6408">
        <v>962</v>
      </c>
    </row>
    <row r="6409" spans="1:6" x14ac:dyDescent="0.25">
      <c r="A6409">
        <v>8887</v>
      </c>
      <c r="B6409" s="15">
        <v>45434</v>
      </c>
      <c r="C6409" s="110"/>
      <c r="D6409" s="110"/>
      <c r="E6409" s="3"/>
      <c r="F6409">
        <v>963</v>
      </c>
    </row>
    <row r="6410" spans="1:6" x14ac:dyDescent="0.25">
      <c r="A6410">
        <v>8887</v>
      </c>
      <c r="B6410" s="15">
        <v>45435</v>
      </c>
      <c r="C6410" s="110"/>
      <c r="D6410" s="110"/>
      <c r="E6410" s="3"/>
      <c r="F6410">
        <v>964</v>
      </c>
    </row>
    <row r="6411" spans="1:6" x14ac:dyDescent="0.25">
      <c r="A6411">
        <v>8887</v>
      </c>
      <c r="B6411" s="15">
        <v>45436</v>
      </c>
      <c r="C6411" s="110"/>
      <c r="D6411" s="110"/>
      <c r="E6411" s="3"/>
      <c r="F6411">
        <v>965</v>
      </c>
    </row>
    <row r="6412" spans="1:6" x14ac:dyDescent="0.25">
      <c r="A6412">
        <v>8887</v>
      </c>
      <c r="B6412" s="15">
        <v>45437</v>
      </c>
      <c r="C6412" s="133"/>
      <c r="D6412" s="133"/>
      <c r="E6412" s="3"/>
      <c r="F6412">
        <v>966</v>
      </c>
    </row>
    <row r="6413" spans="1:6" x14ac:dyDescent="0.25">
      <c r="A6413">
        <v>8887</v>
      </c>
      <c r="B6413" s="15">
        <v>45438</v>
      </c>
      <c r="C6413" s="133"/>
      <c r="D6413" s="133"/>
      <c r="E6413" s="3"/>
      <c r="F6413">
        <v>967</v>
      </c>
    </row>
    <row r="6414" spans="1:6" x14ac:dyDescent="0.25">
      <c r="A6414">
        <v>8887</v>
      </c>
      <c r="B6414" s="15">
        <v>45439</v>
      </c>
      <c r="C6414" s="110"/>
      <c r="D6414" s="110"/>
      <c r="E6414" s="3"/>
      <c r="F6414">
        <v>968</v>
      </c>
    </row>
    <row r="6415" spans="1:6" x14ac:dyDescent="0.25">
      <c r="A6415">
        <v>8887</v>
      </c>
      <c r="B6415" s="15">
        <v>45440</v>
      </c>
      <c r="C6415" s="110"/>
      <c r="D6415" s="110"/>
      <c r="E6415" s="3"/>
      <c r="F6415">
        <v>969</v>
      </c>
    </row>
    <row r="6416" spans="1:6" x14ac:dyDescent="0.25">
      <c r="A6416">
        <v>8887</v>
      </c>
      <c r="B6416" s="15">
        <v>45441</v>
      </c>
      <c r="C6416" s="110"/>
      <c r="D6416" s="110"/>
      <c r="E6416" s="3"/>
      <c r="F6416">
        <v>970</v>
      </c>
    </row>
    <row r="6417" spans="1:6" x14ac:dyDescent="0.25">
      <c r="A6417">
        <v>8887</v>
      </c>
      <c r="B6417" s="15">
        <v>45442</v>
      </c>
      <c r="C6417" s="110"/>
      <c r="D6417" s="110"/>
      <c r="E6417" s="3"/>
      <c r="F6417">
        <v>971</v>
      </c>
    </row>
    <row r="6418" spans="1:6" x14ac:dyDescent="0.25">
      <c r="A6418">
        <v>8887</v>
      </c>
      <c r="B6418" s="15">
        <v>45443</v>
      </c>
      <c r="C6418" s="110"/>
      <c r="D6418" s="110"/>
      <c r="E6418" s="3"/>
      <c r="F6418">
        <v>972</v>
      </c>
    </row>
    <row r="6419" spans="1:6" x14ac:dyDescent="0.25">
      <c r="A6419">
        <v>8887</v>
      </c>
      <c r="B6419" s="15">
        <v>45444</v>
      </c>
      <c r="C6419" s="133"/>
      <c r="D6419" s="133"/>
      <c r="E6419" s="3"/>
      <c r="F6419">
        <v>973</v>
      </c>
    </row>
    <row r="6420" spans="1:6" x14ac:dyDescent="0.25">
      <c r="A6420">
        <v>8887</v>
      </c>
      <c r="B6420" s="15">
        <v>45445</v>
      </c>
      <c r="C6420" s="133"/>
      <c r="D6420" s="133"/>
      <c r="E6420" s="3"/>
      <c r="F6420">
        <v>974</v>
      </c>
    </row>
    <row r="6421" spans="1:6" x14ac:dyDescent="0.25">
      <c r="A6421">
        <v>8887</v>
      </c>
      <c r="B6421" s="15">
        <v>45446</v>
      </c>
      <c r="C6421" s="110"/>
      <c r="D6421" s="110"/>
      <c r="E6421" s="3"/>
      <c r="F6421">
        <v>975</v>
      </c>
    </row>
    <row r="6422" spans="1:6" x14ac:dyDescent="0.25">
      <c r="A6422">
        <v>8887</v>
      </c>
      <c r="B6422" s="15">
        <v>45447</v>
      </c>
      <c r="C6422" s="110"/>
      <c r="D6422" s="110"/>
      <c r="E6422" s="3"/>
      <c r="F6422">
        <v>976</v>
      </c>
    </row>
    <row r="6423" spans="1:6" x14ac:dyDescent="0.25">
      <c r="A6423">
        <v>8887</v>
      </c>
      <c r="B6423" s="15">
        <v>45448</v>
      </c>
      <c r="C6423" s="110"/>
      <c r="D6423" s="110"/>
      <c r="E6423" s="3"/>
      <c r="F6423">
        <v>977</v>
      </c>
    </row>
    <row r="6424" spans="1:6" x14ac:dyDescent="0.25">
      <c r="A6424">
        <v>8887</v>
      </c>
      <c r="B6424" s="15">
        <v>45449</v>
      </c>
      <c r="C6424" s="110"/>
      <c r="D6424" s="110"/>
      <c r="E6424" s="3"/>
      <c r="F6424">
        <v>978</v>
      </c>
    </row>
    <row r="6425" spans="1:6" x14ac:dyDescent="0.25">
      <c r="A6425">
        <v>8887</v>
      </c>
      <c r="B6425" s="15">
        <v>45450</v>
      </c>
      <c r="C6425" s="110"/>
      <c r="D6425" s="110"/>
      <c r="E6425" s="3"/>
      <c r="F6425">
        <v>979</v>
      </c>
    </row>
    <row r="6426" spans="1:6" x14ac:dyDescent="0.25">
      <c r="A6426">
        <v>8887</v>
      </c>
      <c r="B6426" s="15">
        <v>45451</v>
      </c>
      <c r="C6426" s="133"/>
      <c r="D6426" s="133"/>
      <c r="E6426" s="3"/>
      <c r="F6426">
        <v>980</v>
      </c>
    </row>
    <row r="6427" spans="1:6" x14ac:dyDescent="0.25">
      <c r="A6427">
        <v>8887</v>
      </c>
      <c r="B6427" s="15">
        <v>45452</v>
      </c>
      <c r="C6427" s="133"/>
      <c r="D6427" s="133"/>
      <c r="E6427" s="3"/>
      <c r="F6427">
        <v>981</v>
      </c>
    </row>
    <row r="6428" spans="1:6" x14ac:dyDescent="0.25">
      <c r="A6428">
        <v>8887</v>
      </c>
      <c r="B6428" s="15">
        <v>45453</v>
      </c>
      <c r="C6428" s="110"/>
      <c r="D6428" s="110"/>
      <c r="E6428" s="3"/>
      <c r="F6428">
        <v>982</v>
      </c>
    </row>
    <row r="6429" spans="1:6" x14ac:dyDescent="0.25">
      <c r="A6429">
        <v>8887</v>
      </c>
      <c r="B6429" s="15">
        <v>45454</v>
      </c>
      <c r="C6429" s="127"/>
      <c r="D6429" s="127"/>
      <c r="E6429" s="3"/>
      <c r="F6429">
        <v>983</v>
      </c>
    </row>
    <row r="6430" spans="1:6" x14ac:dyDescent="0.25">
      <c r="A6430">
        <v>8887</v>
      </c>
      <c r="B6430" s="15">
        <v>45455</v>
      </c>
      <c r="C6430" s="110"/>
      <c r="D6430" s="110"/>
      <c r="E6430" s="3"/>
      <c r="F6430">
        <v>984</v>
      </c>
    </row>
    <row r="6431" spans="1:6" x14ac:dyDescent="0.25">
      <c r="A6431">
        <v>8887</v>
      </c>
      <c r="B6431" s="15">
        <v>45456</v>
      </c>
      <c r="C6431" s="110"/>
      <c r="D6431" s="110"/>
      <c r="E6431" s="3"/>
      <c r="F6431">
        <v>985</v>
      </c>
    </row>
    <row r="6432" spans="1:6" x14ac:dyDescent="0.25">
      <c r="A6432">
        <v>8887</v>
      </c>
      <c r="B6432" s="15">
        <v>45457</v>
      </c>
      <c r="C6432" s="110"/>
      <c r="D6432" s="110"/>
      <c r="E6432" s="3"/>
      <c r="F6432">
        <v>986</v>
      </c>
    </row>
    <row r="6433" spans="1:6" x14ac:dyDescent="0.25">
      <c r="A6433">
        <v>8887</v>
      </c>
      <c r="B6433" s="15">
        <v>45458</v>
      </c>
      <c r="C6433" s="133"/>
      <c r="D6433" s="133"/>
      <c r="E6433" s="3"/>
      <c r="F6433">
        <v>987</v>
      </c>
    </row>
    <row r="6434" spans="1:6" x14ac:dyDescent="0.25">
      <c r="A6434">
        <v>8887</v>
      </c>
      <c r="B6434" s="15">
        <v>45459</v>
      </c>
      <c r="C6434" s="133"/>
      <c r="D6434" s="133"/>
      <c r="E6434" s="3"/>
      <c r="F6434">
        <v>988</v>
      </c>
    </row>
    <row r="6435" spans="1:6" x14ac:dyDescent="0.25">
      <c r="A6435">
        <v>8887</v>
      </c>
      <c r="B6435" s="15">
        <v>45460</v>
      </c>
      <c r="C6435" s="110"/>
      <c r="D6435" s="110"/>
      <c r="E6435" s="3"/>
      <c r="F6435">
        <v>989</v>
      </c>
    </row>
    <row r="6436" spans="1:6" x14ac:dyDescent="0.25">
      <c r="A6436">
        <v>8887</v>
      </c>
      <c r="B6436" s="15">
        <v>45461</v>
      </c>
      <c r="C6436" s="110"/>
      <c r="D6436" s="110"/>
      <c r="E6436" s="3"/>
      <c r="F6436">
        <v>990</v>
      </c>
    </row>
    <row r="6437" spans="1:6" x14ac:dyDescent="0.25">
      <c r="A6437">
        <v>8887</v>
      </c>
      <c r="B6437" s="15">
        <v>45462</v>
      </c>
      <c r="C6437" s="110"/>
      <c r="D6437" s="110"/>
      <c r="E6437" s="3"/>
      <c r="F6437">
        <v>991</v>
      </c>
    </row>
    <row r="6438" spans="1:6" x14ac:dyDescent="0.25">
      <c r="A6438">
        <v>8887</v>
      </c>
      <c r="B6438" s="15">
        <v>45463</v>
      </c>
      <c r="C6438" s="110"/>
      <c r="D6438" s="110"/>
      <c r="E6438" s="3"/>
      <c r="F6438">
        <v>992</v>
      </c>
    </row>
    <row r="6439" spans="1:6" x14ac:dyDescent="0.25">
      <c r="A6439">
        <v>8887</v>
      </c>
      <c r="B6439" s="15">
        <v>45464</v>
      </c>
      <c r="C6439" s="110"/>
      <c r="D6439" s="110"/>
      <c r="E6439" s="3"/>
      <c r="F6439">
        <v>993</v>
      </c>
    </row>
    <row r="6440" spans="1:6" x14ac:dyDescent="0.25">
      <c r="A6440">
        <v>8887</v>
      </c>
      <c r="B6440" s="15">
        <v>45465</v>
      </c>
      <c r="C6440" s="133"/>
      <c r="D6440" s="133"/>
      <c r="E6440" s="3"/>
      <c r="F6440">
        <v>994</v>
      </c>
    </row>
    <row r="6441" spans="1:6" x14ac:dyDescent="0.25">
      <c r="A6441">
        <v>8887</v>
      </c>
      <c r="B6441" s="15">
        <v>45466</v>
      </c>
      <c r="C6441" s="133"/>
      <c r="D6441" s="133"/>
      <c r="E6441" s="3"/>
      <c r="F6441">
        <v>995</v>
      </c>
    </row>
    <row r="6442" spans="1:6" x14ac:dyDescent="0.25">
      <c r="A6442">
        <v>8887</v>
      </c>
      <c r="B6442" s="15">
        <v>45467</v>
      </c>
      <c r="C6442" s="110"/>
      <c r="D6442" s="110"/>
      <c r="E6442" s="3"/>
      <c r="F6442">
        <v>996</v>
      </c>
    </row>
    <row r="6443" spans="1:6" x14ac:dyDescent="0.25">
      <c r="A6443">
        <v>8887</v>
      </c>
      <c r="B6443" s="15">
        <v>45468</v>
      </c>
      <c r="C6443" s="110"/>
      <c r="D6443" s="110"/>
      <c r="E6443" s="3"/>
      <c r="F6443">
        <v>997</v>
      </c>
    </row>
    <row r="6444" spans="1:6" x14ac:dyDescent="0.25">
      <c r="A6444">
        <v>8887</v>
      </c>
      <c r="B6444" s="15">
        <v>45469</v>
      </c>
      <c r="C6444" s="110"/>
      <c r="D6444" s="110"/>
      <c r="E6444" s="3"/>
      <c r="F6444">
        <v>998</v>
      </c>
    </row>
    <row r="6445" spans="1:6" x14ac:dyDescent="0.25">
      <c r="A6445">
        <v>8887</v>
      </c>
      <c r="B6445" s="15">
        <v>45470</v>
      </c>
      <c r="C6445" s="110"/>
      <c r="D6445" s="110"/>
      <c r="E6445" s="3"/>
      <c r="F6445">
        <v>999</v>
      </c>
    </row>
    <row r="6446" spans="1:6" x14ac:dyDescent="0.25">
      <c r="A6446">
        <v>8887</v>
      </c>
      <c r="B6446" s="15">
        <v>45471</v>
      </c>
      <c r="C6446" s="110"/>
      <c r="D6446" s="110"/>
      <c r="E6446" s="3"/>
      <c r="F6446">
        <v>1000</v>
      </c>
    </row>
    <row r="6447" spans="1:6" x14ac:dyDescent="0.25">
      <c r="A6447">
        <v>8887</v>
      </c>
      <c r="B6447" s="15">
        <v>45472</v>
      </c>
      <c r="C6447" s="133"/>
      <c r="D6447" s="133"/>
      <c r="E6447" s="3"/>
      <c r="F6447">
        <v>1001</v>
      </c>
    </row>
    <row r="6448" spans="1:6" x14ac:dyDescent="0.25">
      <c r="A6448">
        <v>8887</v>
      </c>
      <c r="B6448" s="15">
        <v>45473</v>
      </c>
      <c r="C6448" s="133"/>
      <c r="D6448" s="133"/>
      <c r="E6448" s="3"/>
      <c r="F6448">
        <v>1002</v>
      </c>
    </row>
    <row r="6449" spans="1:6" x14ac:dyDescent="0.25">
      <c r="A6449">
        <v>8887</v>
      </c>
      <c r="B6449" s="15">
        <v>45474</v>
      </c>
      <c r="C6449" s="110"/>
      <c r="D6449" s="110"/>
      <c r="E6449" s="3"/>
      <c r="F6449">
        <v>1003</v>
      </c>
    </row>
    <row r="6450" spans="1:6" x14ac:dyDescent="0.25">
      <c r="A6450">
        <v>8887</v>
      </c>
      <c r="B6450" s="15">
        <v>45475</v>
      </c>
      <c r="C6450" s="110"/>
      <c r="D6450" s="110"/>
      <c r="E6450" s="3"/>
      <c r="F6450">
        <v>1004</v>
      </c>
    </row>
    <row r="6451" spans="1:6" x14ac:dyDescent="0.25">
      <c r="A6451">
        <v>8887</v>
      </c>
      <c r="B6451" s="15">
        <v>45476</v>
      </c>
      <c r="C6451" s="110"/>
      <c r="D6451" s="110"/>
      <c r="E6451" s="3"/>
      <c r="F6451">
        <v>1005</v>
      </c>
    </row>
    <row r="6452" spans="1:6" x14ac:dyDescent="0.25">
      <c r="A6452">
        <v>8887</v>
      </c>
      <c r="B6452" s="15">
        <v>45477</v>
      </c>
      <c r="C6452" s="110"/>
      <c r="D6452" s="110"/>
      <c r="E6452" s="3"/>
      <c r="F6452">
        <v>1006</v>
      </c>
    </row>
    <row r="6453" spans="1:6" x14ac:dyDescent="0.25">
      <c r="A6453">
        <v>8887</v>
      </c>
      <c r="B6453" s="15">
        <v>45478</v>
      </c>
      <c r="C6453" s="110"/>
      <c r="D6453" s="110"/>
      <c r="E6453" s="3"/>
      <c r="F6453">
        <v>1007</v>
      </c>
    </row>
    <row r="6454" spans="1:6" x14ac:dyDescent="0.25">
      <c r="A6454">
        <v>8887</v>
      </c>
      <c r="B6454" s="15">
        <v>45479</v>
      </c>
      <c r="C6454" s="133"/>
      <c r="D6454" s="133"/>
      <c r="E6454" s="3"/>
      <c r="F6454">
        <v>1008</v>
      </c>
    </row>
    <row r="6455" spans="1:6" x14ac:dyDescent="0.25">
      <c r="A6455">
        <v>8887</v>
      </c>
      <c r="B6455" s="15">
        <v>45480</v>
      </c>
      <c r="C6455" s="133"/>
      <c r="D6455" s="133"/>
      <c r="E6455" s="3"/>
      <c r="F6455">
        <v>1009</v>
      </c>
    </row>
    <row r="6456" spans="1:6" x14ac:dyDescent="0.25">
      <c r="A6456">
        <v>8887</v>
      </c>
      <c r="B6456" s="15">
        <v>45481</v>
      </c>
      <c r="C6456" s="110"/>
      <c r="D6456" s="110"/>
      <c r="E6456" s="3"/>
      <c r="F6456">
        <v>1010</v>
      </c>
    </row>
    <row r="6457" spans="1:6" x14ac:dyDescent="0.25">
      <c r="A6457">
        <v>8887</v>
      </c>
      <c r="B6457" s="15">
        <v>45482</v>
      </c>
      <c r="C6457" s="127"/>
      <c r="D6457" s="127"/>
      <c r="E6457" s="3"/>
      <c r="F6457">
        <v>1011</v>
      </c>
    </row>
    <row r="6458" spans="1:6" x14ac:dyDescent="0.25">
      <c r="A6458">
        <v>8887</v>
      </c>
      <c r="B6458" s="15">
        <v>45483</v>
      </c>
      <c r="C6458" s="110"/>
      <c r="D6458" s="110"/>
      <c r="E6458" s="3"/>
      <c r="F6458">
        <v>1012</v>
      </c>
    </row>
    <row r="6459" spans="1:6" x14ac:dyDescent="0.25">
      <c r="A6459">
        <v>8887</v>
      </c>
      <c r="B6459" s="15">
        <v>45484</v>
      </c>
      <c r="C6459" s="110"/>
      <c r="D6459" s="110"/>
      <c r="E6459" s="3"/>
      <c r="F6459">
        <v>1013</v>
      </c>
    </row>
    <row r="6460" spans="1:6" x14ac:dyDescent="0.25">
      <c r="A6460">
        <v>8887</v>
      </c>
      <c r="B6460" s="15">
        <v>45485</v>
      </c>
      <c r="C6460" s="110"/>
      <c r="D6460" s="110"/>
      <c r="E6460" s="3"/>
      <c r="F6460">
        <v>1014</v>
      </c>
    </row>
    <row r="6461" spans="1:6" x14ac:dyDescent="0.25">
      <c r="A6461">
        <v>8887</v>
      </c>
      <c r="B6461" s="15">
        <v>45486</v>
      </c>
      <c r="C6461" s="133"/>
      <c r="D6461" s="133"/>
      <c r="E6461" s="3"/>
      <c r="F6461">
        <v>1015</v>
      </c>
    </row>
    <row r="6462" spans="1:6" x14ac:dyDescent="0.25">
      <c r="A6462">
        <v>8887</v>
      </c>
      <c r="B6462" s="15">
        <v>45487</v>
      </c>
      <c r="C6462" s="133"/>
      <c r="D6462" s="133"/>
      <c r="E6462" s="3"/>
      <c r="F6462">
        <v>1016</v>
      </c>
    </row>
    <row r="6463" spans="1:6" x14ac:dyDescent="0.25">
      <c r="A6463">
        <v>8887</v>
      </c>
      <c r="B6463" s="15">
        <v>45488</v>
      </c>
      <c r="C6463" s="110"/>
      <c r="D6463" s="110"/>
      <c r="E6463" s="3"/>
      <c r="F6463">
        <v>1017</v>
      </c>
    </row>
    <row r="6464" spans="1:6" x14ac:dyDescent="0.25">
      <c r="A6464">
        <v>8887</v>
      </c>
      <c r="B6464" s="15">
        <v>45489</v>
      </c>
      <c r="C6464" s="110"/>
      <c r="D6464" s="110"/>
      <c r="E6464" s="3"/>
      <c r="F6464">
        <v>1018</v>
      </c>
    </row>
    <row r="6465" spans="1:6" x14ac:dyDescent="0.25">
      <c r="A6465">
        <v>8887</v>
      </c>
      <c r="B6465" s="15">
        <v>45490</v>
      </c>
      <c r="C6465" s="110"/>
      <c r="D6465" s="110"/>
      <c r="E6465" s="3"/>
      <c r="F6465">
        <v>1019</v>
      </c>
    </row>
    <row r="6466" spans="1:6" x14ac:dyDescent="0.25">
      <c r="A6466">
        <v>8887</v>
      </c>
      <c r="B6466" s="15">
        <v>45491</v>
      </c>
      <c r="C6466" s="110"/>
      <c r="D6466" s="110"/>
      <c r="E6466" s="3"/>
      <c r="F6466">
        <v>1020</v>
      </c>
    </row>
    <row r="6467" spans="1:6" x14ac:dyDescent="0.25">
      <c r="A6467">
        <v>8887</v>
      </c>
      <c r="B6467" s="15">
        <v>45492</v>
      </c>
      <c r="C6467" s="110"/>
      <c r="D6467" s="110"/>
      <c r="E6467" s="3"/>
      <c r="F6467">
        <v>1021</v>
      </c>
    </row>
    <row r="6468" spans="1:6" x14ac:dyDescent="0.25">
      <c r="A6468">
        <v>8887</v>
      </c>
      <c r="B6468" s="15">
        <v>45493</v>
      </c>
      <c r="C6468" s="133"/>
      <c r="D6468" s="133"/>
      <c r="E6468" s="3"/>
      <c r="F6468">
        <v>1022</v>
      </c>
    </row>
    <row r="6469" spans="1:6" x14ac:dyDescent="0.25">
      <c r="A6469">
        <v>8887</v>
      </c>
      <c r="B6469" s="15">
        <v>45494</v>
      </c>
      <c r="C6469" s="133"/>
      <c r="D6469" s="133"/>
      <c r="E6469" s="3"/>
      <c r="F6469">
        <v>1023</v>
      </c>
    </row>
    <row r="6470" spans="1:6" x14ac:dyDescent="0.25">
      <c r="A6470">
        <v>8887</v>
      </c>
      <c r="B6470" s="15">
        <v>45495</v>
      </c>
      <c r="C6470" s="110"/>
      <c r="D6470" s="110"/>
      <c r="E6470" s="3"/>
      <c r="F6470">
        <v>1024</v>
      </c>
    </row>
    <row r="6471" spans="1:6" x14ac:dyDescent="0.25">
      <c r="A6471">
        <v>8887</v>
      </c>
      <c r="B6471" s="15">
        <v>45496</v>
      </c>
      <c r="C6471" s="110"/>
      <c r="D6471" s="110"/>
      <c r="E6471" s="3"/>
      <c r="F6471">
        <v>1025</v>
      </c>
    </row>
    <row r="6472" spans="1:6" x14ac:dyDescent="0.25">
      <c r="A6472">
        <v>8887</v>
      </c>
      <c r="B6472" s="15">
        <v>45497</v>
      </c>
      <c r="C6472" s="110"/>
      <c r="D6472" s="110"/>
      <c r="E6472" s="3"/>
      <c r="F6472">
        <v>1026</v>
      </c>
    </row>
    <row r="6473" spans="1:6" x14ac:dyDescent="0.25">
      <c r="A6473">
        <v>8887</v>
      </c>
      <c r="B6473" s="15">
        <v>45498</v>
      </c>
      <c r="C6473" s="110"/>
      <c r="D6473" s="110"/>
      <c r="E6473" s="3"/>
      <c r="F6473">
        <v>1027</v>
      </c>
    </row>
    <row r="6474" spans="1:6" x14ac:dyDescent="0.25">
      <c r="A6474">
        <v>8887</v>
      </c>
      <c r="B6474" s="15">
        <v>45499</v>
      </c>
      <c r="C6474" s="110"/>
      <c r="D6474" s="110"/>
      <c r="E6474" s="3"/>
      <c r="F6474">
        <v>1028</v>
      </c>
    </row>
    <row r="6475" spans="1:6" x14ac:dyDescent="0.25">
      <c r="A6475">
        <v>8887</v>
      </c>
      <c r="B6475" s="15">
        <v>45500</v>
      </c>
      <c r="C6475" s="133"/>
      <c r="D6475" s="133"/>
      <c r="E6475" s="3"/>
      <c r="F6475">
        <v>1029</v>
      </c>
    </row>
    <row r="6476" spans="1:6" x14ac:dyDescent="0.25">
      <c r="A6476">
        <v>8887</v>
      </c>
      <c r="B6476" s="15">
        <v>45501</v>
      </c>
      <c r="C6476" s="133"/>
      <c r="D6476" s="133"/>
      <c r="E6476" s="3"/>
      <c r="F6476">
        <v>1030</v>
      </c>
    </row>
    <row r="6477" spans="1:6" x14ac:dyDescent="0.25">
      <c r="A6477">
        <v>8887</v>
      </c>
      <c r="B6477" s="15">
        <v>45502</v>
      </c>
      <c r="C6477" s="110"/>
      <c r="D6477" s="110"/>
      <c r="E6477" s="3"/>
      <c r="F6477">
        <v>1031</v>
      </c>
    </row>
    <row r="6478" spans="1:6" x14ac:dyDescent="0.25">
      <c r="A6478">
        <v>8887</v>
      </c>
      <c r="B6478" s="15">
        <v>45503</v>
      </c>
      <c r="C6478" s="110"/>
      <c r="D6478" s="110"/>
      <c r="E6478" s="3"/>
      <c r="F6478">
        <v>1032</v>
      </c>
    </row>
    <row r="6479" spans="1:6" x14ac:dyDescent="0.25">
      <c r="A6479">
        <v>8887</v>
      </c>
      <c r="B6479" s="15">
        <v>45504</v>
      </c>
      <c r="C6479" s="110"/>
      <c r="D6479" s="110"/>
      <c r="E6479" s="3"/>
      <c r="F6479">
        <v>1033</v>
      </c>
    </row>
    <row r="6480" spans="1:6" x14ac:dyDescent="0.25">
      <c r="A6480">
        <v>8887</v>
      </c>
      <c r="B6480" s="15">
        <v>45505</v>
      </c>
      <c r="C6480" s="110"/>
      <c r="D6480" s="110"/>
      <c r="E6480" s="3"/>
      <c r="F6480">
        <v>1034</v>
      </c>
    </row>
    <row r="6481" spans="1:6" x14ac:dyDescent="0.25">
      <c r="A6481">
        <v>8887</v>
      </c>
      <c r="B6481" s="15">
        <v>45506</v>
      </c>
      <c r="C6481" s="110"/>
      <c r="D6481" s="110"/>
      <c r="E6481" s="3"/>
      <c r="F6481">
        <v>1035</v>
      </c>
    </row>
    <row r="6482" spans="1:6" x14ac:dyDescent="0.25">
      <c r="A6482">
        <v>8887</v>
      </c>
      <c r="B6482" s="15">
        <v>45507</v>
      </c>
      <c r="C6482" s="133"/>
      <c r="D6482" s="133"/>
      <c r="E6482" s="3"/>
      <c r="F6482">
        <v>1036</v>
      </c>
    </row>
    <row r="6483" spans="1:6" x14ac:dyDescent="0.25">
      <c r="A6483">
        <v>8887</v>
      </c>
      <c r="B6483" s="15">
        <v>45508</v>
      </c>
      <c r="C6483" s="133"/>
      <c r="D6483" s="133"/>
      <c r="E6483" s="3"/>
      <c r="F6483">
        <v>1037</v>
      </c>
    </row>
    <row r="6484" spans="1:6" x14ac:dyDescent="0.25">
      <c r="A6484">
        <v>8887</v>
      </c>
      <c r="B6484" s="15">
        <v>45509</v>
      </c>
      <c r="C6484" s="110"/>
      <c r="D6484" s="110"/>
      <c r="E6484" s="3"/>
      <c r="F6484">
        <v>1038</v>
      </c>
    </row>
    <row r="6485" spans="1:6" x14ac:dyDescent="0.25">
      <c r="A6485">
        <v>8887</v>
      </c>
      <c r="B6485" s="15">
        <v>45510</v>
      </c>
      <c r="C6485" s="127"/>
      <c r="D6485" s="127"/>
      <c r="E6485" s="3"/>
      <c r="F6485">
        <v>1039</v>
      </c>
    </row>
    <row r="6486" spans="1:6" x14ac:dyDescent="0.25">
      <c r="A6486">
        <v>8887</v>
      </c>
      <c r="B6486" s="15">
        <v>45511</v>
      </c>
      <c r="C6486" s="110"/>
      <c r="D6486" s="110"/>
      <c r="E6486" s="3"/>
      <c r="F6486">
        <v>1040</v>
      </c>
    </row>
    <row r="6487" spans="1:6" x14ac:dyDescent="0.25">
      <c r="A6487">
        <v>8887</v>
      </c>
      <c r="B6487" s="15">
        <v>45512</v>
      </c>
      <c r="C6487" s="110"/>
      <c r="D6487" s="110"/>
      <c r="E6487" s="3"/>
      <c r="F6487">
        <v>1041</v>
      </c>
    </row>
    <row r="6488" spans="1:6" x14ac:dyDescent="0.25">
      <c r="A6488">
        <v>8887</v>
      </c>
      <c r="B6488" s="15">
        <v>45513</v>
      </c>
      <c r="C6488" s="110"/>
      <c r="D6488" s="110"/>
      <c r="E6488" s="3"/>
      <c r="F6488">
        <v>1042</v>
      </c>
    </row>
    <row r="6489" spans="1:6" x14ac:dyDescent="0.25">
      <c r="A6489">
        <v>8887</v>
      </c>
      <c r="B6489" s="15">
        <v>45514</v>
      </c>
      <c r="C6489" s="133"/>
      <c r="D6489" s="133"/>
      <c r="E6489" s="3"/>
      <c r="F6489">
        <v>1043</v>
      </c>
    </row>
    <row r="6490" spans="1:6" x14ac:dyDescent="0.25">
      <c r="A6490">
        <v>8887</v>
      </c>
      <c r="B6490" s="15">
        <v>45515</v>
      </c>
      <c r="C6490" s="133"/>
      <c r="D6490" s="133"/>
      <c r="E6490" s="3"/>
      <c r="F6490">
        <v>1044</v>
      </c>
    </row>
    <row r="6491" spans="1:6" x14ac:dyDescent="0.25">
      <c r="A6491">
        <v>8887</v>
      </c>
      <c r="B6491" s="15">
        <v>45516</v>
      </c>
      <c r="C6491" s="110"/>
      <c r="D6491" s="110"/>
      <c r="E6491" s="3"/>
      <c r="F6491">
        <v>1045</v>
      </c>
    </row>
    <row r="6492" spans="1:6" x14ac:dyDescent="0.25">
      <c r="A6492">
        <v>8887</v>
      </c>
      <c r="B6492" s="15">
        <v>45517</v>
      </c>
      <c r="C6492" s="110"/>
      <c r="D6492" s="110"/>
      <c r="E6492" s="3"/>
      <c r="F6492">
        <v>1046</v>
      </c>
    </row>
    <row r="6493" spans="1:6" x14ac:dyDescent="0.25">
      <c r="A6493">
        <v>8887</v>
      </c>
      <c r="B6493" s="15">
        <v>45518</v>
      </c>
      <c r="C6493" s="110"/>
      <c r="D6493" s="110"/>
      <c r="E6493" s="3"/>
      <c r="F6493">
        <v>1047</v>
      </c>
    </row>
    <row r="6494" spans="1:6" x14ac:dyDescent="0.25">
      <c r="A6494">
        <v>8887</v>
      </c>
      <c r="B6494" s="15">
        <v>45519</v>
      </c>
      <c r="C6494" s="110"/>
      <c r="D6494" s="110"/>
      <c r="E6494" s="3"/>
      <c r="F6494">
        <v>1048</v>
      </c>
    </row>
    <row r="6495" spans="1:6" x14ac:dyDescent="0.25">
      <c r="A6495">
        <v>8887</v>
      </c>
      <c r="B6495" s="15">
        <v>45520</v>
      </c>
      <c r="C6495" s="110"/>
      <c r="D6495" s="110"/>
      <c r="E6495" s="3"/>
      <c r="F6495">
        <v>1049</v>
      </c>
    </row>
    <row r="6496" spans="1:6" x14ac:dyDescent="0.25">
      <c r="A6496">
        <v>8887</v>
      </c>
      <c r="B6496" s="15">
        <v>45521</v>
      </c>
      <c r="C6496" s="133"/>
      <c r="D6496" s="133"/>
      <c r="E6496" s="3"/>
      <c r="F6496">
        <v>1050</v>
      </c>
    </row>
    <row r="6497" spans="1:6" x14ac:dyDescent="0.25">
      <c r="A6497">
        <v>8887</v>
      </c>
      <c r="B6497" s="15">
        <v>45522</v>
      </c>
      <c r="C6497" s="133"/>
      <c r="D6497" s="133"/>
      <c r="E6497" s="3"/>
      <c r="F6497">
        <v>1051</v>
      </c>
    </row>
    <row r="6498" spans="1:6" x14ac:dyDescent="0.25">
      <c r="A6498">
        <v>8887</v>
      </c>
      <c r="B6498" s="15">
        <v>45523</v>
      </c>
      <c r="C6498" s="110"/>
      <c r="D6498" s="110"/>
      <c r="E6498" s="3"/>
      <c r="F6498">
        <v>1052</v>
      </c>
    </row>
    <row r="6499" spans="1:6" x14ac:dyDescent="0.25">
      <c r="A6499">
        <v>8887</v>
      </c>
      <c r="B6499" s="15">
        <v>45524</v>
      </c>
      <c r="C6499" s="110"/>
      <c r="D6499" s="110"/>
      <c r="E6499" s="3"/>
      <c r="F6499">
        <v>1053</v>
      </c>
    </row>
    <row r="6500" spans="1:6" x14ac:dyDescent="0.25">
      <c r="A6500">
        <v>8887</v>
      </c>
      <c r="B6500" s="15">
        <v>45525</v>
      </c>
      <c r="C6500" s="110"/>
      <c r="D6500" s="110"/>
      <c r="E6500" s="3"/>
      <c r="F6500">
        <v>1054</v>
      </c>
    </row>
    <row r="6501" spans="1:6" x14ac:dyDescent="0.25">
      <c r="A6501">
        <v>8887</v>
      </c>
      <c r="B6501" s="15">
        <v>45526</v>
      </c>
      <c r="C6501" s="110"/>
      <c r="D6501" s="110"/>
      <c r="E6501" s="3"/>
      <c r="F6501">
        <v>1055</v>
      </c>
    </row>
    <row r="6502" spans="1:6" x14ac:dyDescent="0.25">
      <c r="A6502">
        <v>8887</v>
      </c>
      <c r="B6502" s="15">
        <v>45527</v>
      </c>
      <c r="C6502" s="110"/>
      <c r="D6502" s="110"/>
      <c r="E6502" s="3"/>
      <c r="F6502">
        <v>1056</v>
      </c>
    </row>
    <row r="6503" spans="1:6" x14ac:dyDescent="0.25">
      <c r="A6503">
        <v>8887</v>
      </c>
      <c r="B6503" s="15">
        <v>45528</v>
      </c>
      <c r="C6503" s="133"/>
      <c r="D6503" s="133"/>
      <c r="E6503" s="3"/>
      <c r="F6503">
        <v>1057</v>
      </c>
    </row>
    <row r="6504" spans="1:6" x14ac:dyDescent="0.25">
      <c r="A6504">
        <v>8887</v>
      </c>
      <c r="B6504" s="15">
        <v>45529</v>
      </c>
      <c r="C6504" s="133"/>
      <c r="D6504" s="133"/>
      <c r="E6504" s="3"/>
      <c r="F6504">
        <v>1058</v>
      </c>
    </row>
    <row r="6505" spans="1:6" x14ac:dyDescent="0.25">
      <c r="A6505">
        <v>8887</v>
      </c>
      <c r="B6505" s="15">
        <v>45530</v>
      </c>
      <c r="C6505" s="110"/>
      <c r="D6505" s="110"/>
      <c r="E6505" s="3"/>
      <c r="F6505">
        <v>1059</v>
      </c>
    </row>
    <row r="6506" spans="1:6" x14ac:dyDescent="0.25">
      <c r="A6506">
        <v>8887</v>
      </c>
      <c r="B6506" s="15">
        <v>45531</v>
      </c>
      <c r="C6506" s="110"/>
      <c r="D6506" s="110"/>
      <c r="E6506" s="3"/>
      <c r="F6506">
        <v>1060</v>
      </c>
    </row>
    <row r="6507" spans="1:6" x14ac:dyDescent="0.25">
      <c r="A6507">
        <v>8887</v>
      </c>
      <c r="B6507" s="15">
        <v>45532</v>
      </c>
      <c r="C6507" s="110"/>
      <c r="D6507" s="110"/>
      <c r="E6507" s="3"/>
      <c r="F6507">
        <v>1061</v>
      </c>
    </row>
    <row r="6508" spans="1:6" x14ac:dyDescent="0.25">
      <c r="A6508">
        <v>8887</v>
      </c>
      <c r="B6508" s="15">
        <v>45533</v>
      </c>
      <c r="C6508" s="110"/>
      <c r="D6508" s="110"/>
      <c r="E6508" s="3"/>
      <c r="F6508">
        <v>1062</v>
      </c>
    </row>
    <row r="6509" spans="1:6" x14ac:dyDescent="0.25">
      <c r="A6509">
        <v>8887</v>
      </c>
      <c r="B6509" s="15">
        <v>45534</v>
      </c>
      <c r="C6509" s="110"/>
      <c r="D6509" s="110"/>
      <c r="E6509" s="3"/>
      <c r="F6509">
        <v>1063</v>
      </c>
    </row>
    <row r="6510" spans="1:6" x14ac:dyDescent="0.25">
      <c r="A6510">
        <v>8887</v>
      </c>
      <c r="B6510" s="15">
        <v>45535</v>
      </c>
      <c r="C6510" s="133"/>
      <c r="D6510" s="133"/>
      <c r="E6510" s="3"/>
      <c r="F6510">
        <v>1064</v>
      </c>
    </row>
    <row r="6511" spans="1:6" x14ac:dyDescent="0.25">
      <c r="A6511">
        <v>8887</v>
      </c>
      <c r="B6511" s="15">
        <v>45536</v>
      </c>
      <c r="C6511" s="133"/>
      <c r="D6511" s="133"/>
      <c r="E6511" s="3"/>
      <c r="F6511">
        <v>1065</v>
      </c>
    </row>
    <row r="6512" spans="1:6" x14ac:dyDescent="0.25">
      <c r="A6512">
        <v>8887</v>
      </c>
      <c r="B6512" s="15">
        <v>45537</v>
      </c>
      <c r="C6512" s="110"/>
      <c r="D6512" s="110"/>
      <c r="E6512" s="3"/>
      <c r="F6512">
        <v>1066</v>
      </c>
    </row>
    <row r="6513" spans="1:6" x14ac:dyDescent="0.25">
      <c r="A6513">
        <v>8887</v>
      </c>
      <c r="B6513" s="15">
        <v>45538</v>
      </c>
      <c r="C6513" s="127"/>
      <c r="D6513" s="127"/>
      <c r="E6513" s="3"/>
      <c r="F6513">
        <v>1067</v>
      </c>
    </row>
    <row r="6514" spans="1:6" x14ac:dyDescent="0.25">
      <c r="A6514">
        <v>8887</v>
      </c>
      <c r="B6514" s="15">
        <v>45539</v>
      </c>
      <c r="C6514" s="110"/>
      <c r="D6514" s="110"/>
      <c r="E6514" s="3"/>
      <c r="F6514">
        <v>1068</v>
      </c>
    </row>
    <row r="6515" spans="1:6" x14ac:dyDescent="0.25">
      <c r="A6515">
        <v>8887</v>
      </c>
      <c r="B6515" s="15">
        <v>45540</v>
      </c>
      <c r="C6515" s="110"/>
      <c r="D6515" s="110"/>
      <c r="E6515" s="3"/>
      <c r="F6515">
        <v>1069</v>
      </c>
    </row>
    <row r="6516" spans="1:6" x14ac:dyDescent="0.25">
      <c r="A6516">
        <v>8887</v>
      </c>
      <c r="B6516" s="15">
        <v>45541</v>
      </c>
      <c r="C6516" s="110"/>
      <c r="D6516" s="110"/>
      <c r="E6516" s="3"/>
      <c r="F6516">
        <v>1070</v>
      </c>
    </row>
    <row r="6517" spans="1:6" x14ac:dyDescent="0.25">
      <c r="A6517">
        <v>8887</v>
      </c>
      <c r="B6517" s="15">
        <v>45542</v>
      </c>
      <c r="C6517" s="133"/>
      <c r="D6517" s="133"/>
      <c r="E6517" s="3"/>
      <c r="F6517">
        <v>1071</v>
      </c>
    </row>
    <row r="6518" spans="1:6" x14ac:dyDescent="0.25">
      <c r="A6518">
        <v>8887</v>
      </c>
      <c r="B6518" s="15">
        <v>45543</v>
      </c>
      <c r="C6518" s="133"/>
      <c r="D6518" s="133"/>
      <c r="E6518" s="3"/>
      <c r="F6518">
        <v>1072</v>
      </c>
    </row>
    <row r="6519" spans="1:6" x14ac:dyDescent="0.25">
      <c r="A6519">
        <v>8887</v>
      </c>
      <c r="B6519" s="15">
        <v>45544</v>
      </c>
      <c r="C6519" s="110"/>
      <c r="D6519" s="110"/>
      <c r="E6519" s="3"/>
      <c r="F6519">
        <v>1073</v>
      </c>
    </row>
    <row r="6520" spans="1:6" x14ac:dyDescent="0.25">
      <c r="A6520">
        <v>8887</v>
      </c>
      <c r="B6520" s="15">
        <v>45545</v>
      </c>
      <c r="C6520" s="110"/>
      <c r="D6520" s="110"/>
      <c r="E6520" s="3"/>
      <c r="F6520">
        <v>1074</v>
      </c>
    </row>
    <row r="6521" spans="1:6" x14ac:dyDescent="0.25">
      <c r="A6521">
        <v>8887</v>
      </c>
      <c r="B6521" s="15">
        <v>45546</v>
      </c>
      <c r="C6521" s="110"/>
      <c r="D6521" s="110"/>
      <c r="E6521" s="3"/>
      <c r="F6521">
        <v>1075</v>
      </c>
    </row>
    <row r="6522" spans="1:6" x14ac:dyDescent="0.25">
      <c r="A6522">
        <v>8887</v>
      </c>
      <c r="B6522" s="15">
        <v>45547</v>
      </c>
      <c r="C6522" s="110"/>
      <c r="D6522" s="110"/>
      <c r="E6522" s="3"/>
      <c r="F6522">
        <v>1076</v>
      </c>
    </row>
    <row r="6523" spans="1:6" x14ac:dyDescent="0.25">
      <c r="A6523">
        <v>8887</v>
      </c>
      <c r="B6523" s="15">
        <v>45548</v>
      </c>
      <c r="C6523" s="110"/>
      <c r="D6523" s="110"/>
      <c r="E6523" s="3"/>
      <c r="F6523">
        <v>1077</v>
      </c>
    </row>
    <row r="6524" spans="1:6" x14ac:dyDescent="0.25">
      <c r="A6524">
        <v>8887</v>
      </c>
      <c r="B6524" s="15">
        <v>45549</v>
      </c>
      <c r="C6524" s="133"/>
      <c r="D6524" s="133"/>
      <c r="E6524" s="3"/>
      <c r="F6524">
        <v>1078</v>
      </c>
    </row>
    <row r="6525" spans="1:6" x14ac:dyDescent="0.25">
      <c r="A6525">
        <v>8887</v>
      </c>
      <c r="B6525" s="15">
        <v>45550</v>
      </c>
      <c r="C6525" s="133"/>
      <c r="D6525" s="133"/>
      <c r="E6525" s="3"/>
      <c r="F6525">
        <v>1079</v>
      </c>
    </row>
    <row r="6526" spans="1:6" x14ac:dyDescent="0.25">
      <c r="A6526">
        <v>8887</v>
      </c>
      <c r="B6526" s="15">
        <v>45551</v>
      </c>
      <c r="C6526" s="110"/>
      <c r="D6526" s="110"/>
      <c r="E6526" s="3"/>
      <c r="F6526">
        <v>1080</v>
      </c>
    </row>
    <row r="6527" spans="1:6" x14ac:dyDescent="0.25">
      <c r="A6527">
        <v>8887</v>
      </c>
      <c r="B6527" s="15">
        <v>45552</v>
      </c>
      <c r="C6527" s="110"/>
      <c r="D6527" s="110"/>
      <c r="E6527" s="3"/>
      <c r="F6527">
        <v>1081</v>
      </c>
    </row>
    <row r="6528" spans="1:6" x14ac:dyDescent="0.25">
      <c r="A6528">
        <v>8887</v>
      </c>
      <c r="B6528" s="15">
        <v>45553</v>
      </c>
      <c r="C6528" s="110"/>
      <c r="D6528" s="110"/>
      <c r="E6528" s="3"/>
      <c r="F6528">
        <v>1082</v>
      </c>
    </row>
    <row r="6529" spans="1:6" x14ac:dyDescent="0.25">
      <c r="A6529">
        <v>8887</v>
      </c>
      <c r="B6529" s="15">
        <v>45554</v>
      </c>
      <c r="C6529" s="110"/>
      <c r="D6529" s="110"/>
      <c r="E6529" s="3"/>
      <c r="F6529">
        <v>1083</v>
      </c>
    </row>
    <row r="6530" spans="1:6" x14ac:dyDescent="0.25">
      <c r="A6530">
        <v>8887</v>
      </c>
      <c r="B6530" s="15">
        <v>45555</v>
      </c>
      <c r="C6530" s="110"/>
      <c r="D6530" s="110"/>
      <c r="E6530" s="3"/>
      <c r="F6530">
        <v>1084</v>
      </c>
    </row>
    <row r="6531" spans="1:6" x14ac:dyDescent="0.25">
      <c r="A6531">
        <v>8887</v>
      </c>
      <c r="B6531" s="15">
        <v>45556</v>
      </c>
      <c r="C6531" s="133"/>
      <c r="D6531" s="133"/>
      <c r="E6531" s="3"/>
      <c r="F6531">
        <v>1085</v>
      </c>
    </row>
    <row r="6532" spans="1:6" x14ac:dyDescent="0.25">
      <c r="A6532">
        <v>8887</v>
      </c>
      <c r="B6532" s="15">
        <v>45557</v>
      </c>
      <c r="C6532" s="133"/>
      <c r="D6532" s="133"/>
      <c r="E6532" s="3"/>
      <c r="F6532">
        <v>1086</v>
      </c>
    </row>
    <row r="6533" spans="1:6" x14ac:dyDescent="0.25">
      <c r="A6533">
        <v>8887</v>
      </c>
      <c r="B6533" s="15">
        <v>45558</v>
      </c>
      <c r="C6533" s="110"/>
      <c r="D6533" s="110"/>
      <c r="E6533" s="3"/>
      <c r="F6533">
        <v>1087</v>
      </c>
    </row>
    <row r="6534" spans="1:6" x14ac:dyDescent="0.25">
      <c r="A6534">
        <v>8887</v>
      </c>
      <c r="B6534" s="15">
        <v>45559</v>
      </c>
      <c r="C6534" s="110"/>
      <c r="D6534" s="110"/>
      <c r="E6534" s="3"/>
      <c r="F6534">
        <v>1088</v>
      </c>
    </row>
    <row r="6535" spans="1:6" x14ac:dyDescent="0.25">
      <c r="A6535">
        <v>8887</v>
      </c>
      <c r="B6535" s="15">
        <v>45560</v>
      </c>
      <c r="C6535" s="110"/>
      <c r="D6535" s="110"/>
      <c r="E6535" s="3"/>
      <c r="F6535">
        <v>1089</v>
      </c>
    </row>
    <row r="6536" spans="1:6" x14ac:dyDescent="0.25">
      <c r="A6536">
        <v>8887</v>
      </c>
      <c r="B6536" s="15">
        <v>45561</v>
      </c>
      <c r="C6536" s="110"/>
      <c r="D6536" s="110"/>
      <c r="E6536" s="3"/>
      <c r="F6536">
        <v>1090</v>
      </c>
    </row>
    <row r="6537" spans="1:6" x14ac:dyDescent="0.25">
      <c r="A6537">
        <v>8887</v>
      </c>
      <c r="B6537" s="15">
        <v>45562</v>
      </c>
      <c r="C6537" s="110"/>
      <c r="D6537" s="110"/>
      <c r="E6537" s="3"/>
      <c r="F6537">
        <v>1091</v>
      </c>
    </row>
    <row r="6538" spans="1:6" x14ac:dyDescent="0.25">
      <c r="A6538">
        <v>8887</v>
      </c>
      <c r="B6538" s="15">
        <v>45563</v>
      </c>
      <c r="C6538" s="133"/>
      <c r="D6538" s="133"/>
      <c r="E6538" s="3"/>
      <c r="F6538">
        <v>1092</v>
      </c>
    </row>
    <row r="6539" spans="1:6" x14ac:dyDescent="0.25">
      <c r="A6539">
        <v>8887</v>
      </c>
      <c r="B6539" s="15">
        <v>45564</v>
      </c>
      <c r="C6539" s="133"/>
      <c r="D6539" s="133"/>
      <c r="E6539" s="3"/>
      <c r="F6539">
        <v>1093</v>
      </c>
    </row>
    <row r="6540" spans="1:6" x14ac:dyDescent="0.25">
      <c r="A6540">
        <v>8887</v>
      </c>
      <c r="B6540" s="15">
        <v>45565</v>
      </c>
      <c r="C6540" s="110"/>
      <c r="D6540" s="110"/>
      <c r="E6540" s="3"/>
      <c r="F6540">
        <v>1094</v>
      </c>
    </row>
    <row r="6541" spans="1:6" x14ac:dyDescent="0.25">
      <c r="A6541">
        <v>8887</v>
      </c>
      <c r="B6541" s="15">
        <v>45566</v>
      </c>
      <c r="C6541" s="127"/>
      <c r="D6541" s="127"/>
      <c r="E6541" s="3"/>
      <c r="F6541">
        <v>1095</v>
      </c>
    </row>
    <row r="6542" spans="1:6" x14ac:dyDescent="0.25">
      <c r="A6542">
        <v>8887</v>
      </c>
      <c r="B6542" s="15">
        <v>45567</v>
      </c>
      <c r="C6542" s="110"/>
      <c r="D6542" s="110"/>
      <c r="E6542" s="3"/>
      <c r="F6542">
        <v>1096</v>
      </c>
    </row>
    <row r="6543" spans="1:6" x14ac:dyDescent="0.25">
      <c r="A6543">
        <v>8887</v>
      </c>
      <c r="B6543" s="15">
        <v>45568</v>
      </c>
      <c r="C6543" s="110"/>
      <c r="D6543" s="110"/>
      <c r="E6543" s="3"/>
      <c r="F6543">
        <v>1097</v>
      </c>
    </row>
    <row r="6544" spans="1:6" x14ac:dyDescent="0.25">
      <c r="A6544">
        <v>8887</v>
      </c>
      <c r="B6544" s="15">
        <v>45569</v>
      </c>
      <c r="C6544" s="110"/>
      <c r="D6544" s="110"/>
      <c r="E6544" s="3"/>
      <c r="F6544">
        <v>1098</v>
      </c>
    </row>
    <row r="6545" spans="1:6" x14ac:dyDescent="0.25">
      <c r="A6545">
        <v>8887</v>
      </c>
      <c r="B6545" s="15">
        <v>45570</v>
      </c>
      <c r="C6545" s="133"/>
      <c r="D6545" s="133"/>
      <c r="E6545" s="3"/>
      <c r="F6545">
        <v>1099</v>
      </c>
    </row>
    <row r="6546" spans="1:6" x14ac:dyDescent="0.25">
      <c r="A6546">
        <v>8887</v>
      </c>
      <c r="B6546" s="15">
        <v>45571</v>
      </c>
      <c r="C6546" s="133"/>
      <c r="D6546" s="133"/>
      <c r="E6546" s="3"/>
      <c r="F6546">
        <v>1100</v>
      </c>
    </row>
    <row r="6547" spans="1:6" x14ac:dyDescent="0.25">
      <c r="A6547">
        <v>8887</v>
      </c>
      <c r="B6547" s="15">
        <v>45572</v>
      </c>
      <c r="C6547" s="110"/>
      <c r="D6547" s="110"/>
      <c r="E6547" s="3"/>
      <c r="F6547">
        <v>1101</v>
      </c>
    </row>
    <row r="6548" spans="1:6" x14ac:dyDescent="0.25">
      <c r="A6548">
        <v>8887</v>
      </c>
      <c r="B6548" s="15">
        <v>45573</v>
      </c>
      <c r="C6548" s="110"/>
      <c r="D6548" s="110"/>
      <c r="E6548" s="3"/>
      <c r="F6548">
        <v>1102</v>
      </c>
    </row>
    <row r="6549" spans="1:6" x14ac:dyDescent="0.25">
      <c r="A6549">
        <v>8887</v>
      </c>
      <c r="B6549" s="15">
        <v>45574</v>
      </c>
      <c r="C6549" s="110"/>
      <c r="D6549" s="110"/>
      <c r="E6549" s="3"/>
      <c r="F6549">
        <v>1103</v>
      </c>
    </row>
    <row r="6550" spans="1:6" x14ac:dyDescent="0.25">
      <c r="A6550">
        <v>8887</v>
      </c>
      <c r="B6550" s="15">
        <v>45575</v>
      </c>
      <c r="C6550" s="110"/>
      <c r="D6550" s="110"/>
      <c r="E6550" s="3"/>
      <c r="F6550">
        <v>1104</v>
      </c>
    </row>
    <row r="6551" spans="1:6" x14ac:dyDescent="0.25">
      <c r="A6551">
        <v>8887</v>
      </c>
      <c r="B6551" s="15">
        <v>45576</v>
      </c>
      <c r="C6551" s="110"/>
      <c r="D6551" s="110"/>
      <c r="E6551" s="3"/>
      <c r="F6551">
        <v>1105</v>
      </c>
    </row>
    <row r="6552" spans="1:6" x14ac:dyDescent="0.25">
      <c r="A6552">
        <v>8887</v>
      </c>
      <c r="B6552" s="15">
        <v>45577</v>
      </c>
      <c r="C6552" s="133"/>
      <c r="D6552" s="133"/>
      <c r="E6552" s="3"/>
      <c r="F6552">
        <v>1106</v>
      </c>
    </row>
    <row r="6553" spans="1:6" x14ac:dyDescent="0.25">
      <c r="A6553">
        <v>8887</v>
      </c>
      <c r="B6553" s="15">
        <v>45578</v>
      </c>
      <c r="C6553" s="133"/>
      <c r="D6553" s="133"/>
      <c r="E6553" s="3"/>
      <c r="F6553">
        <v>1107</v>
      </c>
    </row>
    <row r="6554" spans="1:6" x14ac:dyDescent="0.25">
      <c r="A6554">
        <v>8887</v>
      </c>
      <c r="B6554" s="15">
        <v>45579</v>
      </c>
      <c r="C6554" s="110"/>
      <c r="D6554" s="110"/>
      <c r="E6554" s="3"/>
      <c r="F6554">
        <v>1108</v>
      </c>
    </row>
    <row r="6555" spans="1:6" x14ac:dyDescent="0.25">
      <c r="A6555">
        <v>8887</v>
      </c>
      <c r="B6555" s="15">
        <v>45580</v>
      </c>
      <c r="C6555" s="110"/>
      <c r="D6555" s="110"/>
      <c r="E6555" s="3"/>
      <c r="F6555">
        <v>1109</v>
      </c>
    </row>
    <row r="6556" spans="1:6" x14ac:dyDescent="0.25">
      <c r="A6556">
        <v>8887</v>
      </c>
      <c r="B6556" s="15">
        <v>45581</v>
      </c>
      <c r="C6556" s="110"/>
      <c r="D6556" s="110"/>
      <c r="E6556" s="3"/>
      <c r="F6556">
        <v>1110</v>
      </c>
    </row>
    <row r="6557" spans="1:6" x14ac:dyDescent="0.25">
      <c r="A6557">
        <v>8887</v>
      </c>
      <c r="B6557" s="15">
        <v>45582</v>
      </c>
      <c r="C6557" s="110"/>
      <c r="D6557" s="110"/>
      <c r="E6557" s="3"/>
      <c r="F6557">
        <v>1111</v>
      </c>
    </row>
    <row r="6558" spans="1:6" x14ac:dyDescent="0.25">
      <c r="A6558">
        <v>8887</v>
      </c>
      <c r="B6558" s="15">
        <v>45583</v>
      </c>
      <c r="C6558" s="110"/>
      <c r="D6558" s="110"/>
      <c r="E6558" s="3"/>
      <c r="F6558">
        <v>1112</v>
      </c>
    </row>
    <row r="6559" spans="1:6" x14ac:dyDescent="0.25">
      <c r="A6559">
        <v>8887</v>
      </c>
      <c r="B6559" s="15">
        <v>45584</v>
      </c>
      <c r="C6559" s="133"/>
      <c r="D6559" s="133"/>
      <c r="E6559" s="3"/>
      <c r="F6559">
        <v>1113</v>
      </c>
    </row>
    <row r="6560" spans="1:6" x14ac:dyDescent="0.25">
      <c r="A6560">
        <v>8887</v>
      </c>
      <c r="B6560" s="15">
        <v>45585</v>
      </c>
      <c r="C6560" s="133"/>
      <c r="D6560" s="133"/>
      <c r="E6560" s="3"/>
      <c r="F6560">
        <v>1114</v>
      </c>
    </row>
    <row r="6561" spans="1:6" x14ac:dyDescent="0.25">
      <c r="A6561">
        <v>8887</v>
      </c>
      <c r="B6561" s="15">
        <v>45586</v>
      </c>
      <c r="C6561" s="110"/>
      <c r="D6561" s="110"/>
      <c r="E6561" s="3"/>
      <c r="F6561">
        <v>1115</v>
      </c>
    </row>
    <row r="6562" spans="1:6" x14ac:dyDescent="0.25">
      <c r="A6562">
        <v>8887</v>
      </c>
      <c r="B6562" s="15">
        <v>45587</v>
      </c>
      <c r="C6562" s="110"/>
      <c r="D6562" s="110"/>
      <c r="E6562" s="3"/>
      <c r="F6562">
        <v>1116</v>
      </c>
    </row>
    <row r="6563" spans="1:6" x14ac:dyDescent="0.25">
      <c r="A6563">
        <v>8887</v>
      </c>
      <c r="B6563" s="15">
        <v>45588</v>
      </c>
      <c r="C6563" s="110"/>
      <c r="D6563" s="110"/>
      <c r="E6563" s="3"/>
      <c r="F6563">
        <v>1117</v>
      </c>
    </row>
    <row r="6564" spans="1:6" x14ac:dyDescent="0.25">
      <c r="A6564">
        <v>8887</v>
      </c>
      <c r="B6564" s="15">
        <v>45589</v>
      </c>
      <c r="C6564" s="110"/>
      <c r="D6564" s="110"/>
      <c r="E6564" s="3"/>
      <c r="F6564">
        <v>1118</v>
      </c>
    </row>
    <row r="6565" spans="1:6" x14ac:dyDescent="0.25">
      <c r="A6565">
        <v>8887</v>
      </c>
      <c r="B6565" s="15">
        <v>45590</v>
      </c>
      <c r="C6565" s="110"/>
      <c r="D6565" s="110"/>
      <c r="E6565" s="3"/>
      <c r="F6565">
        <v>1119</v>
      </c>
    </row>
    <row r="6566" spans="1:6" x14ac:dyDescent="0.25">
      <c r="A6566">
        <v>8887</v>
      </c>
      <c r="B6566" s="15">
        <v>45591</v>
      </c>
      <c r="C6566" s="133"/>
      <c r="D6566" s="133"/>
      <c r="E6566" s="3"/>
      <c r="F6566">
        <v>1120</v>
      </c>
    </row>
    <row r="6567" spans="1:6" x14ac:dyDescent="0.25">
      <c r="A6567">
        <v>8887</v>
      </c>
      <c r="B6567" s="15">
        <v>45592</v>
      </c>
      <c r="C6567" s="133"/>
      <c r="D6567" s="133"/>
      <c r="E6567" s="3"/>
      <c r="F6567">
        <v>1121</v>
      </c>
    </row>
    <row r="6568" spans="1:6" x14ac:dyDescent="0.25">
      <c r="A6568">
        <v>8887</v>
      </c>
      <c r="B6568" s="15">
        <v>45593</v>
      </c>
      <c r="C6568" s="110"/>
      <c r="D6568" s="110"/>
      <c r="E6568" s="3"/>
      <c r="F6568">
        <v>1122</v>
      </c>
    </row>
    <row r="6569" spans="1:6" x14ac:dyDescent="0.25">
      <c r="A6569">
        <v>8887</v>
      </c>
      <c r="B6569" s="15">
        <v>45594</v>
      </c>
      <c r="C6569" s="127"/>
      <c r="D6569" s="127"/>
      <c r="E6569" s="3"/>
      <c r="F6569">
        <v>1123</v>
      </c>
    </row>
    <row r="6570" spans="1:6" x14ac:dyDescent="0.25">
      <c r="A6570">
        <v>8887</v>
      </c>
      <c r="B6570" s="15">
        <v>45595</v>
      </c>
      <c r="C6570" s="110"/>
      <c r="D6570" s="110"/>
      <c r="E6570" s="3"/>
      <c r="F6570">
        <v>1124</v>
      </c>
    </row>
    <row r="6571" spans="1:6" x14ac:dyDescent="0.25">
      <c r="A6571">
        <v>8887</v>
      </c>
      <c r="B6571" s="15">
        <v>45596</v>
      </c>
      <c r="C6571" s="110"/>
      <c r="D6571" s="110"/>
      <c r="E6571" s="3"/>
      <c r="F6571">
        <v>1125</v>
      </c>
    </row>
    <row r="6572" spans="1:6" x14ac:dyDescent="0.25">
      <c r="A6572">
        <v>8887</v>
      </c>
      <c r="B6572" s="15">
        <v>45597</v>
      </c>
      <c r="C6572" s="110"/>
      <c r="D6572" s="110"/>
      <c r="E6572" s="3"/>
      <c r="F6572">
        <v>1126</v>
      </c>
    </row>
    <row r="6573" spans="1:6" x14ac:dyDescent="0.25">
      <c r="A6573">
        <v>8887</v>
      </c>
      <c r="B6573" s="15">
        <v>45598</v>
      </c>
      <c r="C6573" s="133"/>
      <c r="D6573" s="133"/>
      <c r="E6573" s="3"/>
      <c r="F6573">
        <v>1127</v>
      </c>
    </row>
    <row r="6574" spans="1:6" x14ac:dyDescent="0.25">
      <c r="A6574">
        <v>8887</v>
      </c>
      <c r="B6574" s="15">
        <v>45599</v>
      </c>
      <c r="C6574" s="133"/>
      <c r="D6574" s="133"/>
      <c r="E6574" s="3"/>
      <c r="F6574">
        <v>1128</v>
      </c>
    </row>
    <row r="6575" spans="1:6" x14ac:dyDescent="0.25">
      <c r="A6575">
        <v>8887</v>
      </c>
      <c r="B6575" s="15">
        <v>45600</v>
      </c>
      <c r="C6575" s="110"/>
      <c r="D6575" s="110"/>
      <c r="E6575" s="3"/>
      <c r="F6575">
        <v>1129</v>
      </c>
    </row>
    <row r="6576" spans="1:6" x14ac:dyDescent="0.25">
      <c r="A6576">
        <v>8887</v>
      </c>
      <c r="B6576" s="15">
        <v>45601</v>
      </c>
      <c r="C6576" s="110"/>
      <c r="D6576" s="110"/>
      <c r="E6576" s="3"/>
      <c r="F6576">
        <v>1130</v>
      </c>
    </row>
    <row r="6577" spans="1:6" x14ac:dyDescent="0.25">
      <c r="A6577">
        <v>8887</v>
      </c>
      <c r="B6577" s="15">
        <v>45602</v>
      </c>
      <c r="C6577" s="110"/>
      <c r="D6577" s="110"/>
      <c r="E6577" s="3"/>
      <c r="F6577">
        <v>1131</v>
      </c>
    </row>
    <row r="6578" spans="1:6" x14ac:dyDescent="0.25">
      <c r="A6578">
        <v>8887</v>
      </c>
      <c r="B6578" s="15">
        <v>45603</v>
      </c>
      <c r="C6578" s="110"/>
      <c r="D6578" s="110"/>
      <c r="E6578" s="3"/>
      <c r="F6578">
        <v>1132</v>
      </c>
    </row>
    <row r="6579" spans="1:6" x14ac:dyDescent="0.25">
      <c r="A6579">
        <v>8887</v>
      </c>
      <c r="B6579" s="15">
        <v>45604</v>
      </c>
      <c r="C6579" s="110"/>
      <c r="D6579" s="110"/>
      <c r="E6579" s="3"/>
      <c r="F6579">
        <v>1133</v>
      </c>
    </row>
    <row r="6580" spans="1:6" x14ac:dyDescent="0.25">
      <c r="A6580">
        <v>8887</v>
      </c>
      <c r="B6580" s="15">
        <v>45605</v>
      </c>
      <c r="C6580" s="133"/>
      <c r="D6580" s="133"/>
      <c r="E6580" s="3"/>
      <c r="F6580">
        <v>1134</v>
      </c>
    </row>
    <row r="6581" spans="1:6" x14ac:dyDescent="0.25">
      <c r="A6581">
        <v>8887</v>
      </c>
      <c r="B6581" s="15">
        <v>45606</v>
      </c>
      <c r="C6581" s="133"/>
      <c r="D6581" s="133"/>
      <c r="E6581" s="3"/>
      <c r="F6581">
        <v>1135</v>
      </c>
    </row>
    <row r="6582" spans="1:6" x14ac:dyDescent="0.25">
      <c r="A6582">
        <v>8887</v>
      </c>
      <c r="B6582" s="15">
        <v>45607</v>
      </c>
      <c r="C6582" s="110"/>
      <c r="D6582" s="110"/>
      <c r="E6582" s="3"/>
      <c r="F6582">
        <v>1136</v>
      </c>
    </row>
    <row r="6583" spans="1:6" x14ac:dyDescent="0.25">
      <c r="A6583">
        <v>8887</v>
      </c>
      <c r="B6583" s="15">
        <v>45608</v>
      </c>
      <c r="C6583" s="110"/>
      <c r="D6583" s="110"/>
      <c r="E6583" s="3"/>
      <c r="F6583">
        <v>1137</v>
      </c>
    </row>
    <row r="6584" spans="1:6" x14ac:dyDescent="0.25">
      <c r="A6584">
        <v>8887</v>
      </c>
      <c r="B6584" s="15">
        <v>45609</v>
      </c>
      <c r="C6584" s="110"/>
      <c r="D6584" s="110"/>
      <c r="E6584" s="3"/>
      <c r="F6584">
        <v>1138</v>
      </c>
    </row>
    <row r="6585" spans="1:6" x14ac:dyDescent="0.25">
      <c r="A6585">
        <v>8887</v>
      </c>
      <c r="B6585" s="15">
        <v>45610</v>
      </c>
      <c r="C6585" s="110"/>
      <c r="D6585" s="110"/>
      <c r="E6585" s="3"/>
      <c r="F6585">
        <v>1139</v>
      </c>
    </row>
    <row r="6586" spans="1:6" x14ac:dyDescent="0.25">
      <c r="A6586">
        <v>8887</v>
      </c>
      <c r="B6586" s="15">
        <v>45611</v>
      </c>
      <c r="C6586" s="110"/>
      <c r="D6586" s="110"/>
      <c r="E6586" s="3"/>
      <c r="F6586">
        <v>1140</v>
      </c>
    </row>
    <row r="6587" spans="1:6" x14ac:dyDescent="0.25">
      <c r="A6587">
        <v>8887</v>
      </c>
      <c r="B6587" s="15">
        <v>45612</v>
      </c>
      <c r="C6587" s="133"/>
      <c r="D6587" s="133"/>
      <c r="E6587" s="3"/>
      <c r="F6587">
        <v>1141</v>
      </c>
    </row>
    <row r="6588" spans="1:6" x14ac:dyDescent="0.25">
      <c r="A6588">
        <v>8887</v>
      </c>
      <c r="B6588" s="15">
        <v>45613</v>
      </c>
      <c r="C6588" s="133"/>
      <c r="D6588" s="133"/>
      <c r="E6588" s="3"/>
      <c r="F6588">
        <v>1142</v>
      </c>
    </row>
    <row r="6589" spans="1:6" x14ac:dyDescent="0.25">
      <c r="A6589">
        <v>8887</v>
      </c>
      <c r="B6589" s="15">
        <v>45614</v>
      </c>
      <c r="C6589" s="110"/>
      <c r="D6589" s="110"/>
      <c r="E6589" s="3"/>
      <c r="F6589">
        <v>1143</v>
      </c>
    </row>
    <row r="6590" spans="1:6" x14ac:dyDescent="0.25">
      <c r="A6590">
        <v>8887</v>
      </c>
      <c r="B6590" s="15">
        <v>45615</v>
      </c>
      <c r="C6590" s="110"/>
      <c r="D6590" s="110"/>
      <c r="E6590" s="3"/>
      <c r="F6590">
        <v>1144</v>
      </c>
    </row>
    <row r="6591" spans="1:6" x14ac:dyDescent="0.25">
      <c r="A6591">
        <v>8887</v>
      </c>
      <c r="B6591" s="15">
        <v>45616</v>
      </c>
      <c r="C6591" s="110"/>
      <c r="D6591" s="110"/>
      <c r="E6591" s="3"/>
      <c r="F6591">
        <v>1145</v>
      </c>
    </row>
    <row r="6592" spans="1:6" x14ac:dyDescent="0.25">
      <c r="A6592">
        <v>8887</v>
      </c>
      <c r="B6592" s="15">
        <v>45617</v>
      </c>
      <c r="C6592" s="110"/>
      <c r="D6592" s="110"/>
      <c r="E6592" s="3"/>
      <c r="F6592">
        <v>1146</v>
      </c>
    </row>
    <row r="6593" spans="1:6" x14ac:dyDescent="0.25">
      <c r="A6593">
        <v>8887</v>
      </c>
      <c r="B6593" s="15">
        <v>45618</v>
      </c>
      <c r="C6593" s="110"/>
      <c r="D6593" s="110"/>
      <c r="E6593" s="3"/>
      <c r="F6593">
        <v>1147</v>
      </c>
    </row>
    <row r="6594" spans="1:6" x14ac:dyDescent="0.25">
      <c r="A6594">
        <v>8887</v>
      </c>
      <c r="B6594" s="15">
        <v>45619</v>
      </c>
      <c r="C6594" s="133"/>
      <c r="D6594" s="133"/>
      <c r="E6594" s="3"/>
      <c r="F6594">
        <v>1148</v>
      </c>
    </row>
    <row r="6595" spans="1:6" x14ac:dyDescent="0.25">
      <c r="A6595">
        <v>8887</v>
      </c>
      <c r="B6595" s="15">
        <v>45620</v>
      </c>
      <c r="C6595" s="133"/>
      <c r="D6595" s="133"/>
      <c r="E6595" s="3"/>
      <c r="F6595">
        <v>1149</v>
      </c>
    </row>
    <row r="6596" spans="1:6" x14ac:dyDescent="0.25">
      <c r="A6596">
        <v>9245</v>
      </c>
      <c r="B6596" s="15">
        <v>45264</v>
      </c>
      <c r="E6596" s="117" t="s">
        <v>1</v>
      </c>
      <c r="F6596">
        <v>3978</v>
      </c>
    </row>
    <row r="6597" spans="1:6" x14ac:dyDescent="0.25">
      <c r="A6597">
        <v>9245</v>
      </c>
      <c r="B6597" s="15">
        <v>45265</v>
      </c>
      <c r="E6597" s="120" t="s">
        <v>1</v>
      </c>
      <c r="F6597">
        <v>3979</v>
      </c>
    </row>
    <row r="6598" spans="1:6" x14ac:dyDescent="0.25">
      <c r="A6598">
        <v>9245</v>
      </c>
      <c r="B6598" s="15">
        <v>45266</v>
      </c>
      <c r="E6598" s="117" t="s">
        <v>1</v>
      </c>
      <c r="F6598">
        <v>3980</v>
      </c>
    </row>
    <row r="6599" spans="1:6" x14ac:dyDescent="0.25">
      <c r="A6599">
        <v>9245</v>
      </c>
      <c r="B6599" s="15">
        <v>45267</v>
      </c>
      <c r="E6599" s="120" t="s">
        <v>1</v>
      </c>
      <c r="F6599">
        <v>3981</v>
      </c>
    </row>
    <row r="6600" spans="1:6" x14ac:dyDescent="0.25">
      <c r="A6600">
        <v>9245</v>
      </c>
      <c r="B6600" s="15">
        <v>45268</v>
      </c>
      <c r="E6600" s="120" t="s">
        <v>1</v>
      </c>
      <c r="F6600">
        <v>3982</v>
      </c>
    </row>
    <row r="6601" spans="1:6" x14ac:dyDescent="0.25">
      <c r="A6601">
        <v>9245</v>
      </c>
      <c r="B6601" s="15">
        <v>45269</v>
      </c>
      <c r="E6601" s="119"/>
      <c r="F6601">
        <v>3983</v>
      </c>
    </row>
    <row r="6602" spans="1:6" x14ac:dyDescent="0.25">
      <c r="A6602">
        <v>9245</v>
      </c>
      <c r="B6602" s="15">
        <v>45270</v>
      </c>
      <c r="E6602" s="157"/>
      <c r="F6602">
        <v>3984</v>
      </c>
    </row>
    <row r="6603" spans="1:6" x14ac:dyDescent="0.25">
      <c r="A6603">
        <v>9245</v>
      </c>
      <c r="B6603" s="15">
        <v>45271</v>
      </c>
      <c r="E6603" s="155"/>
      <c r="F6603">
        <v>3985</v>
      </c>
    </row>
    <row r="6604" spans="1:6" x14ac:dyDescent="0.25">
      <c r="A6604">
        <v>9245</v>
      </c>
      <c r="B6604" s="15">
        <v>45272</v>
      </c>
      <c r="E6604" s="117" t="s">
        <v>1</v>
      </c>
      <c r="F6604">
        <v>3986</v>
      </c>
    </row>
    <row r="6605" spans="1:6" x14ac:dyDescent="0.25">
      <c r="A6605">
        <v>9245</v>
      </c>
      <c r="B6605" s="15">
        <v>45273</v>
      </c>
      <c r="E6605" s="120" t="s">
        <v>1</v>
      </c>
      <c r="F6605">
        <v>3987</v>
      </c>
    </row>
    <row r="6606" spans="1:6" x14ac:dyDescent="0.25">
      <c r="A6606">
        <v>9245</v>
      </c>
      <c r="B6606" s="15">
        <v>45274</v>
      </c>
      <c r="E6606" s="120" t="s">
        <v>1</v>
      </c>
      <c r="F6606">
        <v>3988</v>
      </c>
    </row>
    <row r="6607" spans="1:6" x14ac:dyDescent="0.25">
      <c r="A6607">
        <v>9245</v>
      </c>
      <c r="B6607" s="15">
        <v>45275</v>
      </c>
      <c r="E6607" s="117" t="s">
        <v>1</v>
      </c>
      <c r="F6607">
        <v>3989</v>
      </c>
    </row>
    <row r="6608" spans="1:6" x14ac:dyDescent="0.25">
      <c r="A6608">
        <v>9245</v>
      </c>
      <c r="B6608" s="15">
        <v>45276</v>
      </c>
      <c r="E6608" s="121" t="s">
        <v>1</v>
      </c>
      <c r="F6608">
        <v>3990</v>
      </c>
    </row>
    <row r="6609" spans="1:6" x14ac:dyDescent="0.25">
      <c r="A6609">
        <v>9245</v>
      </c>
      <c r="B6609" s="15">
        <v>45277</v>
      </c>
      <c r="E6609" s="157"/>
      <c r="F6609">
        <v>3991</v>
      </c>
    </row>
    <row r="6610" spans="1:6" x14ac:dyDescent="0.25">
      <c r="A6610">
        <v>9245</v>
      </c>
      <c r="B6610" s="15">
        <v>45278</v>
      </c>
      <c r="E6610" s="117" t="s">
        <v>1</v>
      </c>
      <c r="F6610">
        <v>3992</v>
      </c>
    </row>
    <row r="6611" spans="1:6" x14ac:dyDescent="0.25">
      <c r="A6611">
        <v>9245</v>
      </c>
      <c r="B6611" s="15">
        <v>45279</v>
      </c>
      <c r="E6611" s="120" t="s">
        <v>1</v>
      </c>
      <c r="F6611">
        <v>3993</v>
      </c>
    </row>
    <row r="6612" spans="1:6" x14ac:dyDescent="0.25">
      <c r="A6612">
        <v>9245</v>
      </c>
      <c r="B6612" s="15">
        <v>45280</v>
      </c>
      <c r="E6612" s="160" t="s">
        <v>264</v>
      </c>
      <c r="F6612">
        <v>3994</v>
      </c>
    </row>
    <row r="6613" spans="1:6" x14ac:dyDescent="0.25">
      <c r="A6613">
        <v>9245</v>
      </c>
      <c r="B6613" s="15">
        <v>45281</v>
      </c>
      <c r="E6613" s="160" t="s">
        <v>267</v>
      </c>
      <c r="F6613">
        <v>3995</v>
      </c>
    </row>
    <row r="6614" spans="1:6" x14ac:dyDescent="0.25">
      <c r="A6614">
        <v>9245</v>
      </c>
      <c r="B6614" s="15">
        <v>45282</v>
      </c>
      <c r="E6614" s="160" t="s">
        <v>175</v>
      </c>
      <c r="F6614">
        <v>3996</v>
      </c>
    </row>
    <row r="6615" spans="1:6" x14ac:dyDescent="0.25">
      <c r="A6615">
        <v>9245</v>
      </c>
      <c r="B6615" s="15">
        <v>45283</v>
      </c>
      <c r="E6615" s="119"/>
      <c r="F6615">
        <v>3997</v>
      </c>
    </row>
    <row r="6616" spans="1:6" x14ac:dyDescent="0.25">
      <c r="A6616">
        <v>9245</v>
      </c>
      <c r="B6616" s="15">
        <v>45284</v>
      </c>
      <c r="E6616" s="157"/>
      <c r="F6616">
        <v>3998</v>
      </c>
    </row>
    <row r="6617" spans="1:6" x14ac:dyDescent="0.25">
      <c r="A6617">
        <v>9245</v>
      </c>
      <c r="B6617" s="15">
        <v>45285</v>
      </c>
      <c r="E6617" s="155"/>
      <c r="F6617">
        <v>3999</v>
      </c>
    </row>
    <row r="6618" spans="1:6" x14ac:dyDescent="0.25">
      <c r="A6618">
        <v>9245</v>
      </c>
      <c r="B6618" s="15">
        <v>45286</v>
      </c>
      <c r="E6618" s="160" t="s">
        <v>264</v>
      </c>
      <c r="F6618">
        <v>4000</v>
      </c>
    </row>
    <row r="6619" spans="1:6" x14ac:dyDescent="0.25">
      <c r="A6619">
        <v>9245</v>
      </c>
      <c r="B6619" s="15">
        <v>45287</v>
      </c>
      <c r="E6619" s="160" t="s">
        <v>267</v>
      </c>
      <c r="F6619">
        <v>4001</v>
      </c>
    </row>
    <row r="6620" spans="1:6" x14ac:dyDescent="0.25">
      <c r="A6620">
        <v>9245</v>
      </c>
      <c r="B6620" s="15">
        <v>45288</v>
      </c>
      <c r="E6620" s="160" t="s">
        <v>267</v>
      </c>
      <c r="F6620">
        <v>4002</v>
      </c>
    </row>
    <row r="6621" spans="1:6" x14ac:dyDescent="0.25">
      <c r="A6621">
        <v>9245</v>
      </c>
      <c r="B6621" s="15">
        <v>45289</v>
      </c>
      <c r="E6621" s="160" t="s">
        <v>175</v>
      </c>
      <c r="F6621">
        <v>4003</v>
      </c>
    </row>
    <row r="6622" spans="1:6" x14ac:dyDescent="0.25">
      <c r="A6622">
        <v>9245</v>
      </c>
      <c r="B6622" s="15">
        <v>45290</v>
      </c>
      <c r="E6622" s="160" t="s">
        <v>175</v>
      </c>
      <c r="F6622">
        <v>4004</v>
      </c>
    </row>
    <row r="6623" spans="1:6" x14ac:dyDescent="0.25">
      <c r="A6623">
        <v>9245</v>
      </c>
      <c r="B6623" s="15">
        <v>45291</v>
      </c>
      <c r="E6623" s="157"/>
      <c r="F6623">
        <v>4005</v>
      </c>
    </row>
    <row r="6624" spans="1:6" x14ac:dyDescent="0.25">
      <c r="A6624">
        <v>9245</v>
      </c>
      <c r="B6624" s="15">
        <v>45292</v>
      </c>
      <c r="E6624" s="119"/>
      <c r="F6624">
        <v>4804</v>
      </c>
    </row>
    <row r="6625" spans="1:6" x14ac:dyDescent="0.25">
      <c r="A6625">
        <v>9245</v>
      </c>
      <c r="B6625" s="15">
        <v>45293</v>
      </c>
      <c r="E6625" s="120" t="s">
        <v>285</v>
      </c>
      <c r="F6625">
        <v>4805</v>
      </c>
    </row>
    <row r="6626" spans="1:6" x14ac:dyDescent="0.25">
      <c r="A6626">
        <v>9245</v>
      </c>
      <c r="B6626" s="15">
        <v>45294</v>
      </c>
      <c r="E6626" s="117" t="s">
        <v>2</v>
      </c>
      <c r="F6626">
        <v>4806</v>
      </c>
    </row>
    <row r="6627" spans="1:6" x14ac:dyDescent="0.25">
      <c r="A6627">
        <v>9245</v>
      </c>
      <c r="B6627" s="15">
        <v>45295</v>
      </c>
      <c r="E6627" s="122" t="s">
        <v>2</v>
      </c>
      <c r="F6627">
        <v>4807</v>
      </c>
    </row>
    <row r="6628" spans="1:6" x14ac:dyDescent="0.25">
      <c r="A6628">
        <v>9245</v>
      </c>
      <c r="B6628" s="15">
        <v>45296</v>
      </c>
      <c r="E6628" s="122" t="s">
        <v>2</v>
      </c>
      <c r="F6628">
        <v>4808</v>
      </c>
    </row>
    <row r="6629" spans="1:6" x14ac:dyDescent="0.25">
      <c r="A6629">
        <v>9245</v>
      </c>
      <c r="B6629" s="15">
        <v>45297</v>
      </c>
      <c r="E6629" s="119"/>
      <c r="F6629">
        <v>4809</v>
      </c>
    </row>
    <row r="6630" spans="1:6" x14ac:dyDescent="0.25">
      <c r="A6630">
        <v>9245</v>
      </c>
      <c r="B6630" s="15">
        <v>45298</v>
      </c>
      <c r="E6630" s="157"/>
      <c r="F6630">
        <v>4810</v>
      </c>
    </row>
    <row r="6631" spans="1:6" x14ac:dyDescent="0.25">
      <c r="A6631">
        <v>9245</v>
      </c>
      <c r="B6631" s="15">
        <v>45299</v>
      </c>
      <c r="E6631" s="155"/>
      <c r="F6631">
        <v>4811</v>
      </c>
    </row>
    <row r="6632" spans="1:6" x14ac:dyDescent="0.25">
      <c r="A6632">
        <v>9245</v>
      </c>
      <c r="B6632" s="15">
        <v>45300</v>
      </c>
      <c r="E6632" s="160" t="s">
        <v>264</v>
      </c>
      <c r="F6632">
        <v>4812</v>
      </c>
    </row>
    <row r="6633" spans="1:6" x14ac:dyDescent="0.25">
      <c r="A6633">
        <v>9245</v>
      </c>
      <c r="B6633" s="15">
        <v>45301</v>
      </c>
      <c r="E6633" s="160" t="s">
        <v>267</v>
      </c>
      <c r="F6633">
        <v>4813</v>
      </c>
    </row>
    <row r="6634" spans="1:6" x14ac:dyDescent="0.25">
      <c r="A6634">
        <v>9245</v>
      </c>
      <c r="B6634" s="15">
        <v>45302</v>
      </c>
      <c r="E6634" s="160" t="s">
        <v>267</v>
      </c>
      <c r="F6634">
        <v>4814</v>
      </c>
    </row>
    <row r="6635" spans="1:6" x14ac:dyDescent="0.25">
      <c r="A6635">
        <v>9245</v>
      </c>
      <c r="B6635" s="15">
        <v>45303</v>
      </c>
      <c r="E6635" s="160" t="s">
        <v>264</v>
      </c>
      <c r="F6635">
        <v>4815</v>
      </c>
    </row>
    <row r="6636" spans="1:6" x14ac:dyDescent="0.25">
      <c r="A6636">
        <v>9245</v>
      </c>
      <c r="B6636" s="15">
        <v>45304</v>
      </c>
      <c r="E6636" s="160" t="s">
        <v>175</v>
      </c>
      <c r="F6636">
        <v>4816</v>
      </c>
    </row>
    <row r="6637" spans="1:6" x14ac:dyDescent="0.25">
      <c r="A6637">
        <v>9245</v>
      </c>
      <c r="B6637" s="15">
        <v>45305</v>
      </c>
      <c r="E6637" s="157"/>
      <c r="F6637">
        <v>4817</v>
      </c>
    </row>
    <row r="6638" spans="1:6" x14ac:dyDescent="0.25">
      <c r="A6638">
        <v>9245</v>
      </c>
      <c r="B6638" s="15">
        <v>45306</v>
      </c>
      <c r="E6638" s="117" t="s">
        <v>2</v>
      </c>
      <c r="F6638">
        <v>4818</v>
      </c>
    </row>
    <row r="6639" spans="1:6" x14ac:dyDescent="0.25">
      <c r="A6639">
        <v>9245</v>
      </c>
      <c r="B6639" s="15">
        <v>45307</v>
      </c>
      <c r="E6639" s="160" t="s">
        <v>267</v>
      </c>
      <c r="F6639">
        <v>4819</v>
      </c>
    </row>
    <row r="6640" spans="1:6" x14ac:dyDescent="0.25">
      <c r="A6640">
        <v>9245</v>
      </c>
      <c r="B6640" s="15">
        <v>45308</v>
      </c>
      <c r="E6640" s="160" t="s">
        <v>264</v>
      </c>
      <c r="F6640">
        <v>4820</v>
      </c>
    </row>
    <row r="6641" spans="1:6" x14ac:dyDescent="0.25">
      <c r="A6641">
        <v>9245</v>
      </c>
      <c r="B6641" s="15">
        <v>45309</v>
      </c>
      <c r="E6641" s="160" t="s">
        <v>267</v>
      </c>
      <c r="F6641">
        <v>4821</v>
      </c>
    </row>
    <row r="6642" spans="1:6" x14ac:dyDescent="0.25">
      <c r="A6642">
        <v>9245</v>
      </c>
      <c r="B6642" s="15">
        <v>45310</v>
      </c>
      <c r="E6642" s="160" t="s">
        <v>267</v>
      </c>
      <c r="F6642">
        <v>4822</v>
      </c>
    </row>
    <row r="6643" spans="1:6" x14ac:dyDescent="0.25">
      <c r="A6643">
        <v>9245</v>
      </c>
      <c r="B6643" s="15">
        <v>45311</v>
      </c>
      <c r="E6643" s="119"/>
      <c r="F6643">
        <v>4823</v>
      </c>
    </row>
    <row r="6644" spans="1:6" x14ac:dyDescent="0.25">
      <c r="A6644">
        <v>9245</v>
      </c>
      <c r="B6644" s="15">
        <v>45312</v>
      </c>
      <c r="E6644" s="157"/>
      <c r="F6644">
        <v>4824</v>
      </c>
    </row>
    <row r="6645" spans="1:6" x14ac:dyDescent="0.25">
      <c r="A6645">
        <v>9245</v>
      </c>
      <c r="B6645" s="15">
        <v>45313</v>
      </c>
      <c r="E6645" s="155"/>
      <c r="F6645">
        <v>4825</v>
      </c>
    </row>
    <row r="6646" spans="1:6" x14ac:dyDescent="0.25">
      <c r="A6646">
        <v>9245</v>
      </c>
      <c r="B6646" s="15">
        <v>45314</v>
      </c>
      <c r="E6646" s="160" t="s">
        <v>264</v>
      </c>
      <c r="F6646">
        <v>4826</v>
      </c>
    </row>
    <row r="6647" spans="1:6" x14ac:dyDescent="0.25">
      <c r="A6647">
        <v>9245</v>
      </c>
      <c r="B6647" s="15">
        <v>45315</v>
      </c>
      <c r="E6647" s="160" t="s">
        <v>267</v>
      </c>
      <c r="F6647">
        <v>4827</v>
      </c>
    </row>
    <row r="6648" spans="1:6" x14ac:dyDescent="0.25">
      <c r="A6648">
        <v>9245</v>
      </c>
      <c r="B6648" s="15">
        <v>45316</v>
      </c>
      <c r="E6648" s="160" t="s">
        <v>267</v>
      </c>
      <c r="F6648">
        <v>4828</v>
      </c>
    </row>
    <row r="6649" spans="1:6" x14ac:dyDescent="0.25">
      <c r="A6649">
        <v>9245</v>
      </c>
      <c r="B6649" s="15">
        <v>45317</v>
      </c>
      <c r="E6649" s="160" t="s">
        <v>264</v>
      </c>
      <c r="F6649">
        <v>4829</v>
      </c>
    </row>
    <row r="6650" spans="1:6" x14ac:dyDescent="0.25">
      <c r="A6650">
        <v>9245</v>
      </c>
      <c r="B6650" s="15">
        <v>45318</v>
      </c>
      <c r="E6650" s="121" t="s">
        <v>2</v>
      </c>
      <c r="F6650">
        <v>4830</v>
      </c>
    </row>
    <row r="6651" spans="1:6" x14ac:dyDescent="0.25">
      <c r="A6651">
        <v>9245</v>
      </c>
      <c r="B6651" s="15">
        <v>45319</v>
      </c>
      <c r="E6651" s="157"/>
      <c r="F6651">
        <v>4831</v>
      </c>
    </row>
    <row r="6652" spans="1:6" x14ac:dyDescent="0.25">
      <c r="A6652">
        <v>9245</v>
      </c>
      <c r="B6652" s="15">
        <v>45320</v>
      </c>
      <c r="E6652" s="117" t="s">
        <v>2</v>
      </c>
      <c r="F6652">
        <v>4832</v>
      </c>
    </row>
    <row r="6653" spans="1:6" x14ac:dyDescent="0.25">
      <c r="A6653">
        <v>9245</v>
      </c>
      <c r="B6653" s="15">
        <v>45321</v>
      </c>
      <c r="E6653" s="160" t="s">
        <v>267</v>
      </c>
      <c r="F6653">
        <v>4833</v>
      </c>
    </row>
    <row r="6654" spans="1:6" x14ac:dyDescent="0.25">
      <c r="A6654">
        <v>9245</v>
      </c>
      <c r="B6654" s="15">
        <v>45322</v>
      </c>
      <c r="E6654" s="160" t="s">
        <v>264</v>
      </c>
      <c r="F6654">
        <v>4834</v>
      </c>
    </row>
    <row r="6655" spans="1:6" x14ac:dyDescent="0.25">
      <c r="A6655">
        <v>9245</v>
      </c>
      <c r="B6655" s="15">
        <v>45323</v>
      </c>
      <c r="E6655" s="160" t="s">
        <v>267</v>
      </c>
      <c r="F6655">
        <v>4835</v>
      </c>
    </row>
    <row r="6656" spans="1:6" x14ac:dyDescent="0.25">
      <c r="A6656">
        <v>9245</v>
      </c>
      <c r="B6656" s="15">
        <v>45324</v>
      </c>
      <c r="E6656" s="160" t="s">
        <v>267</v>
      </c>
      <c r="F6656">
        <v>4836</v>
      </c>
    </row>
    <row r="6657" spans="1:6" x14ac:dyDescent="0.25">
      <c r="A6657">
        <v>9245</v>
      </c>
      <c r="B6657" s="15">
        <v>45325</v>
      </c>
      <c r="E6657" s="119"/>
      <c r="F6657">
        <v>4837</v>
      </c>
    </row>
    <row r="6658" spans="1:6" x14ac:dyDescent="0.25">
      <c r="A6658">
        <v>9245</v>
      </c>
      <c r="B6658" s="15">
        <v>45326</v>
      </c>
      <c r="E6658" s="157"/>
      <c r="F6658">
        <v>4838</v>
      </c>
    </row>
    <row r="6659" spans="1:6" x14ac:dyDescent="0.25">
      <c r="A6659">
        <v>9245</v>
      </c>
      <c r="B6659" s="15">
        <v>45327</v>
      </c>
      <c r="E6659" s="155"/>
      <c r="F6659">
        <v>5553</v>
      </c>
    </row>
    <row r="6660" spans="1:6" x14ac:dyDescent="0.25">
      <c r="A6660">
        <v>9245</v>
      </c>
      <c r="B6660" s="15">
        <v>45328</v>
      </c>
      <c r="E6660" s="160" t="s">
        <v>264</v>
      </c>
      <c r="F6660">
        <v>5554</v>
      </c>
    </row>
    <row r="6661" spans="1:6" x14ac:dyDescent="0.25">
      <c r="A6661">
        <v>9245</v>
      </c>
      <c r="B6661" s="15">
        <v>45329</v>
      </c>
      <c r="E6661" s="160" t="s">
        <v>267</v>
      </c>
      <c r="F6661">
        <v>5555</v>
      </c>
    </row>
    <row r="6662" spans="1:6" x14ac:dyDescent="0.25">
      <c r="A6662">
        <v>9245</v>
      </c>
      <c r="B6662" s="15">
        <v>45330</v>
      </c>
      <c r="E6662" s="160" t="s">
        <v>267</v>
      </c>
      <c r="F6662">
        <v>5556</v>
      </c>
    </row>
    <row r="6663" spans="1:6" x14ac:dyDescent="0.25">
      <c r="A6663">
        <v>9245</v>
      </c>
      <c r="B6663" s="15">
        <v>45331</v>
      </c>
      <c r="E6663" s="160" t="s">
        <v>264</v>
      </c>
      <c r="F6663">
        <v>5557</v>
      </c>
    </row>
    <row r="6664" spans="1:6" x14ac:dyDescent="0.25">
      <c r="A6664">
        <v>9245</v>
      </c>
      <c r="B6664" s="15">
        <v>45332</v>
      </c>
      <c r="E6664" s="160" t="s">
        <v>175</v>
      </c>
      <c r="F6664">
        <v>5558</v>
      </c>
    </row>
    <row r="6665" spans="1:6" x14ac:dyDescent="0.25">
      <c r="A6665">
        <v>9245</v>
      </c>
      <c r="B6665" s="15">
        <v>45333</v>
      </c>
      <c r="E6665" s="157"/>
      <c r="F6665">
        <v>5559</v>
      </c>
    </row>
    <row r="6666" spans="1:6" x14ac:dyDescent="0.25">
      <c r="A6666">
        <v>9245</v>
      </c>
      <c r="B6666" s="15">
        <v>45334</v>
      </c>
      <c r="E6666" s="117" t="s">
        <v>2</v>
      </c>
      <c r="F6666">
        <v>5560</v>
      </c>
    </row>
    <row r="6667" spans="1:6" x14ac:dyDescent="0.25">
      <c r="A6667">
        <v>9245</v>
      </c>
      <c r="B6667" s="15">
        <v>45335</v>
      </c>
      <c r="E6667" s="160" t="s">
        <v>267</v>
      </c>
      <c r="F6667">
        <v>5561</v>
      </c>
    </row>
    <row r="6668" spans="1:6" x14ac:dyDescent="0.25">
      <c r="A6668">
        <v>9245</v>
      </c>
      <c r="B6668" s="15">
        <v>45336</v>
      </c>
      <c r="E6668" s="160" t="s">
        <v>264</v>
      </c>
      <c r="F6668">
        <v>5562</v>
      </c>
    </row>
    <row r="6669" spans="1:6" x14ac:dyDescent="0.25">
      <c r="A6669">
        <v>9245</v>
      </c>
      <c r="B6669" s="15">
        <v>45337</v>
      </c>
      <c r="E6669" s="160" t="s">
        <v>267</v>
      </c>
      <c r="F6669">
        <v>5563</v>
      </c>
    </row>
    <row r="6670" spans="1:6" x14ac:dyDescent="0.25">
      <c r="A6670">
        <v>9245</v>
      </c>
      <c r="B6670" s="15">
        <v>45338</v>
      </c>
      <c r="E6670" s="160" t="s">
        <v>267</v>
      </c>
      <c r="F6670">
        <v>5564</v>
      </c>
    </row>
    <row r="6671" spans="1:6" x14ac:dyDescent="0.25">
      <c r="A6671">
        <v>9245</v>
      </c>
      <c r="B6671" s="15">
        <v>45339</v>
      </c>
      <c r="E6671" s="119"/>
      <c r="F6671">
        <v>5565</v>
      </c>
    </row>
    <row r="6672" spans="1:6" x14ac:dyDescent="0.25">
      <c r="A6672">
        <v>9245</v>
      </c>
      <c r="B6672" s="15">
        <v>45340</v>
      </c>
      <c r="E6672" s="157"/>
      <c r="F6672">
        <v>5566</v>
      </c>
    </row>
    <row r="6673" spans="1:6" x14ac:dyDescent="0.25">
      <c r="A6673">
        <v>9245</v>
      </c>
      <c r="B6673" s="15">
        <v>45341</v>
      </c>
      <c r="E6673" s="155"/>
      <c r="F6673">
        <v>5567</v>
      </c>
    </row>
    <row r="6674" spans="1:6" x14ac:dyDescent="0.25">
      <c r="A6674">
        <v>9245</v>
      </c>
      <c r="B6674" s="15">
        <v>45342</v>
      </c>
      <c r="E6674" s="160" t="s">
        <v>264</v>
      </c>
      <c r="F6674">
        <v>5568</v>
      </c>
    </row>
    <row r="6675" spans="1:6" x14ac:dyDescent="0.25">
      <c r="A6675">
        <v>9245</v>
      </c>
      <c r="B6675" s="15">
        <v>45343</v>
      </c>
      <c r="E6675" s="160" t="s">
        <v>267</v>
      </c>
      <c r="F6675">
        <v>5569</v>
      </c>
    </row>
    <row r="6676" spans="1:6" x14ac:dyDescent="0.25">
      <c r="A6676">
        <v>9245</v>
      </c>
      <c r="B6676" s="15">
        <v>45344</v>
      </c>
      <c r="E6676" s="160" t="s">
        <v>267</v>
      </c>
      <c r="F6676">
        <v>5570</v>
      </c>
    </row>
    <row r="6677" spans="1:6" x14ac:dyDescent="0.25">
      <c r="A6677">
        <v>9245</v>
      </c>
      <c r="B6677" s="15">
        <v>45345</v>
      </c>
      <c r="E6677" s="160" t="s">
        <v>264</v>
      </c>
      <c r="F6677">
        <v>5571</v>
      </c>
    </row>
    <row r="6678" spans="1:6" x14ac:dyDescent="0.25">
      <c r="A6678">
        <v>9245</v>
      </c>
      <c r="B6678" s="15">
        <v>45346</v>
      </c>
      <c r="E6678" s="121" t="s">
        <v>2</v>
      </c>
      <c r="F6678">
        <v>5572</v>
      </c>
    </row>
    <row r="6679" spans="1:6" x14ac:dyDescent="0.25">
      <c r="A6679">
        <v>9245</v>
      </c>
      <c r="B6679" s="15">
        <v>45347</v>
      </c>
      <c r="E6679" s="157"/>
      <c r="F6679">
        <v>5573</v>
      </c>
    </row>
    <row r="6680" spans="1:6" x14ac:dyDescent="0.25">
      <c r="A6680">
        <v>9245</v>
      </c>
      <c r="B6680" s="15">
        <v>45348</v>
      </c>
      <c r="E6680" s="117" t="s">
        <v>2</v>
      </c>
      <c r="F6680">
        <v>5574</v>
      </c>
    </row>
    <row r="6681" spans="1:6" x14ac:dyDescent="0.25">
      <c r="A6681">
        <v>9245</v>
      </c>
      <c r="B6681" s="15">
        <v>45349</v>
      </c>
      <c r="E6681" s="160" t="s">
        <v>267</v>
      </c>
      <c r="F6681">
        <v>5575</v>
      </c>
    </row>
    <row r="6682" spans="1:6" x14ac:dyDescent="0.25">
      <c r="A6682">
        <v>9245</v>
      </c>
      <c r="B6682" s="15">
        <v>45350</v>
      </c>
      <c r="E6682" s="160" t="s">
        <v>264</v>
      </c>
      <c r="F6682">
        <v>5576</v>
      </c>
    </row>
    <row r="6683" spans="1:6" x14ac:dyDescent="0.25">
      <c r="A6683">
        <v>9245</v>
      </c>
      <c r="B6683" s="15">
        <v>45351</v>
      </c>
      <c r="E6683" s="160" t="s">
        <v>267</v>
      </c>
      <c r="F6683">
        <v>5577</v>
      </c>
    </row>
    <row r="6684" spans="1:6" x14ac:dyDescent="0.25">
      <c r="A6684">
        <v>9245</v>
      </c>
      <c r="B6684" s="15">
        <v>45352</v>
      </c>
      <c r="E6684" s="160" t="s">
        <v>267</v>
      </c>
      <c r="F6684">
        <v>5578</v>
      </c>
    </row>
    <row r="6685" spans="1:6" x14ac:dyDescent="0.25">
      <c r="A6685">
        <v>9245</v>
      </c>
      <c r="B6685" s="15">
        <v>45353</v>
      </c>
      <c r="E6685" s="119"/>
      <c r="F6685">
        <v>5579</v>
      </c>
    </row>
    <row r="6686" spans="1:6" x14ac:dyDescent="0.25">
      <c r="A6686">
        <v>9245</v>
      </c>
      <c r="B6686" s="15">
        <v>45354</v>
      </c>
      <c r="E6686" s="157"/>
      <c r="F6686">
        <v>5580</v>
      </c>
    </row>
    <row r="6687" spans="1:6" x14ac:dyDescent="0.25">
      <c r="A6687">
        <v>9245</v>
      </c>
      <c r="B6687" s="15">
        <v>45355</v>
      </c>
      <c r="E6687" s="155"/>
      <c r="F6687">
        <v>6253</v>
      </c>
    </row>
    <row r="6688" spans="1:6" x14ac:dyDescent="0.25">
      <c r="A6688">
        <v>9245</v>
      </c>
      <c r="B6688" s="15">
        <v>45356</v>
      </c>
      <c r="E6688" s="160" t="s">
        <v>264</v>
      </c>
      <c r="F6688">
        <v>6254</v>
      </c>
    </row>
    <row r="6689" spans="1:6" x14ac:dyDescent="0.25">
      <c r="A6689">
        <v>9245</v>
      </c>
      <c r="B6689" s="15">
        <v>45357</v>
      </c>
      <c r="E6689" s="160" t="s">
        <v>267</v>
      </c>
      <c r="F6689">
        <v>6255</v>
      </c>
    </row>
    <row r="6690" spans="1:6" x14ac:dyDescent="0.25">
      <c r="A6690">
        <v>9245</v>
      </c>
      <c r="B6690" s="15">
        <v>45358</v>
      </c>
      <c r="E6690" s="160" t="s">
        <v>267</v>
      </c>
      <c r="F6690">
        <v>6256</v>
      </c>
    </row>
    <row r="6691" spans="1:6" x14ac:dyDescent="0.25">
      <c r="A6691">
        <v>9245</v>
      </c>
      <c r="B6691" s="15">
        <v>45359</v>
      </c>
      <c r="E6691" s="160" t="s">
        <v>264</v>
      </c>
      <c r="F6691">
        <v>6257</v>
      </c>
    </row>
    <row r="6692" spans="1:6" x14ac:dyDescent="0.25">
      <c r="A6692">
        <v>9245</v>
      </c>
      <c r="B6692" s="15">
        <v>45360</v>
      </c>
      <c r="E6692" s="121" t="s">
        <v>2</v>
      </c>
      <c r="F6692">
        <v>6258</v>
      </c>
    </row>
    <row r="6693" spans="1:6" x14ac:dyDescent="0.25">
      <c r="A6693">
        <v>9245</v>
      </c>
      <c r="B6693" s="15">
        <v>45361</v>
      </c>
      <c r="E6693" s="157"/>
      <c r="F6693">
        <v>6259</v>
      </c>
    </row>
    <row r="6694" spans="1:6" x14ac:dyDescent="0.25">
      <c r="A6694">
        <v>9245</v>
      </c>
      <c r="B6694" s="15">
        <v>45362</v>
      </c>
      <c r="E6694" s="117" t="s">
        <v>2</v>
      </c>
      <c r="F6694">
        <v>6260</v>
      </c>
    </row>
    <row r="6695" spans="1:6" x14ac:dyDescent="0.25">
      <c r="A6695">
        <v>9245</v>
      </c>
      <c r="B6695" s="15">
        <v>45363</v>
      </c>
      <c r="E6695" s="120" t="s">
        <v>2</v>
      </c>
      <c r="F6695">
        <v>6261</v>
      </c>
    </row>
    <row r="6696" spans="1:6" x14ac:dyDescent="0.25">
      <c r="A6696">
        <v>9245</v>
      </c>
      <c r="B6696" s="15">
        <v>45364</v>
      </c>
      <c r="E6696" s="160" t="s">
        <v>264</v>
      </c>
      <c r="F6696">
        <v>6262</v>
      </c>
    </row>
    <row r="6697" spans="1:6" x14ac:dyDescent="0.25">
      <c r="A6697">
        <v>9245</v>
      </c>
      <c r="B6697" s="15">
        <v>45365</v>
      </c>
      <c r="E6697" s="160" t="s">
        <v>267</v>
      </c>
      <c r="F6697">
        <v>6263</v>
      </c>
    </row>
    <row r="6698" spans="1:6" x14ac:dyDescent="0.25">
      <c r="A6698">
        <v>9245</v>
      </c>
      <c r="B6698" s="15">
        <v>45366</v>
      </c>
      <c r="E6698" s="160" t="s">
        <v>267</v>
      </c>
      <c r="F6698">
        <v>6264</v>
      </c>
    </row>
    <row r="6699" spans="1:6" x14ac:dyDescent="0.25">
      <c r="A6699">
        <v>9245</v>
      </c>
      <c r="B6699" s="15">
        <v>45367</v>
      </c>
      <c r="E6699" s="119"/>
      <c r="F6699">
        <v>6265</v>
      </c>
    </row>
    <row r="6700" spans="1:6" x14ac:dyDescent="0.25">
      <c r="A6700">
        <v>9245</v>
      </c>
      <c r="B6700" s="15">
        <v>45368</v>
      </c>
      <c r="E6700" s="157"/>
      <c r="F6700">
        <v>6266</v>
      </c>
    </row>
    <row r="6701" spans="1:6" x14ac:dyDescent="0.25">
      <c r="A6701">
        <v>9245</v>
      </c>
      <c r="B6701" s="15">
        <v>45369</v>
      </c>
      <c r="E6701" s="155"/>
      <c r="F6701">
        <v>6267</v>
      </c>
    </row>
    <row r="6702" spans="1:6" x14ac:dyDescent="0.25">
      <c r="A6702">
        <v>9245</v>
      </c>
      <c r="B6702" s="15">
        <v>45370</v>
      </c>
      <c r="E6702" s="160" t="s">
        <v>264</v>
      </c>
      <c r="F6702">
        <v>6268</v>
      </c>
    </row>
    <row r="6703" spans="1:6" x14ac:dyDescent="0.25">
      <c r="A6703">
        <v>9245</v>
      </c>
      <c r="B6703" s="15">
        <v>45371</v>
      </c>
      <c r="E6703" s="160" t="s">
        <v>267</v>
      </c>
      <c r="F6703">
        <v>6269</v>
      </c>
    </row>
    <row r="6704" spans="1:6" x14ac:dyDescent="0.25">
      <c r="A6704">
        <v>9245</v>
      </c>
      <c r="B6704" s="15">
        <v>45372</v>
      </c>
      <c r="E6704" s="160" t="s">
        <v>267</v>
      </c>
      <c r="F6704">
        <v>6270</v>
      </c>
    </row>
    <row r="6705" spans="1:6" x14ac:dyDescent="0.25">
      <c r="A6705">
        <v>9245</v>
      </c>
      <c r="B6705" s="15">
        <v>45373</v>
      </c>
      <c r="E6705" s="160" t="s">
        <v>264</v>
      </c>
      <c r="F6705">
        <v>6271</v>
      </c>
    </row>
    <row r="6706" spans="1:6" x14ac:dyDescent="0.25">
      <c r="A6706">
        <v>9245</v>
      </c>
      <c r="B6706" s="15">
        <v>45374</v>
      </c>
      <c r="E6706" s="160" t="s">
        <v>175</v>
      </c>
      <c r="F6706">
        <v>6272</v>
      </c>
    </row>
    <row r="6707" spans="1:6" x14ac:dyDescent="0.25">
      <c r="A6707">
        <v>9245</v>
      </c>
      <c r="B6707" s="15">
        <v>45375</v>
      </c>
      <c r="E6707" s="157"/>
      <c r="F6707">
        <v>6273</v>
      </c>
    </row>
    <row r="6708" spans="1:6" x14ac:dyDescent="0.25">
      <c r="A6708">
        <v>9245</v>
      </c>
      <c r="B6708" s="15">
        <v>45376</v>
      </c>
      <c r="E6708" s="117" t="s">
        <v>2</v>
      </c>
      <c r="F6708">
        <v>6274</v>
      </c>
    </row>
    <row r="6709" spans="1:6" x14ac:dyDescent="0.25">
      <c r="A6709">
        <v>9245</v>
      </c>
      <c r="B6709" s="15">
        <v>45377</v>
      </c>
      <c r="E6709" s="160" t="s">
        <v>267</v>
      </c>
      <c r="F6709">
        <v>6275</v>
      </c>
    </row>
    <row r="6710" spans="1:6" x14ac:dyDescent="0.25">
      <c r="A6710">
        <v>9245</v>
      </c>
      <c r="B6710" s="15">
        <v>45378</v>
      </c>
      <c r="E6710" s="160" t="s">
        <v>264</v>
      </c>
      <c r="F6710">
        <v>6276</v>
      </c>
    </row>
    <row r="6711" spans="1:6" x14ac:dyDescent="0.25">
      <c r="A6711">
        <v>9245</v>
      </c>
      <c r="B6711" s="15">
        <v>45379</v>
      </c>
      <c r="E6711" s="160" t="s">
        <v>267</v>
      </c>
      <c r="F6711">
        <v>6277</v>
      </c>
    </row>
    <row r="6712" spans="1:6" x14ac:dyDescent="0.25">
      <c r="A6712">
        <v>9245</v>
      </c>
      <c r="B6712" s="15">
        <v>45380</v>
      </c>
      <c r="E6712" s="160" t="s">
        <v>267</v>
      </c>
      <c r="F6712">
        <v>6278</v>
      </c>
    </row>
    <row r="6713" spans="1:6" x14ac:dyDescent="0.25">
      <c r="A6713">
        <v>9245</v>
      </c>
      <c r="B6713" s="15">
        <v>45381</v>
      </c>
      <c r="E6713" s="119"/>
      <c r="F6713">
        <v>6279</v>
      </c>
    </row>
    <row r="6714" spans="1:6" x14ac:dyDescent="0.25">
      <c r="A6714">
        <v>9245</v>
      </c>
      <c r="B6714" s="15">
        <v>45382</v>
      </c>
      <c r="E6714" s="157"/>
      <c r="F6714">
        <v>6280</v>
      </c>
    </row>
    <row r="6715" spans="1:6" x14ac:dyDescent="0.25">
      <c r="A6715">
        <v>9245</v>
      </c>
      <c r="B6715" s="15">
        <v>45383</v>
      </c>
      <c r="E6715" s="119"/>
      <c r="F6715">
        <v>7079</v>
      </c>
    </row>
    <row r="6716" spans="1:6" x14ac:dyDescent="0.25">
      <c r="A6716">
        <v>9245</v>
      </c>
      <c r="B6716" s="15">
        <v>45384</v>
      </c>
      <c r="E6716" s="117" t="s">
        <v>2</v>
      </c>
      <c r="F6716">
        <v>7080</v>
      </c>
    </row>
    <row r="6717" spans="1:6" x14ac:dyDescent="0.25">
      <c r="A6717">
        <v>9245</v>
      </c>
      <c r="B6717" s="15">
        <v>45385</v>
      </c>
      <c r="E6717" s="120" t="s">
        <v>2</v>
      </c>
      <c r="F6717">
        <v>7081</v>
      </c>
    </row>
    <row r="6718" spans="1:6" x14ac:dyDescent="0.25">
      <c r="A6718">
        <v>9245</v>
      </c>
      <c r="B6718" s="15">
        <v>45386</v>
      </c>
      <c r="E6718" s="120" t="s">
        <v>2</v>
      </c>
      <c r="F6718">
        <v>7082</v>
      </c>
    </row>
    <row r="6719" spans="1:6" x14ac:dyDescent="0.25">
      <c r="A6719">
        <v>9245</v>
      </c>
      <c r="B6719" s="15">
        <v>45387</v>
      </c>
      <c r="E6719" s="117" t="s">
        <v>2</v>
      </c>
      <c r="F6719">
        <v>7083</v>
      </c>
    </row>
    <row r="6720" spans="1:6" x14ac:dyDescent="0.25">
      <c r="A6720">
        <v>9245</v>
      </c>
      <c r="B6720" s="15">
        <v>45388</v>
      </c>
      <c r="E6720" s="121" t="s">
        <v>2</v>
      </c>
      <c r="F6720">
        <v>7084</v>
      </c>
    </row>
    <row r="6721" spans="1:6" x14ac:dyDescent="0.25">
      <c r="A6721">
        <v>9245</v>
      </c>
      <c r="B6721" s="15">
        <v>45389</v>
      </c>
      <c r="E6721" s="157"/>
      <c r="F6721">
        <v>7085</v>
      </c>
    </row>
    <row r="6722" spans="1:6" x14ac:dyDescent="0.25">
      <c r="A6722">
        <v>9245</v>
      </c>
      <c r="B6722" s="15">
        <v>45390</v>
      </c>
      <c r="E6722" s="117" t="s">
        <v>2</v>
      </c>
      <c r="F6722">
        <v>7086</v>
      </c>
    </row>
    <row r="6723" spans="1:6" x14ac:dyDescent="0.25">
      <c r="A6723">
        <v>9245</v>
      </c>
      <c r="B6723" s="15">
        <v>45391</v>
      </c>
      <c r="E6723" s="160" t="s">
        <v>267</v>
      </c>
      <c r="F6723">
        <v>7087</v>
      </c>
    </row>
    <row r="6724" spans="1:6" x14ac:dyDescent="0.25">
      <c r="A6724">
        <v>9245</v>
      </c>
      <c r="B6724" s="15">
        <v>45392</v>
      </c>
      <c r="E6724" s="160" t="s">
        <v>264</v>
      </c>
      <c r="F6724">
        <v>7088</v>
      </c>
    </row>
    <row r="6725" spans="1:6" x14ac:dyDescent="0.25">
      <c r="A6725">
        <v>9245</v>
      </c>
      <c r="B6725" s="15">
        <v>45393</v>
      </c>
      <c r="E6725" s="160" t="s">
        <v>267</v>
      </c>
      <c r="F6725">
        <v>7089</v>
      </c>
    </row>
    <row r="6726" spans="1:6" x14ac:dyDescent="0.25">
      <c r="A6726">
        <v>9245</v>
      </c>
      <c r="B6726" s="15">
        <v>45394</v>
      </c>
      <c r="E6726" s="160" t="s">
        <v>267</v>
      </c>
      <c r="F6726">
        <v>7090</v>
      </c>
    </row>
    <row r="6727" spans="1:6" x14ac:dyDescent="0.25">
      <c r="A6727">
        <v>9245</v>
      </c>
      <c r="B6727" s="15">
        <v>45395</v>
      </c>
      <c r="E6727" s="119"/>
      <c r="F6727">
        <v>7091</v>
      </c>
    </row>
    <row r="6728" spans="1:6" x14ac:dyDescent="0.25">
      <c r="A6728">
        <v>9245</v>
      </c>
      <c r="B6728" s="15">
        <v>45396</v>
      </c>
      <c r="E6728" s="157"/>
      <c r="F6728">
        <v>7092</v>
      </c>
    </row>
    <row r="6729" spans="1:6" x14ac:dyDescent="0.25">
      <c r="A6729">
        <v>9245</v>
      </c>
      <c r="B6729" s="15">
        <v>45397</v>
      </c>
      <c r="E6729" s="155"/>
      <c r="F6729">
        <v>7093</v>
      </c>
    </row>
    <row r="6730" spans="1:6" x14ac:dyDescent="0.25">
      <c r="A6730">
        <v>9245</v>
      </c>
      <c r="B6730" s="15">
        <v>45398</v>
      </c>
      <c r="E6730" s="160" t="s">
        <v>264</v>
      </c>
      <c r="F6730">
        <v>7094</v>
      </c>
    </row>
    <row r="6731" spans="1:6" x14ac:dyDescent="0.25">
      <c r="A6731">
        <v>9245</v>
      </c>
      <c r="B6731" s="15">
        <v>45399</v>
      </c>
      <c r="E6731" s="160" t="s">
        <v>267</v>
      </c>
      <c r="F6731">
        <v>7095</v>
      </c>
    </row>
    <row r="6732" spans="1:6" x14ac:dyDescent="0.25">
      <c r="A6732">
        <v>9245</v>
      </c>
      <c r="B6732" s="15">
        <v>45400</v>
      </c>
      <c r="E6732" s="160" t="s">
        <v>267</v>
      </c>
      <c r="F6732">
        <v>7096</v>
      </c>
    </row>
    <row r="6733" spans="1:6" x14ac:dyDescent="0.25">
      <c r="A6733">
        <v>9245</v>
      </c>
      <c r="B6733" s="15">
        <v>45401</v>
      </c>
      <c r="E6733" s="160" t="s">
        <v>264</v>
      </c>
      <c r="F6733">
        <v>7097</v>
      </c>
    </row>
    <row r="6734" spans="1:6" x14ac:dyDescent="0.25">
      <c r="A6734">
        <v>9245</v>
      </c>
      <c r="B6734" s="15">
        <v>45402</v>
      </c>
      <c r="E6734" s="206" t="s">
        <v>175</v>
      </c>
      <c r="F6734">
        <v>7098</v>
      </c>
    </row>
    <row r="6735" spans="1:6" x14ac:dyDescent="0.25">
      <c r="A6735">
        <v>9245</v>
      </c>
      <c r="B6735" s="15">
        <v>45403</v>
      </c>
      <c r="E6735" s="157"/>
      <c r="F6735">
        <v>7099</v>
      </c>
    </row>
    <row r="6736" spans="1:6" x14ac:dyDescent="0.25">
      <c r="A6736">
        <v>9245</v>
      </c>
      <c r="B6736" s="15">
        <v>45404</v>
      </c>
      <c r="E6736" s="160" t="s">
        <v>265</v>
      </c>
      <c r="F6736">
        <v>7100</v>
      </c>
    </row>
    <row r="6737" spans="1:6" x14ac:dyDescent="0.25">
      <c r="A6737">
        <v>9245</v>
      </c>
      <c r="B6737" s="15">
        <v>45405</v>
      </c>
      <c r="E6737" s="160" t="s">
        <v>267</v>
      </c>
      <c r="F6737">
        <v>7101</v>
      </c>
    </row>
    <row r="6738" spans="1:6" x14ac:dyDescent="0.25">
      <c r="A6738">
        <v>9245</v>
      </c>
      <c r="B6738" s="15">
        <v>45406</v>
      </c>
      <c r="E6738" s="160" t="s">
        <v>264</v>
      </c>
      <c r="F6738">
        <v>7102</v>
      </c>
    </row>
    <row r="6739" spans="1:6" x14ac:dyDescent="0.25">
      <c r="A6739">
        <v>9245</v>
      </c>
      <c r="B6739" s="15">
        <v>45407</v>
      </c>
      <c r="E6739" s="160" t="s">
        <v>267</v>
      </c>
      <c r="F6739">
        <v>7103</v>
      </c>
    </row>
    <row r="6740" spans="1:6" x14ac:dyDescent="0.25">
      <c r="A6740">
        <v>9245</v>
      </c>
      <c r="B6740" s="15">
        <v>45408</v>
      </c>
      <c r="E6740" s="160" t="s">
        <v>267</v>
      </c>
      <c r="F6740">
        <v>7104</v>
      </c>
    </row>
    <row r="6741" spans="1:6" x14ac:dyDescent="0.25">
      <c r="A6741">
        <v>9245</v>
      </c>
      <c r="B6741" s="15">
        <v>45409</v>
      </c>
      <c r="E6741" s="119"/>
      <c r="F6741">
        <v>7105</v>
      </c>
    </row>
    <row r="6742" spans="1:6" x14ac:dyDescent="0.25">
      <c r="A6742">
        <v>9245</v>
      </c>
      <c r="B6742" s="15">
        <v>45410</v>
      </c>
      <c r="E6742" s="157"/>
      <c r="F6742">
        <v>7106</v>
      </c>
    </row>
    <row r="6743" spans="1:6" x14ac:dyDescent="0.25">
      <c r="A6743">
        <v>9245</v>
      </c>
      <c r="B6743" s="15">
        <v>45411</v>
      </c>
      <c r="E6743" s="155"/>
      <c r="F6743">
        <v>7107</v>
      </c>
    </row>
    <row r="6744" spans="1:6" x14ac:dyDescent="0.25">
      <c r="A6744">
        <v>9245</v>
      </c>
      <c r="B6744" s="15">
        <v>45412</v>
      </c>
      <c r="E6744" s="160" t="s">
        <v>264</v>
      </c>
      <c r="F6744">
        <v>7108</v>
      </c>
    </row>
    <row r="6745" spans="1:6" x14ac:dyDescent="0.25">
      <c r="A6745">
        <v>9245</v>
      </c>
      <c r="B6745" s="15">
        <v>45413</v>
      </c>
      <c r="E6745" s="158"/>
      <c r="F6745">
        <v>7109</v>
      </c>
    </row>
    <row r="6746" spans="1:6" x14ac:dyDescent="0.25">
      <c r="A6746">
        <v>9245</v>
      </c>
      <c r="B6746" s="15">
        <v>45414</v>
      </c>
      <c r="E6746" s="160" t="s">
        <v>267</v>
      </c>
      <c r="F6746">
        <v>7110</v>
      </c>
    </row>
    <row r="6747" spans="1:6" x14ac:dyDescent="0.25">
      <c r="A6747">
        <v>9245</v>
      </c>
      <c r="B6747" s="15">
        <v>45415</v>
      </c>
      <c r="E6747" s="160" t="s">
        <v>264</v>
      </c>
      <c r="F6747">
        <v>7111</v>
      </c>
    </row>
    <row r="6748" spans="1:6" x14ac:dyDescent="0.25">
      <c r="A6748">
        <v>9245</v>
      </c>
      <c r="B6748" s="15">
        <v>45416</v>
      </c>
      <c r="E6748" s="160" t="s">
        <v>175</v>
      </c>
      <c r="F6748">
        <v>7112</v>
      </c>
    </row>
    <row r="6749" spans="1:6" x14ac:dyDescent="0.25">
      <c r="A6749">
        <v>9245</v>
      </c>
      <c r="B6749" s="15">
        <v>45417</v>
      </c>
      <c r="E6749" s="157"/>
      <c r="F6749">
        <v>7113</v>
      </c>
    </row>
    <row r="6750" spans="1:6" x14ac:dyDescent="0.25">
      <c r="A6750">
        <v>9857</v>
      </c>
      <c r="B6750" s="15">
        <v>45047</v>
      </c>
      <c r="C6750" s="147"/>
      <c r="D6750" s="147"/>
      <c r="E6750" s="3"/>
      <c r="F6750">
        <v>1150</v>
      </c>
    </row>
    <row r="6751" spans="1:6" x14ac:dyDescent="0.25">
      <c r="A6751">
        <v>9857</v>
      </c>
      <c r="B6751" s="15">
        <v>45048</v>
      </c>
      <c r="C6751" s="110"/>
      <c r="D6751" s="110"/>
      <c r="E6751" s="3"/>
      <c r="F6751">
        <v>1151</v>
      </c>
    </row>
    <row r="6752" spans="1:6" x14ac:dyDescent="0.25">
      <c r="A6752">
        <v>9857</v>
      </c>
      <c r="B6752" s="15">
        <v>45049</v>
      </c>
      <c r="C6752" s="110"/>
      <c r="D6752" s="104" t="s">
        <v>2</v>
      </c>
      <c r="E6752" s="3"/>
      <c r="F6752">
        <v>1152</v>
      </c>
    </row>
    <row r="6753" spans="1:6" x14ac:dyDescent="0.25">
      <c r="A6753">
        <v>9857</v>
      </c>
      <c r="B6753" s="15">
        <v>45050</v>
      </c>
      <c r="C6753" s="104" t="s">
        <v>2</v>
      </c>
      <c r="D6753" s="104" t="s">
        <v>2</v>
      </c>
      <c r="E6753" s="3"/>
      <c r="F6753">
        <v>1153</v>
      </c>
    </row>
    <row r="6754" spans="1:6" x14ac:dyDescent="0.25">
      <c r="A6754">
        <v>9857</v>
      </c>
      <c r="B6754" s="15">
        <v>45051</v>
      </c>
      <c r="C6754" s="104" t="s">
        <v>2</v>
      </c>
      <c r="D6754" s="104" t="s">
        <v>2</v>
      </c>
      <c r="E6754" s="3"/>
      <c r="F6754">
        <v>1154</v>
      </c>
    </row>
    <row r="6755" spans="1:6" x14ac:dyDescent="0.25">
      <c r="A6755">
        <v>9857</v>
      </c>
      <c r="B6755" s="15">
        <v>45052</v>
      </c>
      <c r="C6755" s="133"/>
      <c r="D6755" s="133"/>
      <c r="E6755" s="3"/>
      <c r="F6755">
        <v>1155</v>
      </c>
    </row>
    <row r="6756" spans="1:6" x14ac:dyDescent="0.25">
      <c r="A6756">
        <v>9857</v>
      </c>
      <c r="B6756" s="15">
        <v>45053</v>
      </c>
      <c r="C6756" s="133"/>
      <c r="D6756" s="133"/>
      <c r="E6756" s="3"/>
      <c r="F6756">
        <v>1156</v>
      </c>
    </row>
    <row r="6757" spans="1:6" x14ac:dyDescent="0.25">
      <c r="A6757">
        <v>9857</v>
      </c>
      <c r="B6757" s="15">
        <v>45054</v>
      </c>
      <c r="C6757" s="147"/>
      <c r="D6757" s="147"/>
      <c r="E6757" s="3"/>
      <c r="F6757">
        <v>1157</v>
      </c>
    </row>
    <row r="6758" spans="1:6" x14ac:dyDescent="0.25">
      <c r="A6758">
        <v>9857</v>
      </c>
      <c r="B6758" s="15">
        <v>45055</v>
      </c>
      <c r="C6758" s="104" t="s">
        <v>2</v>
      </c>
      <c r="D6758" s="104" t="s">
        <v>2</v>
      </c>
      <c r="E6758" s="3"/>
      <c r="F6758">
        <v>1158</v>
      </c>
    </row>
    <row r="6759" spans="1:6" x14ac:dyDescent="0.25">
      <c r="A6759">
        <v>9857</v>
      </c>
      <c r="B6759" s="15">
        <v>45056</v>
      </c>
      <c r="C6759" s="104" t="s">
        <v>2</v>
      </c>
      <c r="D6759" s="104" t="s">
        <v>2</v>
      </c>
      <c r="E6759" s="3"/>
      <c r="F6759">
        <v>1159</v>
      </c>
    </row>
    <row r="6760" spans="1:6" x14ac:dyDescent="0.25">
      <c r="A6760">
        <v>9857</v>
      </c>
      <c r="B6760" s="15">
        <v>45057</v>
      </c>
      <c r="C6760" s="104" t="s">
        <v>2</v>
      </c>
      <c r="D6760" s="104" t="s">
        <v>2</v>
      </c>
      <c r="E6760" s="3"/>
      <c r="F6760">
        <v>1160</v>
      </c>
    </row>
    <row r="6761" spans="1:6" x14ac:dyDescent="0.25">
      <c r="A6761">
        <v>9857</v>
      </c>
      <c r="B6761" s="15">
        <v>45058</v>
      </c>
      <c r="C6761" s="110"/>
      <c r="D6761" s="110"/>
      <c r="E6761" s="3"/>
      <c r="F6761">
        <v>1161</v>
      </c>
    </row>
    <row r="6762" spans="1:6" x14ac:dyDescent="0.25">
      <c r="A6762">
        <v>9857</v>
      </c>
      <c r="B6762" s="15">
        <v>45059</v>
      </c>
      <c r="C6762" s="133"/>
      <c r="D6762" s="133"/>
      <c r="E6762" s="3"/>
      <c r="F6762">
        <v>1162</v>
      </c>
    </row>
    <row r="6763" spans="1:6" x14ac:dyDescent="0.25">
      <c r="A6763">
        <v>9857</v>
      </c>
      <c r="B6763" s="15">
        <v>45060</v>
      </c>
      <c r="C6763" s="133"/>
      <c r="D6763" s="133"/>
      <c r="E6763" s="3"/>
      <c r="F6763">
        <v>1163</v>
      </c>
    </row>
    <row r="6764" spans="1:6" x14ac:dyDescent="0.25">
      <c r="A6764">
        <v>9857</v>
      </c>
      <c r="B6764" s="15">
        <v>45061</v>
      </c>
      <c r="C6764" s="110"/>
      <c r="D6764" s="110"/>
      <c r="E6764" s="3"/>
      <c r="F6764">
        <v>1164</v>
      </c>
    </row>
    <row r="6765" spans="1:6" x14ac:dyDescent="0.25">
      <c r="A6765">
        <v>9857</v>
      </c>
      <c r="B6765" s="15">
        <v>45062</v>
      </c>
      <c r="C6765" s="127"/>
      <c r="D6765" s="127"/>
      <c r="E6765" s="3"/>
      <c r="F6765">
        <v>1165</v>
      </c>
    </row>
    <row r="6766" spans="1:6" x14ac:dyDescent="0.25">
      <c r="A6766">
        <v>9857</v>
      </c>
      <c r="B6766" s="15">
        <v>45063</v>
      </c>
      <c r="C6766" s="110"/>
      <c r="D6766" s="110"/>
      <c r="E6766" s="3"/>
      <c r="F6766">
        <v>1166</v>
      </c>
    </row>
    <row r="6767" spans="1:6" x14ac:dyDescent="0.25">
      <c r="A6767">
        <v>9857</v>
      </c>
      <c r="B6767" s="15">
        <v>45064</v>
      </c>
      <c r="C6767" s="147"/>
      <c r="D6767" s="147"/>
      <c r="E6767" s="3"/>
      <c r="F6767">
        <v>1167</v>
      </c>
    </row>
    <row r="6768" spans="1:6" x14ac:dyDescent="0.25">
      <c r="A6768">
        <v>9857</v>
      </c>
      <c r="B6768" s="15">
        <v>45065</v>
      </c>
      <c r="C6768" s="104" t="s">
        <v>2</v>
      </c>
      <c r="D6768" s="104" t="s">
        <v>2</v>
      </c>
      <c r="E6768" s="3"/>
      <c r="F6768">
        <v>1168</v>
      </c>
    </row>
    <row r="6769" spans="1:6" x14ac:dyDescent="0.25">
      <c r="A6769">
        <v>9857</v>
      </c>
      <c r="B6769" s="15">
        <v>45066</v>
      </c>
      <c r="C6769" s="133"/>
      <c r="D6769" s="133"/>
      <c r="E6769" s="3"/>
      <c r="F6769">
        <v>1169</v>
      </c>
    </row>
    <row r="6770" spans="1:6" x14ac:dyDescent="0.25">
      <c r="A6770">
        <v>9857</v>
      </c>
      <c r="B6770" s="15">
        <v>45067</v>
      </c>
      <c r="C6770" s="133"/>
      <c r="D6770" s="133"/>
      <c r="E6770" s="3"/>
      <c r="F6770">
        <v>1170</v>
      </c>
    </row>
    <row r="6771" spans="1:6" x14ac:dyDescent="0.25">
      <c r="A6771">
        <v>9857</v>
      </c>
      <c r="B6771" s="15">
        <v>45068</v>
      </c>
      <c r="C6771" s="110"/>
      <c r="D6771" s="110"/>
      <c r="E6771" s="3"/>
      <c r="F6771">
        <v>1171</v>
      </c>
    </row>
    <row r="6772" spans="1:6" x14ac:dyDescent="0.25">
      <c r="A6772">
        <v>9857</v>
      </c>
      <c r="B6772" s="15">
        <v>45069</v>
      </c>
      <c r="C6772" s="110"/>
      <c r="D6772" s="110"/>
      <c r="E6772" s="3"/>
      <c r="F6772">
        <v>1172</v>
      </c>
    </row>
    <row r="6773" spans="1:6" x14ac:dyDescent="0.25">
      <c r="A6773">
        <v>9857</v>
      </c>
      <c r="B6773" s="15">
        <v>45070</v>
      </c>
      <c r="C6773" s="110"/>
      <c r="D6773" s="110"/>
      <c r="E6773" s="3"/>
      <c r="F6773">
        <v>1173</v>
      </c>
    </row>
    <row r="6774" spans="1:6" x14ac:dyDescent="0.25">
      <c r="A6774">
        <v>9857</v>
      </c>
      <c r="B6774" s="15">
        <v>45071</v>
      </c>
      <c r="C6774" s="110"/>
      <c r="D6774" s="110"/>
      <c r="E6774" s="3"/>
      <c r="F6774">
        <v>1174</v>
      </c>
    </row>
    <row r="6775" spans="1:6" x14ac:dyDescent="0.25">
      <c r="A6775">
        <v>9857</v>
      </c>
      <c r="B6775" s="15">
        <v>45072</v>
      </c>
      <c r="C6775" s="110"/>
      <c r="D6775" s="110"/>
      <c r="E6775" s="3"/>
      <c r="F6775">
        <v>1175</v>
      </c>
    </row>
    <row r="6776" spans="1:6" x14ac:dyDescent="0.25">
      <c r="A6776">
        <v>9857</v>
      </c>
      <c r="B6776" s="15">
        <v>45073</v>
      </c>
      <c r="C6776" s="133"/>
      <c r="D6776" s="133"/>
      <c r="E6776" s="3"/>
      <c r="F6776">
        <v>1176</v>
      </c>
    </row>
    <row r="6777" spans="1:6" x14ac:dyDescent="0.25">
      <c r="A6777">
        <v>9857</v>
      </c>
      <c r="B6777" s="15">
        <v>45074</v>
      </c>
      <c r="C6777" s="133"/>
      <c r="D6777" s="133"/>
      <c r="E6777" s="3"/>
      <c r="F6777">
        <v>1177</v>
      </c>
    </row>
    <row r="6778" spans="1:6" x14ac:dyDescent="0.25">
      <c r="A6778">
        <v>9857</v>
      </c>
      <c r="B6778" s="15">
        <v>45075</v>
      </c>
      <c r="C6778" s="147"/>
      <c r="D6778" s="147"/>
      <c r="E6778" s="3"/>
      <c r="F6778">
        <v>1178</v>
      </c>
    </row>
    <row r="6779" spans="1:6" x14ac:dyDescent="0.25">
      <c r="A6779">
        <v>9857</v>
      </c>
      <c r="B6779" s="15">
        <v>45076</v>
      </c>
      <c r="C6779" s="110"/>
      <c r="D6779" s="110"/>
      <c r="E6779" s="3"/>
      <c r="F6779">
        <v>1179</v>
      </c>
    </row>
    <row r="6780" spans="1:6" x14ac:dyDescent="0.25">
      <c r="A6780">
        <v>9857</v>
      </c>
      <c r="B6780" s="15">
        <v>45077</v>
      </c>
      <c r="C6780" s="110"/>
      <c r="D6780" s="110"/>
      <c r="E6780" s="3"/>
      <c r="F6780">
        <v>1180</v>
      </c>
    </row>
    <row r="6781" spans="1:6" x14ac:dyDescent="0.25">
      <c r="A6781">
        <v>9857</v>
      </c>
      <c r="B6781" s="15">
        <v>45078</v>
      </c>
      <c r="C6781" s="110"/>
      <c r="D6781" s="110"/>
      <c r="E6781" s="3"/>
      <c r="F6781">
        <v>1181</v>
      </c>
    </row>
    <row r="6782" spans="1:6" x14ac:dyDescent="0.25">
      <c r="A6782">
        <v>9857</v>
      </c>
      <c r="B6782" s="15">
        <v>45079</v>
      </c>
      <c r="C6782" s="110"/>
      <c r="D6782" s="110"/>
      <c r="E6782" s="3"/>
      <c r="F6782">
        <v>1182</v>
      </c>
    </row>
    <row r="6783" spans="1:6" x14ac:dyDescent="0.25">
      <c r="A6783">
        <v>9857</v>
      </c>
      <c r="B6783" s="15">
        <v>45080</v>
      </c>
      <c r="C6783" s="133"/>
      <c r="D6783" s="133"/>
      <c r="E6783" s="3"/>
      <c r="F6783">
        <v>1183</v>
      </c>
    </row>
    <row r="6784" spans="1:6" x14ac:dyDescent="0.25">
      <c r="A6784">
        <v>9857</v>
      </c>
      <c r="B6784" s="15">
        <v>45081</v>
      </c>
      <c r="C6784" s="133"/>
      <c r="D6784" s="133"/>
      <c r="E6784" s="3"/>
      <c r="F6784">
        <v>1184</v>
      </c>
    </row>
    <row r="6785" spans="1:6" x14ac:dyDescent="0.25">
      <c r="A6785">
        <v>9857</v>
      </c>
      <c r="B6785" s="15">
        <v>45082</v>
      </c>
      <c r="C6785" s="110"/>
      <c r="D6785" s="110"/>
      <c r="E6785" s="3"/>
      <c r="F6785">
        <v>1185</v>
      </c>
    </row>
    <row r="6786" spans="1:6" x14ac:dyDescent="0.25">
      <c r="A6786">
        <v>9857</v>
      </c>
      <c r="B6786" s="15">
        <v>45083</v>
      </c>
      <c r="C6786" s="110"/>
      <c r="D6786" s="110"/>
      <c r="E6786" s="3"/>
      <c r="F6786">
        <v>1186</v>
      </c>
    </row>
    <row r="6787" spans="1:6" x14ac:dyDescent="0.25">
      <c r="A6787">
        <v>9857</v>
      </c>
      <c r="B6787" s="15">
        <v>45084</v>
      </c>
      <c r="C6787" s="110"/>
      <c r="D6787" s="110"/>
      <c r="E6787" s="3"/>
      <c r="F6787">
        <v>1187</v>
      </c>
    </row>
    <row r="6788" spans="1:6" x14ac:dyDescent="0.25">
      <c r="A6788">
        <v>9857</v>
      </c>
      <c r="B6788" s="15">
        <v>45085</v>
      </c>
      <c r="C6788" s="110"/>
      <c r="D6788" s="110"/>
      <c r="E6788" s="3"/>
      <c r="F6788">
        <v>1188</v>
      </c>
    </row>
    <row r="6789" spans="1:6" x14ac:dyDescent="0.25">
      <c r="A6789">
        <v>9857</v>
      </c>
      <c r="B6789" s="15">
        <v>45086</v>
      </c>
      <c r="C6789" s="110"/>
      <c r="D6789" s="110"/>
      <c r="E6789" s="3"/>
      <c r="F6789">
        <v>1189</v>
      </c>
    </row>
    <row r="6790" spans="1:6" x14ac:dyDescent="0.25">
      <c r="A6790">
        <v>9857</v>
      </c>
      <c r="B6790" s="15">
        <v>45087</v>
      </c>
      <c r="C6790" s="133"/>
      <c r="D6790" s="133"/>
      <c r="E6790" s="3"/>
      <c r="F6790">
        <v>1190</v>
      </c>
    </row>
    <row r="6791" spans="1:6" x14ac:dyDescent="0.25">
      <c r="A6791">
        <v>9857</v>
      </c>
      <c r="B6791" s="15">
        <v>45088</v>
      </c>
      <c r="C6791" s="133"/>
      <c r="D6791" s="133"/>
      <c r="E6791" s="3"/>
      <c r="F6791">
        <v>1191</v>
      </c>
    </row>
    <row r="6792" spans="1:6" x14ac:dyDescent="0.25">
      <c r="A6792">
        <v>9857</v>
      </c>
      <c r="B6792" s="15">
        <v>45089</v>
      </c>
      <c r="C6792" s="110"/>
      <c r="D6792" s="110"/>
      <c r="E6792" s="3"/>
      <c r="F6792">
        <v>1192</v>
      </c>
    </row>
    <row r="6793" spans="1:6" x14ac:dyDescent="0.25">
      <c r="A6793">
        <v>9857</v>
      </c>
      <c r="B6793" s="15">
        <v>45090</v>
      </c>
      <c r="C6793" s="127"/>
      <c r="D6793" s="127"/>
      <c r="E6793" s="3"/>
      <c r="F6793">
        <v>1193</v>
      </c>
    </row>
    <row r="6794" spans="1:6" x14ac:dyDescent="0.25">
      <c r="A6794">
        <v>9857</v>
      </c>
      <c r="B6794" s="15">
        <v>45091</v>
      </c>
      <c r="C6794" s="110"/>
      <c r="D6794" s="110"/>
      <c r="E6794" s="3"/>
      <c r="F6794">
        <v>1194</v>
      </c>
    </row>
    <row r="6795" spans="1:6" x14ac:dyDescent="0.25">
      <c r="A6795">
        <v>9857</v>
      </c>
      <c r="B6795" s="15">
        <v>45092</v>
      </c>
      <c r="C6795" s="110"/>
      <c r="D6795" s="110"/>
      <c r="E6795" s="3"/>
      <c r="F6795">
        <v>1195</v>
      </c>
    </row>
    <row r="6796" spans="1:6" x14ac:dyDescent="0.25">
      <c r="A6796">
        <v>9857</v>
      </c>
      <c r="B6796" s="15">
        <v>45093</v>
      </c>
      <c r="C6796" s="110"/>
      <c r="D6796" s="110"/>
      <c r="E6796" s="3"/>
      <c r="F6796">
        <v>1196</v>
      </c>
    </row>
    <row r="6797" spans="1:6" x14ac:dyDescent="0.25">
      <c r="A6797">
        <v>9857</v>
      </c>
      <c r="B6797" s="15">
        <v>45094</v>
      </c>
      <c r="C6797" s="133"/>
      <c r="D6797" s="133"/>
      <c r="E6797" s="3"/>
      <c r="F6797">
        <v>1197</v>
      </c>
    </row>
    <row r="6798" spans="1:6" x14ac:dyDescent="0.25">
      <c r="A6798">
        <v>9857</v>
      </c>
      <c r="B6798" s="15">
        <v>45095</v>
      </c>
      <c r="C6798" s="133"/>
      <c r="D6798" s="133"/>
      <c r="E6798" s="3"/>
      <c r="F6798">
        <v>1198</v>
      </c>
    </row>
    <row r="6799" spans="1:6" x14ac:dyDescent="0.25">
      <c r="A6799">
        <v>9857</v>
      </c>
      <c r="B6799" s="15">
        <v>45096</v>
      </c>
      <c r="C6799" s="110"/>
      <c r="D6799" s="110"/>
      <c r="E6799" s="3"/>
      <c r="F6799">
        <v>1199</v>
      </c>
    </row>
    <row r="6800" spans="1:6" x14ac:dyDescent="0.25">
      <c r="A6800">
        <v>9857</v>
      </c>
      <c r="B6800" s="15">
        <v>45097</v>
      </c>
      <c r="C6800" s="112" t="s">
        <v>165</v>
      </c>
      <c r="D6800" s="112" t="s">
        <v>158</v>
      </c>
      <c r="E6800" s="3"/>
      <c r="F6800">
        <v>1200</v>
      </c>
    </row>
    <row r="6801" spans="1:6" x14ac:dyDescent="0.25">
      <c r="A6801">
        <v>9857</v>
      </c>
      <c r="B6801" s="15">
        <v>45098</v>
      </c>
      <c r="C6801" s="110"/>
      <c r="D6801" s="110"/>
      <c r="E6801" s="3"/>
      <c r="F6801">
        <v>1201</v>
      </c>
    </row>
    <row r="6802" spans="1:6" x14ac:dyDescent="0.25">
      <c r="A6802">
        <v>9857</v>
      </c>
      <c r="B6802" s="15">
        <v>45099</v>
      </c>
      <c r="C6802" s="110"/>
      <c r="D6802" s="110"/>
      <c r="E6802" s="3"/>
      <c r="F6802">
        <v>1202</v>
      </c>
    </row>
    <row r="6803" spans="1:6" x14ac:dyDescent="0.25">
      <c r="A6803">
        <v>9857</v>
      </c>
      <c r="B6803" s="15">
        <v>45100</v>
      </c>
      <c r="C6803" s="110"/>
      <c r="D6803" s="110"/>
      <c r="E6803" s="3"/>
      <c r="F6803">
        <v>1203</v>
      </c>
    </row>
    <row r="6804" spans="1:6" x14ac:dyDescent="0.25">
      <c r="A6804">
        <v>9857</v>
      </c>
      <c r="B6804" s="15">
        <v>45101</v>
      </c>
      <c r="C6804" s="133"/>
      <c r="D6804" s="133"/>
      <c r="E6804" s="3"/>
      <c r="F6804">
        <v>1204</v>
      </c>
    </row>
    <row r="6805" spans="1:6" x14ac:dyDescent="0.25">
      <c r="A6805">
        <v>9857</v>
      </c>
      <c r="B6805" s="15">
        <v>45102</v>
      </c>
      <c r="C6805" s="133"/>
      <c r="D6805" s="133"/>
      <c r="E6805" s="3"/>
      <c r="F6805">
        <v>1205</v>
      </c>
    </row>
    <row r="6806" spans="1:6" x14ac:dyDescent="0.25">
      <c r="A6806">
        <v>9857</v>
      </c>
      <c r="B6806" s="15">
        <v>45103</v>
      </c>
      <c r="C6806" s="110"/>
      <c r="D6806" s="110"/>
      <c r="E6806" s="3"/>
      <c r="F6806">
        <v>1206</v>
      </c>
    </row>
    <row r="6807" spans="1:6" x14ac:dyDescent="0.25">
      <c r="A6807">
        <v>9857</v>
      </c>
      <c r="B6807" s="15">
        <v>45104</v>
      </c>
      <c r="C6807" s="110"/>
      <c r="D6807" s="110"/>
      <c r="E6807" s="3"/>
      <c r="F6807">
        <v>1207</v>
      </c>
    </row>
    <row r="6808" spans="1:6" x14ac:dyDescent="0.25">
      <c r="A6808">
        <v>9857</v>
      </c>
      <c r="B6808" s="15">
        <v>45105</v>
      </c>
      <c r="C6808" s="110"/>
      <c r="D6808" s="110"/>
      <c r="E6808" s="3"/>
      <c r="F6808">
        <v>1208</v>
      </c>
    </row>
    <row r="6809" spans="1:6" x14ac:dyDescent="0.25">
      <c r="A6809">
        <v>9857</v>
      </c>
      <c r="B6809" s="15">
        <v>45106</v>
      </c>
      <c r="C6809" s="110"/>
      <c r="D6809" s="110"/>
      <c r="E6809" s="3"/>
      <c r="F6809">
        <v>1209</v>
      </c>
    </row>
    <row r="6810" spans="1:6" x14ac:dyDescent="0.25">
      <c r="A6810">
        <v>9857</v>
      </c>
      <c r="B6810" s="15">
        <v>45107</v>
      </c>
      <c r="C6810" s="110"/>
      <c r="D6810" s="110"/>
      <c r="E6810" s="3"/>
      <c r="F6810">
        <v>1210</v>
      </c>
    </row>
    <row r="6811" spans="1:6" x14ac:dyDescent="0.25">
      <c r="A6811">
        <v>9857</v>
      </c>
      <c r="B6811" s="15">
        <v>45108</v>
      </c>
      <c r="C6811" s="133"/>
      <c r="D6811" s="133"/>
      <c r="E6811" s="3"/>
      <c r="F6811">
        <v>1211</v>
      </c>
    </row>
    <row r="6812" spans="1:6" x14ac:dyDescent="0.25">
      <c r="A6812">
        <v>9857</v>
      </c>
      <c r="B6812" s="15">
        <v>45109</v>
      </c>
      <c r="C6812" s="133"/>
      <c r="D6812" s="133"/>
      <c r="E6812" s="3"/>
      <c r="F6812">
        <v>1212</v>
      </c>
    </row>
    <row r="6813" spans="1:6" x14ac:dyDescent="0.25">
      <c r="A6813">
        <v>9857</v>
      </c>
      <c r="B6813" s="15">
        <v>45110</v>
      </c>
      <c r="C6813" s="110"/>
      <c r="D6813" s="110"/>
      <c r="E6813" s="3"/>
      <c r="F6813">
        <v>1213</v>
      </c>
    </row>
    <row r="6814" spans="1:6" x14ac:dyDescent="0.25">
      <c r="A6814">
        <v>9857</v>
      </c>
      <c r="B6814" s="15">
        <v>45111</v>
      </c>
      <c r="C6814" s="110"/>
      <c r="D6814" s="110"/>
      <c r="E6814" s="3"/>
      <c r="F6814">
        <v>1214</v>
      </c>
    </row>
    <row r="6815" spans="1:6" x14ac:dyDescent="0.25">
      <c r="A6815">
        <v>9857</v>
      </c>
      <c r="B6815" s="15">
        <v>45112</v>
      </c>
      <c r="C6815" s="110"/>
      <c r="D6815" s="110"/>
      <c r="E6815" s="3"/>
      <c r="F6815">
        <v>1215</v>
      </c>
    </row>
    <row r="6816" spans="1:6" x14ac:dyDescent="0.25">
      <c r="A6816">
        <v>9857</v>
      </c>
      <c r="B6816" s="15">
        <v>45113</v>
      </c>
      <c r="C6816" s="110"/>
      <c r="D6816" s="110"/>
      <c r="E6816" s="3"/>
      <c r="F6816">
        <v>1216</v>
      </c>
    </row>
    <row r="6817" spans="1:6" x14ac:dyDescent="0.25">
      <c r="A6817">
        <v>9857</v>
      </c>
      <c r="B6817" s="15">
        <v>45114</v>
      </c>
      <c r="C6817" s="110"/>
      <c r="D6817" s="110"/>
      <c r="E6817" s="3"/>
      <c r="F6817">
        <v>1217</v>
      </c>
    </row>
    <row r="6818" spans="1:6" x14ac:dyDescent="0.25">
      <c r="A6818">
        <v>9857</v>
      </c>
      <c r="B6818" s="15">
        <v>45115</v>
      </c>
      <c r="C6818" s="133"/>
      <c r="D6818" s="133"/>
      <c r="E6818" s="3"/>
      <c r="F6818">
        <v>1218</v>
      </c>
    </row>
    <row r="6819" spans="1:6" x14ac:dyDescent="0.25">
      <c r="A6819">
        <v>9857</v>
      </c>
      <c r="B6819" s="15">
        <v>45116</v>
      </c>
      <c r="C6819" s="133"/>
      <c r="D6819" s="133"/>
      <c r="E6819" s="3"/>
      <c r="F6819">
        <v>1219</v>
      </c>
    </row>
    <row r="6820" spans="1:6" x14ac:dyDescent="0.25">
      <c r="A6820">
        <v>9857</v>
      </c>
      <c r="B6820" s="15">
        <v>45117</v>
      </c>
      <c r="C6820" s="104" t="s">
        <v>2</v>
      </c>
      <c r="D6820" s="104" t="s">
        <v>2</v>
      </c>
      <c r="E6820" s="3"/>
      <c r="F6820">
        <v>1220</v>
      </c>
    </row>
    <row r="6821" spans="1:6" x14ac:dyDescent="0.25">
      <c r="A6821">
        <v>9857</v>
      </c>
      <c r="B6821" s="15">
        <v>45118</v>
      </c>
      <c r="C6821" s="104" t="s">
        <v>2</v>
      </c>
      <c r="D6821" s="104" t="s">
        <v>2</v>
      </c>
      <c r="E6821" s="3"/>
      <c r="F6821">
        <v>1221</v>
      </c>
    </row>
    <row r="6822" spans="1:6" x14ac:dyDescent="0.25">
      <c r="A6822">
        <v>9857</v>
      </c>
      <c r="B6822" s="15">
        <v>45119</v>
      </c>
      <c r="C6822" s="104" t="s">
        <v>2</v>
      </c>
      <c r="D6822" s="104" t="s">
        <v>2</v>
      </c>
      <c r="E6822" s="3"/>
      <c r="F6822">
        <v>1222</v>
      </c>
    </row>
    <row r="6823" spans="1:6" x14ac:dyDescent="0.25">
      <c r="A6823">
        <v>9857</v>
      </c>
      <c r="B6823" s="15">
        <v>45120</v>
      </c>
      <c r="C6823" s="104" t="s">
        <v>2</v>
      </c>
      <c r="D6823" s="104" t="s">
        <v>2</v>
      </c>
      <c r="E6823" s="3"/>
      <c r="F6823">
        <v>1223</v>
      </c>
    </row>
    <row r="6824" spans="1:6" x14ac:dyDescent="0.25">
      <c r="A6824">
        <v>9857</v>
      </c>
      <c r="B6824" s="15">
        <v>45121</v>
      </c>
      <c r="C6824" s="133"/>
      <c r="D6824" s="133"/>
      <c r="E6824" s="3"/>
      <c r="F6824">
        <v>1224</v>
      </c>
    </row>
    <row r="6825" spans="1:6" x14ac:dyDescent="0.25">
      <c r="A6825">
        <v>9857</v>
      </c>
      <c r="B6825" s="15">
        <v>45122</v>
      </c>
      <c r="C6825" s="133"/>
      <c r="D6825" s="133"/>
      <c r="E6825" s="3"/>
      <c r="F6825">
        <v>1225</v>
      </c>
    </row>
    <row r="6826" spans="1:6" x14ac:dyDescent="0.25">
      <c r="A6826">
        <v>9857</v>
      </c>
      <c r="B6826" s="15">
        <v>45123</v>
      </c>
      <c r="C6826" s="133"/>
      <c r="D6826" s="133"/>
      <c r="E6826" s="3"/>
      <c r="F6826">
        <v>1226</v>
      </c>
    </row>
    <row r="6827" spans="1:6" x14ac:dyDescent="0.25">
      <c r="A6827">
        <v>9857</v>
      </c>
      <c r="B6827" s="15">
        <v>45124</v>
      </c>
      <c r="C6827" s="104" t="s">
        <v>2</v>
      </c>
      <c r="D6827" s="104" t="s">
        <v>2</v>
      </c>
      <c r="E6827" s="3"/>
      <c r="F6827">
        <v>1227</v>
      </c>
    </row>
    <row r="6828" spans="1:6" x14ac:dyDescent="0.25">
      <c r="A6828">
        <v>9857</v>
      </c>
      <c r="B6828" s="15">
        <v>45125</v>
      </c>
      <c r="C6828" s="104" t="s">
        <v>2</v>
      </c>
      <c r="D6828" s="104" t="s">
        <v>2</v>
      </c>
      <c r="E6828" s="3"/>
      <c r="F6828">
        <v>1228</v>
      </c>
    </row>
    <row r="6829" spans="1:6" x14ac:dyDescent="0.25">
      <c r="A6829">
        <v>9857</v>
      </c>
      <c r="B6829" s="15">
        <v>45126</v>
      </c>
      <c r="C6829" s="104" t="s">
        <v>2</v>
      </c>
      <c r="D6829" s="104" t="s">
        <v>2</v>
      </c>
      <c r="E6829" s="3"/>
      <c r="F6829">
        <v>1229</v>
      </c>
    </row>
    <row r="6830" spans="1:6" x14ac:dyDescent="0.25">
      <c r="A6830">
        <v>9857</v>
      </c>
      <c r="B6830" s="15">
        <v>45127</v>
      </c>
      <c r="C6830" s="104" t="s">
        <v>2</v>
      </c>
      <c r="D6830" s="104" t="s">
        <v>2</v>
      </c>
      <c r="E6830" s="3"/>
      <c r="F6830">
        <v>1230</v>
      </c>
    </row>
    <row r="6831" spans="1:6" x14ac:dyDescent="0.25">
      <c r="A6831">
        <v>9857</v>
      </c>
      <c r="B6831" s="15">
        <v>45128</v>
      </c>
      <c r="C6831" s="104" t="s">
        <v>2</v>
      </c>
      <c r="D6831" s="104" t="s">
        <v>2</v>
      </c>
      <c r="E6831" s="3"/>
      <c r="F6831">
        <v>1231</v>
      </c>
    </row>
    <row r="6832" spans="1:6" x14ac:dyDescent="0.25">
      <c r="A6832">
        <v>9857</v>
      </c>
      <c r="B6832" s="15">
        <v>45129</v>
      </c>
      <c r="C6832" s="133"/>
      <c r="D6832" s="133"/>
      <c r="E6832" s="3"/>
      <c r="F6832">
        <v>1232</v>
      </c>
    </row>
    <row r="6833" spans="1:6" x14ac:dyDescent="0.25">
      <c r="A6833">
        <v>9857</v>
      </c>
      <c r="B6833" s="15">
        <v>45130</v>
      </c>
      <c r="C6833" s="133"/>
      <c r="D6833" s="133"/>
      <c r="E6833" s="3"/>
      <c r="F6833">
        <v>1233</v>
      </c>
    </row>
    <row r="6834" spans="1:6" x14ac:dyDescent="0.25">
      <c r="A6834">
        <v>9857</v>
      </c>
      <c r="B6834" s="15">
        <v>45131</v>
      </c>
      <c r="C6834" s="110"/>
      <c r="D6834" s="110"/>
      <c r="E6834" s="3"/>
      <c r="F6834">
        <v>1234</v>
      </c>
    </row>
    <row r="6835" spans="1:6" x14ac:dyDescent="0.25">
      <c r="A6835">
        <v>9857</v>
      </c>
      <c r="B6835" s="15">
        <v>45132</v>
      </c>
      <c r="C6835" s="110"/>
      <c r="D6835" s="110"/>
      <c r="E6835" s="3"/>
      <c r="F6835">
        <v>1235</v>
      </c>
    </row>
    <row r="6836" spans="1:6" x14ac:dyDescent="0.25">
      <c r="A6836">
        <v>9857</v>
      </c>
      <c r="B6836" s="15">
        <v>45133</v>
      </c>
      <c r="C6836" s="110"/>
      <c r="D6836" s="110"/>
      <c r="E6836" s="3"/>
      <c r="F6836">
        <v>1236</v>
      </c>
    </row>
    <row r="6837" spans="1:6" x14ac:dyDescent="0.25">
      <c r="A6837">
        <v>9857</v>
      </c>
      <c r="B6837" s="15">
        <v>45134</v>
      </c>
      <c r="C6837" s="110"/>
      <c r="D6837" s="110"/>
      <c r="E6837" s="3"/>
      <c r="F6837">
        <v>1237</v>
      </c>
    </row>
    <row r="6838" spans="1:6" x14ac:dyDescent="0.25">
      <c r="A6838">
        <v>9857</v>
      </c>
      <c r="B6838" s="15">
        <v>45135</v>
      </c>
      <c r="C6838" s="110"/>
      <c r="D6838" s="110"/>
      <c r="E6838" s="3"/>
      <c r="F6838">
        <v>1238</v>
      </c>
    </row>
    <row r="6839" spans="1:6" x14ac:dyDescent="0.25">
      <c r="A6839">
        <v>9857</v>
      </c>
      <c r="B6839" s="15">
        <v>45136</v>
      </c>
      <c r="C6839" s="133"/>
      <c r="D6839" s="133"/>
      <c r="E6839" s="3"/>
      <c r="F6839">
        <v>1239</v>
      </c>
    </row>
    <row r="6840" spans="1:6" x14ac:dyDescent="0.25">
      <c r="A6840">
        <v>9857</v>
      </c>
      <c r="B6840" s="15">
        <v>45137</v>
      </c>
      <c r="C6840" s="133"/>
      <c r="D6840" s="133"/>
      <c r="E6840" s="3"/>
      <c r="F6840">
        <v>1240</v>
      </c>
    </row>
    <row r="6841" spans="1:6" x14ac:dyDescent="0.25">
      <c r="A6841">
        <v>9857</v>
      </c>
      <c r="B6841" s="15">
        <v>45138</v>
      </c>
      <c r="C6841" s="110"/>
      <c r="D6841" s="110"/>
      <c r="E6841" s="3"/>
      <c r="F6841">
        <v>1241</v>
      </c>
    </row>
    <row r="6842" spans="1:6" x14ac:dyDescent="0.25">
      <c r="A6842">
        <v>9857</v>
      </c>
      <c r="B6842" s="15">
        <v>45139</v>
      </c>
      <c r="C6842" s="110"/>
      <c r="D6842" s="110"/>
      <c r="E6842" s="3"/>
      <c r="F6842">
        <v>1242</v>
      </c>
    </row>
    <row r="6843" spans="1:6" x14ac:dyDescent="0.25">
      <c r="A6843">
        <v>9857</v>
      </c>
      <c r="B6843" s="15">
        <v>45140</v>
      </c>
      <c r="C6843" s="110"/>
      <c r="D6843" s="110"/>
      <c r="E6843" s="3"/>
      <c r="F6843">
        <v>1243</v>
      </c>
    </row>
    <row r="6844" spans="1:6" x14ac:dyDescent="0.25">
      <c r="A6844">
        <v>9857</v>
      </c>
      <c r="B6844" s="15">
        <v>45141</v>
      </c>
      <c r="C6844" s="110"/>
      <c r="D6844" s="110"/>
      <c r="E6844" s="3"/>
      <c r="F6844">
        <v>1244</v>
      </c>
    </row>
    <row r="6845" spans="1:6" x14ac:dyDescent="0.25">
      <c r="A6845">
        <v>9857</v>
      </c>
      <c r="B6845" s="15">
        <v>45142</v>
      </c>
      <c r="C6845" s="110"/>
      <c r="D6845" s="110"/>
      <c r="E6845" s="3"/>
      <c r="F6845">
        <v>1245</v>
      </c>
    </row>
    <row r="6846" spans="1:6" x14ac:dyDescent="0.25">
      <c r="A6846">
        <v>9857</v>
      </c>
      <c r="B6846" s="15">
        <v>45143</v>
      </c>
      <c r="C6846" s="133"/>
      <c r="D6846" s="133"/>
      <c r="E6846" s="3"/>
      <c r="F6846">
        <v>1246</v>
      </c>
    </row>
    <row r="6847" spans="1:6" x14ac:dyDescent="0.25">
      <c r="A6847">
        <v>9857</v>
      </c>
      <c r="B6847" s="15">
        <v>45144</v>
      </c>
      <c r="C6847" s="133"/>
      <c r="D6847" s="133"/>
      <c r="E6847" s="3"/>
      <c r="F6847">
        <v>1247</v>
      </c>
    </row>
    <row r="6848" spans="1:6" x14ac:dyDescent="0.25">
      <c r="A6848">
        <v>9857</v>
      </c>
      <c r="B6848" s="15">
        <v>45145</v>
      </c>
      <c r="C6848" s="110"/>
      <c r="D6848" s="110"/>
      <c r="E6848" s="3"/>
      <c r="F6848">
        <v>1248</v>
      </c>
    </row>
    <row r="6849" spans="1:6" x14ac:dyDescent="0.25">
      <c r="A6849">
        <v>9857</v>
      </c>
      <c r="B6849" s="15">
        <v>45146</v>
      </c>
      <c r="C6849" s="127"/>
      <c r="D6849" s="127"/>
      <c r="E6849" s="3"/>
      <c r="F6849">
        <v>1249</v>
      </c>
    </row>
    <row r="6850" spans="1:6" x14ac:dyDescent="0.25">
      <c r="A6850">
        <v>9857</v>
      </c>
      <c r="B6850" s="15">
        <v>45147</v>
      </c>
      <c r="C6850" s="110"/>
      <c r="D6850" s="110"/>
      <c r="E6850" s="3"/>
      <c r="F6850">
        <v>1250</v>
      </c>
    </row>
    <row r="6851" spans="1:6" x14ac:dyDescent="0.25">
      <c r="A6851">
        <v>9857</v>
      </c>
      <c r="B6851" s="15">
        <v>45148</v>
      </c>
      <c r="C6851" s="110"/>
      <c r="D6851" s="110"/>
      <c r="E6851" s="3"/>
      <c r="F6851">
        <v>1251</v>
      </c>
    </row>
    <row r="6852" spans="1:6" x14ac:dyDescent="0.25">
      <c r="A6852">
        <v>9857</v>
      </c>
      <c r="B6852" s="15">
        <v>45149</v>
      </c>
      <c r="C6852" s="110"/>
      <c r="D6852" s="110"/>
      <c r="E6852" s="3"/>
      <c r="F6852">
        <v>1252</v>
      </c>
    </row>
    <row r="6853" spans="1:6" x14ac:dyDescent="0.25">
      <c r="A6853">
        <v>9857</v>
      </c>
      <c r="B6853" s="15">
        <v>45150</v>
      </c>
      <c r="C6853" s="133"/>
      <c r="D6853" s="133"/>
      <c r="E6853" s="3"/>
      <c r="F6853">
        <v>1253</v>
      </c>
    </row>
    <row r="6854" spans="1:6" x14ac:dyDescent="0.25">
      <c r="A6854">
        <v>9857</v>
      </c>
      <c r="B6854" s="15">
        <v>45151</v>
      </c>
      <c r="C6854" s="133"/>
      <c r="D6854" s="133"/>
      <c r="E6854" s="3"/>
      <c r="F6854">
        <v>1254</v>
      </c>
    </row>
    <row r="6855" spans="1:6" x14ac:dyDescent="0.25">
      <c r="A6855">
        <v>9857</v>
      </c>
      <c r="B6855" s="15">
        <v>45152</v>
      </c>
      <c r="C6855" s="104" t="s">
        <v>2</v>
      </c>
      <c r="D6855" s="104" t="s">
        <v>2</v>
      </c>
      <c r="E6855" s="3"/>
      <c r="F6855">
        <v>1255</v>
      </c>
    </row>
    <row r="6856" spans="1:6" x14ac:dyDescent="0.25">
      <c r="A6856">
        <v>9857</v>
      </c>
      <c r="B6856" s="15">
        <v>45153</v>
      </c>
      <c r="C6856" s="147"/>
      <c r="D6856" s="147"/>
      <c r="E6856" s="3"/>
      <c r="F6856">
        <v>1256</v>
      </c>
    </row>
    <row r="6857" spans="1:6" x14ac:dyDescent="0.25">
      <c r="A6857">
        <v>9857</v>
      </c>
      <c r="B6857" s="15">
        <v>45154</v>
      </c>
      <c r="C6857" s="104" t="s">
        <v>2</v>
      </c>
      <c r="D6857" s="104" t="s">
        <v>2</v>
      </c>
      <c r="E6857" s="3"/>
      <c r="F6857">
        <v>1257</v>
      </c>
    </row>
    <row r="6858" spans="1:6" x14ac:dyDescent="0.25">
      <c r="A6858">
        <v>9857</v>
      </c>
      <c r="B6858" s="15">
        <v>45155</v>
      </c>
      <c r="C6858" s="104" t="s">
        <v>2</v>
      </c>
      <c r="D6858" s="104" t="s">
        <v>2</v>
      </c>
      <c r="E6858" s="3"/>
      <c r="F6858">
        <v>1258</v>
      </c>
    </row>
    <row r="6859" spans="1:6" x14ac:dyDescent="0.25">
      <c r="A6859">
        <v>9857</v>
      </c>
      <c r="B6859" s="15">
        <v>45156</v>
      </c>
      <c r="C6859" s="104" t="s">
        <v>2</v>
      </c>
      <c r="D6859" s="104" t="s">
        <v>2</v>
      </c>
      <c r="E6859" s="3"/>
      <c r="F6859">
        <v>1259</v>
      </c>
    </row>
    <row r="6860" spans="1:6" x14ac:dyDescent="0.25">
      <c r="A6860">
        <v>9857</v>
      </c>
      <c r="B6860" s="15">
        <v>45157</v>
      </c>
      <c r="C6860" s="133"/>
      <c r="D6860" s="133"/>
      <c r="E6860" s="3"/>
      <c r="F6860">
        <v>1260</v>
      </c>
    </row>
    <row r="6861" spans="1:6" x14ac:dyDescent="0.25">
      <c r="A6861">
        <v>9857</v>
      </c>
      <c r="B6861" s="15">
        <v>45158</v>
      </c>
      <c r="C6861" s="133"/>
      <c r="D6861" s="133"/>
      <c r="E6861" s="3"/>
      <c r="F6861">
        <v>1261</v>
      </c>
    </row>
    <row r="6862" spans="1:6" x14ac:dyDescent="0.25">
      <c r="A6862">
        <v>9857</v>
      </c>
      <c r="B6862" s="15">
        <v>45159</v>
      </c>
      <c r="C6862" s="110"/>
      <c r="D6862" s="115" t="s">
        <v>164</v>
      </c>
      <c r="E6862" s="3"/>
      <c r="F6862">
        <v>1262</v>
      </c>
    </row>
    <row r="6863" spans="1:6" x14ac:dyDescent="0.25">
      <c r="A6863">
        <v>9857</v>
      </c>
      <c r="B6863" s="15">
        <v>45160</v>
      </c>
      <c r="C6863" s="110"/>
      <c r="D6863" s="110"/>
      <c r="E6863" s="3"/>
      <c r="F6863">
        <v>1263</v>
      </c>
    </row>
    <row r="6864" spans="1:6" x14ac:dyDescent="0.25">
      <c r="A6864">
        <v>9857</v>
      </c>
      <c r="B6864" s="15">
        <v>45161</v>
      </c>
      <c r="C6864" s="104" t="s">
        <v>2</v>
      </c>
      <c r="D6864" s="104" t="s">
        <v>2</v>
      </c>
      <c r="E6864" s="3"/>
      <c r="F6864">
        <v>1264</v>
      </c>
    </row>
    <row r="6865" spans="1:6" x14ac:dyDescent="0.25">
      <c r="A6865">
        <v>9857</v>
      </c>
      <c r="B6865" s="15">
        <v>45162</v>
      </c>
      <c r="C6865" s="110"/>
      <c r="D6865" s="110"/>
      <c r="E6865" s="3"/>
      <c r="F6865">
        <v>1265</v>
      </c>
    </row>
    <row r="6866" spans="1:6" x14ac:dyDescent="0.25">
      <c r="A6866">
        <v>9857</v>
      </c>
      <c r="B6866" s="15">
        <v>45163</v>
      </c>
      <c r="C6866" s="110"/>
      <c r="D6866" s="110"/>
      <c r="E6866" s="3"/>
      <c r="F6866">
        <v>1266</v>
      </c>
    </row>
    <row r="6867" spans="1:6" x14ac:dyDescent="0.25">
      <c r="A6867">
        <v>9857</v>
      </c>
      <c r="B6867" s="15">
        <v>45164</v>
      </c>
      <c r="C6867" s="133"/>
      <c r="D6867" s="133"/>
      <c r="E6867" s="3"/>
      <c r="F6867">
        <v>1267</v>
      </c>
    </row>
    <row r="6868" spans="1:6" x14ac:dyDescent="0.25">
      <c r="A6868">
        <v>9857</v>
      </c>
      <c r="B6868" s="15">
        <v>45165</v>
      </c>
      <c r="C6868" s="133"/>
      <c r="D6868" s="133"/>
      <c r="E6868" s="3"/>
      <c r="F6868">
        <v>1268</v>
      </c>
    </row>
    <row r="6869" spans="1:6" x14ac:dyDescent="0.25">
      <c r="A6869">
        <v>9857</v>
      </c>
      <c r="B6869" s="15">
        <v>45166</v>
      </c>
      <c r="C6869" s="110"/>
      <c r="D6869" s="115" t="s">
        <v>164</v>
      </c>
      <c r="E6869" s="3"/>
      <c r="F6869">
        <v>1269</v>
      </c>
    </row>
    <row r="6870" spans="1:6" x14ac:dyDescent="0.25">
      <c r="A6870">
        <v>9857</v>
      </c>
      <c r="B6870" s="15">
        <v>45167</v>
      </c>
      <c r="C6870" s="110"/>
      <c r="D6870" s="110"/>
      <c r="E6870" s="3"/>
      <c r="F6870">
        <v>1270</v>
      </c>
    </row>
    <row r="6871" spans="1:6" x14ac:dyDescent="0.25">
      <c r="A6871">
        <v>9857</v>
      </c>
      <c r="B6871" s="15">
        <v>45168</v>
      </c>
      <c r="C6871" s="110"/>
      <c r="D6871" s="110"/>
      <c r="E6871" s="3"/>
      <c r="F6871">
        <v>1271</v>
      </c>
    </row>
    <row r="6872" spans="1:6" x14ac:dyDescent="0.25">
      <c r="A6872">
        <v>9857</v>
      </c>
      <c r="B6872" s="15">
        <v>45169</v>
      </c>
      <c r="C6872" s="110"/>
      <c r="D6872" s="110"/>
      <c r="E6872" s="3"/>
      <c r="F6872">
        <v>1272</v>
      </c>
    </row>
    <row r="6873" spans="1:6" x14ac:dyDescent="0.25">
      <c r="A6873">
        <v>9857</v>
      </c>
      <c r="B6873" s="15">
        <v>45170</v>
      </c>
      <c r="C6873" s="110"/>
      <c r="D6873" s="110"/>
      <c r="E6873" s="3"/>
      <c r="F6873">
        <v>1273</v>
      </c>
    </row>
    <row r="6874" spans="1:6" x14ac:dyDescent="0.25">
      <c r="A6874">
        <v>9857</v>
      </c>
      <c r="B6874" s="15">
        <v>45171</v>
      </c>
      <c r="C6874" s="133"/>
      <c r="D6874" s="133"/>
      <c r="E6874" s="3"/>
      <c r="F6874">
        <v>1274</v>
      </c>
    </row>
    <row r="6875" spans="1:6" x14ac:dyDescent="0.25">
      <c r="A6875">
        <v>9857</v>
      </c>
      <c r="B6875" s="15">
        <v>45172</v>
      </c>
      <c r="C6875" s="133"/>
      <c r="D6875" s="133"/>
      <c r="E6875" s="3"/>
      <c r="F6875">
        <v>1275</v>
      </c>
    </row>
    <row r="6876" spans="1:6" x14ac:dyDescent="0.25">
      <c r="A6876">
        <v>9857</v>
      </c>
      <c r="B6876" s="15">
        <v>45173</v>
      </c>
      <c r="C6876" s="110"/>
      <c r="D6876" s="110"/>
      <c r="E6876" s="3"/>
      <c r="F6876">
        <v>1276</v>
      </c>
    </row>
    <row r="6877" spans="1:6" x14ac:dyDescent="0.25">
      <c r="A6877">
        <v>9857</v>
      </c>
      <c r="B6877" s="15">
        <v>45174</v>
      </c>
      <c r="C6877" s="127"/>
      <c r="D6877" s="127"/>
      <c r="E6877" s="3"/>
      <c r="F6877">
        <v>1277</v>
      </c>
    </row>
    <row r="6878" spans="1:6" x14ac:dyDescent="0.25">
      <c r="A6878">
        <v>9857</v>
      </c>
      <c r="B6878" s="15">
        <v>45175</v>
      </c>
      <c r="C6878" s="110"/>
      <c r="D6878" s="110"/>
      <c r="E6878" s="3"/>
      <c r="F6878">
        <v>1278</v>
      </c>
    </row>
    <row r="6879" spans="1:6" x14ac:dyDescent="0.25">
      <c r="A6879">
        <v>9857</v>
      </c>
      <c r="B6879" s="15">
        <v>45176</v>
      </c>
      <c r="C6879" s="110"/>
      <c r="D6879" s="110"/>
      <c r="E6879" s="3"/>
      <c r="F6879">
        <v>1279</v>
      </c>
    </row>
    <row r="6880" spans="1:6" x14ac:dyDescent="0.25">
      <c r="A6880">
        <v>9857</v>
      </c>
      <c r="B6880" s="15">
        <v>45177</v>
      </c>
      <c r="C6880" s="110"/>
      <c r="D6880" s="110"/>
      <c r="E6880" s="3"/>
      <c r="F6880">
        <v>1280</v>
      </c>
    </row>
    <row r="6881" spans="1:6" x14ac:dyDescent="0.25">
      <c r="A6881">
        <v>9857</v>
      </c>
      <c r="B6881" s="15">
        <v>45178</v>
      </c>
      <c r="C6881" s="133"/>
      <c r="D6881" s="133"/>
      <c r="E6881" s="3"/>
      <c r="F6881">
        <v>1281</v>
      </c>
    </row>
    <row r="6882" spans="1:6" x14ac:dyDescent="0.25">
      <c r="A6882">
        <v>9857</v>
      </c>
      <c r="B6882" s="15">
        <v>45179</v>
      </c>
      <c r="C6882" s="133"/>
      <c r="D6882" s="133"/>
      <c r="E6882" s="3"/>
      <c r="F6882">
        <v>1282</v>
      </c>
    </row>
    <row r="6883" spans="1:6" x14ac:dyDescent="0.25">
      <c r="A6883">
        <v>9857</v>
      </c>
      <c r="B6883" s="15">
        <v>45180</v>
      </c>
      <c r="C6883" s="110"/>
      <c r="D6883" s="110"/>
      <c r="E6883" s="3"/>
      <c r="F6883">
        <v>1283</v>
      </c>
    </row>
    <row r="6884" spans="1:6" x14ac:dyDescent="0.25">
      <c r="A6884">
        <v>9857</v>
      </c>
      <c r="B6884" s="15">
        <v>45181</v>
      </c>
      <c r="C6884" s="110"/>
      <c r="D6884" s="110"/>
      <c r="E6884" s="3"/>
      <c r="F6884">
        <v>1284</v>
      </c>
    </row>
    <row r="6885" spans="1:6" x14ac:dyDescent="0.25">
      <c r="A6885">
        <v>9857</v>
      </c>
      <c r="B6885" s="15">
        <v>45182</v>
      </c>
      <c r="C6885" s="110"/>
      <c r="D6885" s="110"/>
      <c r="E6885" s="3"/>
      <c r="F6885">
        <v>1285</v>
      </c>
    </row>
    <row r="6886" spans="1:6" x14ac:dyDescent="0.25">
      <c r="A6886">
        <v>9857</v>
      </c>
      <c r="B6886" s="15">
        <v>45183</v>
      </c>
      <c r="C6886" s="110"/>
      <c r="D6886" s="110"/>
      <c r="E6886" s="3"/>
      <c r="F6886">
        <v>1286</v>
      </c>
    </row>
    <row r="6887" spans="1:6" x14ac:dyDescent="0.25">
      <c r="A6887">
        <v>9857</v>
      </c>
      <c r="B6887" s="15">
        <v>45184</v>
      </c>
      <c r="C6887" s="110"/>
      <c r="D6887" s="110"/>
      <c r="E6887" s="3"/>
      <c r="F6887">
        <v>1287</v>
      </c>
    </row>
    <row r="6888" spans="1:6" x14ac:dyDescent="0.25">
      <c r="A6888">
        <v>9857</v>
      </c>
      <c r="B6888" s="15">
        <v>45185</v>
      </c>
      <c r="C6888" s="133"/>
      <c r="D6888" s="133"/>
      <c r="E6888" s="3"/>
      <c r="F6888">
        <v>1288</v>
      </c>
    </row>
    <row r="6889" spans="1:6" x14ac:dyDescent="0.25">
      <c r="A6889">
        <v>9857</v>
      </c>
      <c r="B6889" s="15">
        <v>45186</v>
      </c>
      <c r="C6889" s="133"/>
      <c r="D6889" s="133"/>
      <c r="E6889" s="3"/>
      <c r="F6889">
        <v>1289</v>
      </c>
    </row>
    <row r="6890" spans="1:6" x14ac:dyDescent="0.25">
      <c r="A6890">
        <v>9857</v>
      </c>
      <c r="B6890" s="15">
        <v>45187</v>
      </c>
      <c r="C6890" s="110"/>
      <c r="D6890" s="110"/>
      <c r="E6890" s="3"/>
      <c r="F6890">
        <v>1290</v>
      </c>
    </row>
    <row r="6891" spans="1:6" x14ac:dyDescent="0.25">
      <c r="A6891">
        <v>9857</v>
      </c>
      <c r="B6891" s="15">
        <v>45188</v>
      </c>
      <c r="C6891" s="110"/>
      <c r="D6891" s="110"/>
      <c r="E6891" s="3"/>
      <c r="F6891">
        <v>1291</v>
      </c>
    </row>
    <row r="6892" spans="1:6" x14ac:dyDescent="0.25">
      <c r="A6892">
        <v>9857</v>
      </c>
      <c r="B6892" s="15">
        <v>45189</v>
      </c>
      <c r="C6892" s="104" t="s">
        <v>2</v>
      </c>
      <c r="D6892" s="110"/>
      <c r="E6892" s="3"/>
      <c r="F6892">
        <v>1292</v>
      </c>
    </row>
    <row r="6893" spans="1:6" x14ac:dyDescent="0.25">
      <c r="A6893">
        <v>9857</v>
      </c>
      <c r="B6893" s="15">
        <v>45190</v>
      </c>
      <c r="C6893" s="110"/>
      <c r="D6893" s="110"/>
      <c r="E6893" s="3"/>
      <c r="F6893">
        <v>1293</v>
      </c>
    </row>
    <row r="6894" spans="1:6" x14ac:dyDescent="0.25">
      <c r="A6894">
        <v>9857</v>
      </c>
      <c r="B6894" s="15">
        <v>45191</v>
      </c>
      <c r="C6894" s="110"/>
      <c r="D6894" s="110"/>
      <c r="E6894" s="3"/>
      <c r="F6894">
        <v>1294</v>
      </c>
    </row>
    <row r="6895" spans="1:6" x14ac:dyDescent="0.25">
      <c r="A6895">
        <v>9857</v>
      </c>
      <c r="B6895" s="15">
        <v>45192</v>
      </c>
      <c r="C6895" s="133"/>
      <c r="D6895" s="133"/>
      <c r="E6895" s="3"/>
      <c r="F6895">
        <v>1295</v>
      </c>
    </row>
    <row r="6896" spans="1:6" x14ac:dyDescent="0.25">
      <c r="A6896">
        <v>9857</v>
      </c>
      <c r="B6896" s="15">
        <v>45193</v>
      </c>
      <c r="C6896" s="133"/>
      <c r="D6896" s="133"/>
      <c r="E6896" s="3"/>
      <c r="F6896">
        <v>1296</v>
      </c>
    </row>
    <row r="6897" spans="1:6" x14ac:dyDescent="0.25">
      <c r="A6897">
        <v>9857</v>
      </c>
      <c r="B6897" s="15">
        <v>45194</v>
      </c>
      <c r="C6897" s="110"/>
      <c r="D6897" s="110"/>
      <c r="E6897" s="3"/>
      <c r="F6897">
        <v>1297</v>
      </c>
    </row>
    <row r="6898" spans="1:6" x14ac:dyDescent="0.25">
      <c r="A6898">
        <v>9857</v>
      </c>
      <c r="B6898" s="15">
        <v>45195</v>
      </c>
      <c r="C6898" s="110"/>
      <c r="D6898" s="110"/>
      <c r="E6898" s="3"/>
      <c r="F6898">
        <v>1298</v>
      </c>
    </row>
    <row r="6899" spans="1:6" x14ac:dyDescent="0.25">
      <c r="A6899">
        <v>9857</v>
      </c>
      <c r="B6899" s="15">
        <v>45196</v>
      </c>
      <c r="C6899" s="110"/>
      <c r="D6899" s="110"/>
      <c r="E6899" s="3"/>
      <c r="F6899">
        <v>1299</v>
      </c>
    </row>
    <row r="6900" spans="1:6" x14ac:dyDescent="0.25">
      <c r="A6900">
        <v>9857</v>
      </c>
      <c r="B6900" s="15">
        <v>45197</v>
      </c>
      <c r="C6900" s="110"/>
      <c r="D6900" s="110"/>
      <c r="E6900" s="3"/>
      <c r="F6900">
        <v>1300</v>
      </c>
    </row>
    <row r="6901" spans="1:6" x14ac:dyDescent="0.25">
      <c r="A6901">
        <v>9857</v>
      </c>
      <c r="B6901" s="15">
        <v>45198</v>
      </c>
      <c r="C6901" s="110"/>
      <c r="D6901" s="110"/>
      <c r="E6901" s="3"/>
      <c r="F6901">
        <v>1301</v>
      </c>
    </row>
    <row r="6902" spans="1:6" x14ac:dyDescent="0.25">
      <c r="A6902">
        <v>9857</v>
      </c>
      <c r="B6902" s="15">
        <v>45199</v>
      </c>
      <c r="C6902" s="133"/>
      <c r="D6902" s="133"/>
      <c r="E6902" s="3"/>
      <c r="F6902">
        <v>1302</v>
      </c>
    </row>
    <row r="6903" spans="1:6" x14ac:dyDescent="0.25">
      <c r="A6903">
        <v>9857</v>
      </c>
      <c r="B6903" s="15">
        <v>45200</v>
      </c>
      <c r="C6903" s="133"/>
      <c r="D6903" s="133"/>
      <c r="E6903" s="3"/>
      <c r="F6903">
        <v>1303</v>
      </c>
    </row>
    <row r="6904" spans="1:6" x14ac:dyDescent="0.25">
      <c r="A6904">
        <v>9857</v>
      </c>
      <c r="B6904" s="15">
        <v>45201</v>
      </c>
      <c r="C6904" s="110"/>
      <c r="D6904" s="110"/>
      <c r="E6904" s="3"/>
      <c r="F6904">
        <v>1304</v>
      </c>
    </row>
    <row r="6905" spans="1:6" x14ac:dyDescent="0.25">
      <c r="A6905">
        <v>9857</v>
      </c>
      <c r="B6905" s="15">
        <v>45202</v>
      </c>
      <c r="C6905" s="127"/>
      <c r="D6905" s="127"/>
      <c r="E6905" s="3"/>
      <c r="F6905">
        <v>1305</v>
      </c>
    </row>
    <row r="6906" spans="1:6" x14ac:dyDescent="0.25">
      <c r="A6906">
        <v>9857</v>
      </c>
      <c r="B6906" s="15">
        <v>45203</v>
      </c>
      <c r="C6906" s="110"/>
      <c r="D6906" s="110"/>
      <c r="E6906" s="3"/>
      <c r="F6906">
        <v>1306</v>
      </c>
    </row>
    <row r="6907" spans="1:6" x14ac:dyDescent="0.25">
      <c r="A6907">
        <v>9857</v>
      </c>
      <c r="B6907" s="15">
        <v>45204</v>
      </c>
      <c r="C6907" s="110"/>
      <c r="D6907" s="110"/>
      <c r="E6907" s="3"/>
      <c r="F6907">
        <v>1307</v>
      </c>
    </row>
    <row r="6908" spans="1:6" x14ac:dyDescent="0.25">
      <c r="A6908">
        <v>9857</v>
      </c>
      <c r="B6908" s="15">
        <v>45205</v>
      </c>
      <c r="C6908" s="110"/>
      <c r="D6908" s="110"/>
      <c r="E6908" s="3"/>
      <c r="F6908">
        <v>1308</v>
      </c>
    </row>
    <row r="6909" spans="1:6" x14ac:dyDescent="0.25">
      <c r="A6909">
        <v>9857</v>
      </c>
      <c r="B6909" s="15">
        <v>45206</v>
      </c>
      <c r="C6909" s="133"/>
      <c r="D6909" s="133"/>
      <c r="E6909" s="3"/>
      <c r="F6909">
        <v>1309</v>
      </c>
    </row>
    <row r="6910" spans="1:6" x14ac:dyDescent="0.25">
      <c r="A6910">
        <v>9857</v>
      </c>
      <c r="B6910" s="15">
        <v>45207</v>
      </c>
      <c r="C6910" s="133"/>
      <c r="D6910" s="133"/>
      <c r="E6910" s="3"/>
      <c r="F6910">
        <v>1310</v>
      </c>
    </row>
    <row r="6911" spans="1:6" x14ac:dyDescent="0.25">
      <c r="A6911">
        <v>9857</v>
      </c>
      <c r="B6911" s="15">
        <v>45208</v>
      </c>
      <c r="C6911" s="110"/>
      <c r="D6911" s="110"/>
      <c r="E6911" s="3"/>
      <c r="F6911">
        <v>1311</v>
      </c>
    </row>
    <row r="6912" spans="1:6" x14ac:dyDescent="0.25">
      <c r="A6912">
        <v>9857</v>
      </c>
      <c r="B6912" s="15">
        <v>45209</v>
      </c>
      <c r="C6912" s="110"/>
      <c r="D6912" s="110"/>
      <c r="E6912" s="3"/>
      <c r="F6912">
        <v>1312</v>
      </c>
    </row>
    <row r="6913" spans="1:6" x14ac:dyDescent="0.25">
      <c r="A6913">
        <v>9857</v>
      </c>
      <c r="B6913" s="15">
        <v>45210</v>
      </c>
      <c r="C6913" s="110"/>
      <c r="D6913" s="110"/>
      <c r="E6913" s="3"/>
      <c r="F6913">
        <v>1313</v>
      </c>
    </row>
    <row r="6914" spans="1:6" x14ac:dyDescent="0.25">
      <c r="A6914">
        <v>9857</v>
      </c>
      <c r="B6914" s="15">
        <v>45211</v>
      </c>
      <c r="C6914" s="110"/>
      <c r="D6914" s="110"/>
      <c r="E6914" s="3"/>
      <c r="F6914">
        <v>1314</v>
      </c>
    </row>
    <row r="6915" spans="1:6" x14ac:dyDescent="0.25">
      <c r="A6915">
        <v>9857</v>
      </c>
      <c r="B6915" s="15">
        <v>45212</v>
      </c>
      <c r="C6915" s="110"/>
      <c r="D6915" s="110"/>
      <c r="E6915" s="3"/>
      <c r="F6915">
        <v>1315</v>
      </c>
    </row>
    <row r="6916" spans="1:6" x14ac:dyDescent="0.25">
      <c r="A6916">
        <v>9857</v>
      </c>
      <c r="B6916" s="15">
        <v>45213</v>
      </c>
      <c r="C6916" s="133"/>
      <c r="D6916" s="133"/>
      <c r="E6916" s="3"/>
      <c r="F6916">
        <v>1316</v>
      </c>
    </row>
    <row r="6917" spans="1:6" x14ac:dyDescent="0.25">
      <c r="A6917">
        <v>9857</v>
      </c>
      <c r="B6917" s="15">
        <v>45214</v>
      </c>
      <c r="C6917" s="133"/>
      <c r="D6917" s="133"/>
      <c r="E6917" s="3"/>
      <c r="F6917">
        <v>1317</v>
      </c>
    </row>
    <row r="6918" spans="1:6" x14ac:dyDescent="0.25">
      <c r="A6918">
        <v>9857</v>
      </c>
      <c r="B6918" s="15">
        <v>45215</v>
      </c>
      <c r="C6918" s="110"/>
      <c r="D6918" s="110"/>
      <c r="E6918" s="3"/>
      <c r="F6918">
        <v>1318</v>
      </c>
    </row>
    <row r="6919" spans="1:6" x14ac:dyDescent="0.25">
      <c r="A6919">
        <v>9857</v>
      </c>
      <c r="B6919" s="15">
        <v>45216</v>
      </c>
      <c r="C6919" s="110"/>
      <c r="D6919" s="110"/>
      <c r="E6919" s="3"/>
      <c r="F6919">
        <v>1319</v>
      </c>
    </row>
    <row r="6920" spans="1:6" x14ac:dyDescent="0.25">
      <c r="A6920">
        <v>9857</v>
      </c>
      <c r="B6920" s="15">
        <v>45217</v>
      </c>
      <c r="C6920" s="104" t="s">
        <v>2</v>
      </c>
      <c r="D6920" s="110"/>
      <c r="E6920" s="3"/>
      <c r="F6920">
        <v>1320</v>
      </c>
    </row>
    <row r="6921" spans="1:6" x14ac:dyDescent="0.25">
      <c r="A6921">
        <v>9857</v>
      </c>
      <c r="B6921" s="15">
        <v>45218</v>
      </c>
      <c r="C6921" s="110"/>
      <c r="D6921" s="110"/>
      <c r="E6921" s="3"/>
      <c r="F6921">
        <v>1321</v>
      </c>
    </row>
    <row r="6922" spans="1:6" x14ac:dyDescent="0.25">
      <c r="A6922">
        <v>9857</v>
      </c>
      <c r="B6922" s="15">
        <v>45219</v>
      </c>
      <c r="C6922" s="110"/>
      <c r="D6922" s="105" t="s">
        <v>158</v>
      </c>
      <c r="E6922" s="3"/>
      <c r="F6922">
        <v>1322</v>
      </c>
    </row>
    <row r="6923" spans="1:6" x14ac:dyDescent="0.25">
      <c r="A6923">
        <v>9857</v>
      </c>
      <c r="B6923" s="15">
        <v>45220</v>
      </c>
      <c r="C6923" s="133"/>
      <c r="D6923" s="133"/>
      <c r="E6923" s="3"/>
      <c r="F6923">
        <v>1323</v>
      </c>
    </row>
    <row r="6924" spans="1:6" x14ac:dyDescent="0.25">
      <c r="A6924">
        <v>9857</v>
      </c>
      <c r="B6924" s="15">
        <v>45221</v>
      </c>
      <c r="C6924" s="133"/>
      <c r="D6924" s="133"/>
      <c r="E6924" s="3"/>
      <c r="F6924">
        <v>1324</v>
      </c>
    </row>
    <row r="6925" spans="1:6" x14ac:dyDescent="0.25">
      <c r="A6925">
        <v>9857</v>
      </c>
      <c r="B6925" s="15">
        <v>45222</v>
      </c>
      <c r="C6925" s="105" t="s">
        <v>165</v>
      </c>
      <c r="D6925" s="110"/>
      <c r="E6925" s="3"/>
      <c r="F6925">
        <v>1325</v>
      </c>
    </row>
    <row r="6926" spans="1:6" x14ac:dyDescent="0.25">
      <c r="A6926">
        <v>9857</v>
      </c>
      <c r="B6926" s="15">
        <v>45223</v>
      </c>
      <c r="C6926" s="110"/>
      <c r="D6926" s="105" t="s">
        <v>164</v>
      </c>
      <c r="E6926" s="3"/>
      <c r="F6926">
        <v>1326</v>
      </c>
    </row>
    <row r="6927" spans="1:6" x14ac:dyDescent="0.25">
      <c r="A6927">
        <v>9857</v>
      </c>
      <c r="B6927" s="15">
        <v>45224</v>
      </c>
      <c r="C6927" s="110"/>
      <c r="D6927" s="110"/>
      <c r="E6927" s="3"/>
      <c r="F6927">
        <v>1327</v>
      </c>
    </row>
    <row r="6928" spans="1:6" x14ac:dyDescent="0.25">
      <c r="A6928">
        <v>9857</v>
      </c>
      <c r="B6928" s="15">
        <v>45225</v>
      </c>
      <c r="C6928" s="110"/>
      <c r="D6928" s="110"/>
      <c r="E6928" s="3"/>
      <c r="F6928">
        <v>1328</v>
      </c>
    </row>
    <row r="6929" spans="1:6" x14ac:dyDescent="0.25">
      <c r="A6929">
        <v>9857</v>
      </c>
      <c r="B6929" s="15">
        <v>45226</v>
      </c>
      <c r="C6929" s="110"/>
      <c r="D6929" s="110"/>
      <c r="E6929" s="3"/>
      <c r="F6929">
        <v>1329</v>
      </c>
    </row>
    <row r="6930" spans="1:6" x14ac:dyDescent="0.25">
      <c r="A6930">
        <v>9857</v>
      </c>
      <c r="B6930" s="15">
        <v>45227</v>
      </c>
      <c r="C6930" s="133"/>
      <c r="D6930" s="133"/>
      <c r="E6930" s="3"/>
      <c r="F6930">
        <v>1330</v>
      </c>
    </row>
    <row r="6931" spans="1:6" x14ac:dyDescent="0.25">
      <c r="A6931">
        <v>9857</v>
      </c>
      <c r="B6931" s="15">
        <v>45228</v>
      </c>
      <c r="C6931" s="133"/>
      <c r="D6931" s="133"/>
      <c r="E6931" s="3"/>
      <c r="F6931">
        <v>1331</v>
      </c>
    </row>
    <row r="6932" spans="1:6" x14ac:dyDescent="0.25">
      <c r="A6932">
        <v>9857</v>
      </c>
      <c r="B6932" s="15">
        <v>45229</v>
      </c>
      <c r="C6932" s="105">
        <v>0.375</v>
      </c>
      <c r="D6932" s="110"/>
      <c r="E6932" s="3"/>
      <c r="F6932">
        <v>1332</v>
      </c>
    </row>
    <row r="6933" spans="1:6" x14ac:dyDescent="0.25">
      <c r="A6933">
        <v>9857</v>
      </c>
      <c r="B6933" s="15">
        <v>45230</v>
      </c>
      <c r="C6933" s="104" t="s">
        <v>2</v>
      </c>
      <c r="D6933" s="104" t="s">
        <v>2</v>
      </c>
      <c r="E6933" s="3"/>
      <c r="F6933">
        <v>1333</v>
      </c>
    </row>
    <row r="6934" spans="1:6" x14ac:dyDescent="0.25">
      <c r="A6934">
        <v>9857</v>
      </c>
      <c r="B6934" s="15">
        <v>45231</v>
      </c>
      <c r="C6934" s="147"/>
      <c r="D6934" s="147"/>
      <c r="E6934" s="3"/>
      <c r="F6934">
        <v>1334</v>
      </c>
    </row>
    <row r="6935" spans="1:6" x14ac:dyDescent="0.25">
      <c r="A6935">
        <v>9857</v>
      </c>
      <c r="B6935" s="15">
        <v>45232</v>
      </c>
      <c r="C6935" s="104" t="s">
        <v>2</v>
      </c>
      <c r="D6935" s="104" t="s">
        <v>2</v>
      </c>
      <c r="E6935" s="3"/>
      <c r="F6935">
        <v>1335</v>
      </c>
    </row>
    <row r="6936" spans="1:6" x14ac:dyDescent="0.25">
      <c r="A6936">
        <v>9857</v>
      </c>
      <c r="B6936" s="15">
        <v>45233</v>
      </c>
      <c r="C6936" s="104" t="s">
        <v>2</v>
      </c>
      <c r="D6936" s="104" t="s">
        <v>2</v>
      </c>
      <c r="E6936" s="3"/>
      <c r="F6936">
        <v>1336</v>
      </c>
    </row>
    <row r="6937" spans="1:6" x14ac:dyDescent="0.25">
      <c r="A6937">
        <v>9857</v>
      </c>
      <c r="B6937" s="15">
        <v>45234</v>
      </c>
      <c r="C6937" s="133"/>
      <c r="D6937" s="133"/>
      <c r="E6937" s="3"/>
      <c r="F6937">
        <v>1337</v>
      </c>
    </row>
    <row r="6938" spans="1:6" x14ac:dyDescent="0.25">
      <c r="A6938">
        <v>9857</v>
      </c>
      <c r="B6938" s="15">
        <v>45235</v>
      </c>
      <c r="C6938" s="133"/>
      <c r="D6938" s="133"/>
      <c r="E6938" s="3"/>
      <c r="F6938">
        <v>1338</v>
      </c>
    </row>
    <row r="6939" spans="1:6" x14ac:dyDescent="0.25">
      <c r="A6939">
        <v>9857</v>
      </c>
      <c r="B6939" s="15">
        <v>45236</v>
      </c>
      <c r="C6939" s="105">
        <v>0.375</v>
      </c>
      <c r="D6939" s="110"/>
      <c r="E6939" s="3"/>
      <c r="F6939">
        <v>1339</v>
      </c>
    </row>
    <row r="6940" spans="1:6" x14ac:dyDescent="0.25">
      <c r="A6940">
        <v>9857</v>
      </c>
      <c r="B6940" s="15">
        <v>45237</v>
      </c>
      <c r="C6940" s="110"/>
      <c r="D6940" s="110"/>
      <c r="E6940" s="3"/>
      <c r="F6940">
        <v>1340</v>
      </c>
    </row>
    <row r="6941" spans="1:6" x14ac:dyDescent="0.25">
      <c r="A6941">
        <v>9857</v>
      </c>
      <c r="B6941" s="15">
        <v>45238</v>
      </c>
      <c r="C6941" s="104" t="s">
        <v>2</v>
      </c>
      <c r="D6941" s="104" t="s">
        <v>2</v>
      </c>
      <c r="E6941" s="3"/>
      <c r="F6941">
        <v>1341</v>
      </c>
    </row>
    <row r="6942" spans="1:6" x14ac:dyDescent="0.25">
      <c r="A6942">
        <v>9857</v>
      </c>
      <c r="B6942" s="15">
        <v>45239</v>
      </c>
      <c r="C6942" s="104" t="s">
        <v>2</v>
      </c>
      <c r="D6942" s="104" t="s">
        <v>2</v>
      </c>
      <c r="E6942" s="3"/>
      <c r="F6942">
        <v>1342</v>
      </c>
    </row>
    <row r="6943" spans="1:6" x14ac:dyDescent="0.25">
      <c r="A6943">
        <v>9857</v>
      </c>
      <c r="B6943" s="15">
        <v>45240</v>
      </c>
      <c r="C6943" s="109" t="s">
        <v>163</v>
      </c>
      <c r="D6943" s="109" t="s">
        <v>163</v>
      </c>
      <c r="E6943" s="3"/>
      <c r="F6943">
        <v>1343</v>
      </c>
    </row>
    <row r="6944" spans="1:6" x14ac:dyDescent="0.25">
      <c r="A6944">
        <v>9857</v>
      </c>
      <c r="B6944" s="15">
        <v>45241</v>
      </c>
      <c r="C6944" s="133"/>
      <c r="D6944" s="133"/>
      <c r="E6944" s="3"/>
      <c r="F6944">
        <v>1344</v>
      </c>
    </row>
    <row r="6945" spans="1:6" x14ac:dyDescent="0.25">
      <c r="A6945">
        <v>9857</v>
      </c>
      <c r="B6945" s="15">
        <v>45242</v>
      </c>
      <c r="C6945" s="133"/>
      <c r="D6945" s="133"/>
      <c r="E6945" s="3"/>
      <c r="F6945">
        <v>1345</v>
      </c>
    </row>
    <row r="6946" spans="1:6" x14ac:dyDescent="0.25">
      <c r="A6946">
        <v>9857</v>
      </c>
      <c r="B6946" s="15">
        <v>45243</v>
      </c>
      <c r="C6946" s="110"/>
      <c r="D6946" s="110"/>
      <c r="E6946" s="3"/>
      <c r="F6946">
        <v>1346</v>
      </c>
    </row>
    <row r="6947" spans="1:6" x14ac:dyDescent="0.25">
      <c r="A6947">
        <v>9857</v>
      </c>
      <c r="B6947" s="15">
        <v>45244</v>
      </c>
      <c r="C6947" s="110"/>
      <c r="D6947" s="110"/>
      <c r="E6947" s="3"/>
      <c r="F6947">
        <v>1347</v>
      </c>
    </row>
    <row r="6948" spans="1:6" x14ac:dyDescent="0.25">
      <c r="A6948">
        <v>9857</v>
      </c>
      <c r="B6948" s="15">
        <v>45245</v>
      </c>
      <c r="C6948" s="110"/>
      <c r="D6948" s="110"/>
      <c r="E6948" s="3"/>
      <c r="F6948">
        <v>1348</v>
      </c>
    </row>
    <row r="6949" spans="1:6" x14ac:dyDescent="0.25">
      <c r="A6949">
        <v>9857</v>
      </c>
      <c r="B6949" s="15">
        <v>45246</v>
      </c>
      <c r="C6949" s="110"/>
      <c r="D6949" s="110"/>
      <c r="E6949" s="3"/>
      <c r="F6949">
        <v>1349</v>
      </c>
    </row>
    <row r="6950" spans="1:6" x14ac:dyDescent="0.25">
      <c r="A6950">
        <v>9857</v>
      </c>
      <c r="B6950" s="15">
        <v>45247</v>
      </c>
      <c r="C6950" s="110"/>
      <c r="D6950" s="110"/>
      <c r="E6950" s="3"/>
      <c r="F6950">
        <v>1350</v>
      </c>
    </row>
    <row r="6951" spans="1:6" x14ac:dyDescent="0.25">
      <c r="A6951">
        <v>9857</v>
      </c>
      <c r="B6951" s="15">
        <v>45248</v>
      </c>
      <c r="C6951" s="133"/>
      <c r="D6951" s="133"/>
      <c r="E6951" s="3"/>
      <c r="F6951">
        <v>1351</v>
      </c>
    </row>
    <row r="6952" spans="1:6" x14ac:dyDescent="0.25">
      <c r="A6952">
        <v>9857</v>
      </c>
      <c r="B6952" s="15">
        <v>45249</v>
      </c>
      <c r="C6952" s="133"/>
      <c r="D6952" s="133"/>
      <c r="E6952" s="3"/>
      <c r="F6952">
        <v>1352</v>
      </c>
    </row>
    <row r="6953" spans="1:6" x14ac:dyDescent="0.25">
      <c r="A6953">
        <v>9857</v>
      </c>
      <c r="B6953" s="15">
        <v>45250</v>
      </c>
      <c r="C6953" s="110"/>
      <c r="D6953" s="110"/>
      <c r="E6953" s="3"/>
      <c r="F6953">
        <v>1353</v>
      </c>
    </row>
    <row r="6954" spans="1:6" x14ac:dyDescent="0.25">
      <c r="A6954">
        <v>9857</v>
      </c>
      <c r="B6954" s="15">
        <v>45251</v>
      </c>
      <c r="C6954" s="110"/>
      <c r="D6954" s="110"/>
      <c r="E6954" s="3"/>
      <c r="F6954">
        <v>1354</v>
      </c>
    </row>
    <row r="6955" spans="1:6" x14ac:dyDescent="0.25">
      <c r="A6955">
        <v>9857</v>
      </c>
      <c r="B6955" s="15">
        <v>45252</v>
      </c>
      <c r="C6955" s="104" t="s">
        <v>2</v>
      </c>
      <c r="D6955" s="104" t="s">
        <v>2</v>
      </c>
      <c r="E6955" s="3"/>
      <c r="F6955">
        <v>1355</v>
      </c>
    </row>
    <row r="6956" spans="1:6" x14ac:dyDescent="0.25">
      <c r="A6956">
        <v>9857</v>
      </c>
      <c r="B6956" s="15">
        <v>45253</v>
      </c>
      <c r="C6956" s="110"/>
      <c r="D6956" s="110"/>
      <c r="E6956" s="3"/>
      <c r="F6956">
        <v>1356</v>
      </c>
    </row>
    <row r="6957" spans="1:6" x14ac:dyDescent="0.25">
      <c r="A6957">
        <v>9857</v>
      </c>
      <c r="B6957" s="15">
        <v>45254</v>
      </c>
      <c r="C6957" s="110"/>
      <c r="D6957" s="110"/>
      <c r="E6957" s="3"/>
      <c r="F6957">
        <v>1357</v>
      </c>
    </row>
    <row r="6958" spans="1:6" x14ac:dyDescent="0.25">
      <c r="A6958">
        <v>9857</v>
      </c>
      <c r="B6958" s="15">
        <v>45255</v>
      </c>
      <c r="C6958" s="133"/>
      <c r="D6958" s="133"/>
      <c r="E6958" s="3"/>
      <c r="F6958">
        <v>1358</v>
      </c>
    </row>
    <row r="6959" spans="1:6" x14ac:dyDescent="0.25">
      <c r="A6959">
        <v>9857</v>
      </c>
      <c r="B6959" s="15">
        <v>45256</v>
      </c>
      <c r="C6959" s="133"/>
      <c r="D6959" s="133"/>
      <c r="E6959" s="3"/>
      <c r="F6959">
        <v>1359</v>
      </c>
    </row>
    <row r="6960" spans="1:6" x14ac:dyDescent="0.25">
      <c r="A6960">
        <v>9857</v>
      </c>
      <c r="B6960" s="15">
        <v>45257</v>
      </c>
      <c r="C6960" s="110"/>
      <c r="D6960" s="110"/>
      <c r="E6960" s="3"/>
      <c r="F6960">
        <v>1360</v>
      </c>
    </row>
    <row r="6961" spans="1:6" x14ac:dyDescent="0.25">
      <c r="A6961">
        <v>9857</v>
      </c>
      <c r="B6961" s="15">
        <v>45258</v>
      </c>
      <c r="C6961" s="127"/>
      <c r="D6961" s="127"/>
      <c r="E6961" s="3"/>
      <c r="F6961">
        <v>1361</v>
      </c>
    </row>
    <row r="6962" spans="1:6" x14ac:dyDescent="0.25">
      <c r="A6962">
        <v>9857</v>
      </c>
      <c r="B6962" s="15">
        <v>45259</v>
      </c>
      <c r="C6962" s="110"/>
      <c r="D6962" s="110"/>
      <c r="E6962" s="3"/>
      <c r="F6962">
        <v>1362</v>
      </c>
    </row>
    <row r="6963" spans="1:6" x14ac:dyDescent="0.25">
      <c r="A6963">
        <v>9857</v>
      </c>
      <c r="B6963" s="15">
        <v>45260</v>
      </c>
      <c r="C6963" s="110"/>
      <c r="D6963" s="104" t="s">
        <v>2</v>
      </c>
      <c r="E6963" s="3"/>
      <c r="F6963">
        <v>1363</v>
      </c>
    </row>
    <row r="6964" spans="1:6" x14ac:dyDescent="0.25">
      <c r="A6964">
        <v>9857</v>
      </c>
      <c r="B6964" s="15">
        <v>45261</v>
      </c>
      <c r="C6964" s="110"/>
      <c r="D6964" s="110"/>
      <c r="E6964" s="3"/>
      <c r="F6964">
        <v>1364</v>
      </c>
    </row>
    <row r="6965" spans="1:6" x14ac:dyDescent="0.25">
      <c r="A6965">
        <v>9857</v>
      </c>
      <c r="B6965" s="15">
        <v>45262</v>
      </c>
      <c r="C6965" s="133"/>
      <c r="D6965" s="133"/>
      <c r="E6965" s="3"/>
      <c r="F6965">
        <v>1365</v>
      </c>
    </row>
    <row r="6966" spans="1:6" x14ac:dyDescent="0.25">
      <c r="A6966">
        <v>9857</v>
      </c>
      <c r="B6966" s="15">
        <v>45263</v>
      </c>
      <c r="C6966" s="133"/>
      <c r="D6966" s="133"/>
      <c r="E6966" s="3"/>
      <c r="F6966">
        <v>1366</v>
      </c>
    </row>
    <row r="6967" spans="1:6" x14ac:dyDescent="0.25">
      <c r="A6967">
        <v>9857</v>
      </c>
      <c r="B6967" s="15">
        <v>45264</v>
      </c>
      <c r="C6967" s="105">
        <v>0.375</v>
      </c>
      <c r="D6967" s="110"/>
      <c r="E6967" s="3"/>
      <c r="F6967">
        <v>1367</v>
      </c>
    </row>
    <row r="6968" spans="1:6" x14ac:dyDescent="0.25">
      <c r="A6968">
        <v>9857</v>
      </c>
      <c r="B6968" s="15">
        <v>45265</v>
      </c>
      <c r="C6968" s="110"/>
      <c r="D6968" s="110"/>
      <c r="E6968" s="3"/>
      <c r="F6968">
        <v>1368</v>
      </c>
    </row>
    <row r="6969" spans="1:6" x14ac:dyDescent="0.25">
      <c r="A6969">
        <v>9857</v>
      </c>
      <c r="B6969" s="15">
        <v>45266</v>
      </c>
      <c r="C6969" s="110"/>
      <c r="D6969" s="110"/>
      <c r="E6969" s="3"/>
      <c r="F6969">
        <v>1369</v>
      </c>
    </row>
    <row r="6970" spans="1:6" x14ac:dyDescent="0.25">
      <c r="A6970">
        <v>9857</v>
      </c>
      <c r="B6970" s="15">
        <v>45267</v>
      </c>
      <c r="C6970" s="110"/>
      <c r="D6970" s="110" t="s">
        <v>310</v>
      </c>
      <c r="E6970" s="3"/>
      <c r="F6970">
        <v>1370</v>
      </c>
    </row>
    <row r="6971" spans="1:6" x14ac:dyDescent="0.25">
      <c r="A6971">
        <v>9857</v>
      </c>
      <c r="B6971" s="15">
        <v>45268</v>
      </c>
      <c r="C6971" s="110"/>
      <c r="D6971" s="110"/>
      <c r="E6971" s="3"/>
      <c r="F6971">
        <v>1371</v>
      </c>
    </row>
    <row r="6972" spans="1:6" x14ac:dyDescent="0.25">
      <c r="A6972">
        <v>9857</v>
      </c>
      <c r="B6972" s="15">
        <v>45269</v>
      </c>
      <c r="C6972" s="133"/>
      <c r="D6972" s="133"/>
      <c r="E6972" s="3"/>
      <c r="F6972">
        <v>1372</v>
      </c>
    </row>
    <row r="6973" spans="1:6" x14ac:dyDescent="0.25">
      <c r="A6973">
        <v>9857</v>
      </c>
      <c r="B6973" s="15">
        <v>45270</v>
      </c>
      <c r="C6973" s="133"/>
      <c r="D6973" s="133"/>
      <c r="E6973" s="3"/>
      <c r="F6973">
        <v>1373</v>
      </c>
    </row>
    <row r="6974" spans="1:6" x14ac:dyDescent="0.25">
      <c r="A6974">
        <v>9857</v>
      </c>
      <c r="B6974" s="15">
        <v>45271</v>
      </c>
      <c r="C6974" s="105">
        <v>0.375</v>
      </c>
      <c r="D6974" s="110"/>
      <c r="E6974" s="3"/>
      <c r="F6974">
        <v>1374</v>
      </c>
    </row>
    <row r="6975" spans="1:6" x14ac:dyDescent="0.25">
      <c r="A6975">
        <v>9857</v>
      </c>
      <c r="B6975" s="15">
        <v>45272</v>
      </c>
      <c r="C6975" s="110"/>
      <c r="D6975" s="110"/>
      <c r="E6975" s="3"/>
      <c r="F6975">
        <v>1375</v>
      </c>
    </row>
    <row r="6976" spans="1:6" x14ac:dyDescent="0.25">
      <c r="A6976">
        <v>9857</v>
      </c>
      <c r="B6976" s="15">
        <v>45273</v>
      </c>
      <c r="C6976" s="104" t="s">
        <v>2</v>
      </c>
      <c r="D6976" s="104" t="s">
        <v>2</v>
      </c>
      <c r="E6976" s="3"/>
      <c r="F6976">
        <v>1376</v>
      </c>
    </row>
    <row r="6977" spans="1:6" x14ac:dyDescent="0.25">
      <c r="A6977">
        <v>9857</v>
      </c>
      <c r="B6977" s="15">
        <v>45274</v>
      </c>
      <c r="C6977" s="110"/>
      <c r="D6977" s="110"/>
      <c r="E6977" s="3"/>
      <c r="F6977">
        <v>1377</v>
      </c>
    </row>
    <row r="6978" spans="1:6" x14ac:dyDescent="0.25">
      <c r="A6978">
        <v>9857</v>
      </c>
      <c r="B6978" s="15">
        <v>45275</v>
      </c>
      <c r="C6978" s="110"/>
      <c r="D6978" s="110"/>
      <c r="E6978" s="3"/>
      <c r="F6978">
        <v>1378</v>
      </c>
    </row>
    <row r="6979" spans="1:6" x14ac:dyDescent="0.25">
      <c r="A6979">
        <v>9857</v>
      </c>
      <c r="B6979" s="15">
        <v>45276</v>
      </c>
      <c r="C6979" s="133"/>
      <c r="D6979" s="133"/>
      <c r="E6979" s="3"/>
      <c r="F6979">
        <v>1379</v>
      </c>
    </row>
    <row r="6980" spans="1:6" x14ac:dyDescent="0.25">
      <c r="A6980">
        <v>9857</v>
      </c>
      <c r="B6980" s="15">
        <v>45277</v>
      </c>
      <c r="C6980" s="133"/>
      <c r="D6980" s="133"/>
      <c r="E6980" s="3"/>
      <c r="F6980">
        <v>1380</v>
      </c>
    </row>
    <row r="6981" spans="1:6" x14ac:dyDescent="0.25">
      <c r="A6981">
        <v>9857</v>
      </c>
      <c r="B6981" s="15">
        <v>45278</v>
      </c>
      <c r="C6981" s="110"/>
      <c r="D6981" s="110"/>
      <c r="E6981" s="3"/>
      <c r="F6981">
        <v>1381</v>
      </c>
    </row>
    <row r="6982" spans="1:6" x14ac:dyDescent="0.25">
      <c r="A6982">
        <v>9857</v>
      </c>
      <c r="B6982" s="15">
        <v>45279</v>
      </c>
      <c r="C6982" s="110"/>
      <c r="D6982" s="110"/>
      <c r="E6982" s="3"/>
      <c r="F6982">
        <v>1382</v>
      </c>
    </row>
    <row r="6983" spans="1:6" x14ac:dyDescent="0.25">
      <c r="A6983">
        <v>9857</v>
      </c>
      <c r="B6983" s="15">
        <v>45280</v>
      </c>
      <c r="C6983" s="104" t="s">
        <v>2</v>
      </c>
      <c r="D6983" s="104" t="s">
        <v>2</v>
      </c>
      <c r="E6983" s="3"/>
      <c r="F6983">
        <v>1383</v>
      </c>
    </row>
    <row r="6984" spans="1:6" x14ac:dyDescent="0.25">
      <c r="A6984">
        <v>9857</v>
      </c>
      <c r="B6984" s="15">
        <v>45281</v>
      </c>
      <c r="C6984" s="110"/>
      <c r="D6984" s="110"/>
      <c r="E6984" s="3"/>
      <c r="F6984">
        <v>1384</v>
      </c>
    </row>
    <row r="6985" spans="1:6" x14ac:dyDescent="0.25">
      <c r="A6985">
        <v>9857</v>
      </c>
      <c r="B6985" s="15">
        <v>45282</v>
      </c>
      <c r="C6985" s="110"/>
      <c r="D6985" s="110"/>
      <c r="E6985" s="3"/>
      <c r="F6985">
        <v>1385</v>
      </c>
    </row>
    <row r="6986" spans="1:6" x14ac:dyDescent="0.25">
      <c r="A6986">
        <v>9857</v>
      </c>
      <c r="B6986" s="15">
        <v>45283</v>
      </c>
      <c r="C6986" s="133"/>
      <c r="D6986" s="133"/>
      <c r="E6986" s="3"/>
      <c r="F6986">
        <v>1386</v>
      </c>
    </row>
    <row r="6987" spans="1:6" x14ac:dyDescent="0.25">
      <c r="A6987">
        <v>9857</v>
      </c>
      <c r="B6987" s="15">
        <v>45284</v>
      </c>
      <c r="C6987" s="133"/>
      <c r="D6987" s="133"/>
      <c r="E6987" s="3"/>
      <c r="F6987">
        <v>1387</v>
      </c>
    </row>
    <row r="6988" spans="1:6" x14ac:dyDescent="0.25">
      <c r="A6988">
        <v>9857</v>
      </c>
      <c r="B6988" s="15">
        <v>45285</v>
      </c>
      <c r="C6988" s="133"/>
      <c r="D6988" s="133"/>
      <c r="E6988" s="3"/>
      <c r="F6988">
        <v>1388</v>
      </c>
    </row>
    <row r="6989" spans="1:6" x14ac:dyDescent="0.25">
      <c r="A6989">
        <v>9857</v>
      </c>
      <c r="B6989" s="15">
        <v>45286</v>
      </c>
      <c r="C6989" s="104" t="s">
        <v>2</v>
      </c>
      <c r="D6989" s="104" t="s">
        <v>2</v>
      </c>
      <c r="E6989" s="3"/>
      <c r="F6989">
        <v>1389</v>
      </c>
    </row>
    <row r="6990" spans="1:6" x14ac:dyDescent="0.25">
      <c r="A6990">
        <v>9857</v>
      </c>
      <c r="B6990" s="15">
        <v>45287</v>
      </c>
      <c r="C6990" s="104" t="s">
        <v>2</v>
      </c>
      <c r="D6990" s="104" t="s">
        <v>2</v>
      </c>
      <c r="E6990" s="3"/>
      <c r="F6990">
        <v>1390</v>
      </c>
    </row>
    <row r="6991" spans="1:6" x14ac:dyDescent="0.25">
      <c r="A6991">
        <v>9857</v>
      </c>
      <c r="B6991" s="15">
        <v>45288</v>
      </c>
      <c r="C6991" s="104" t="s">
        <v>2</v>
      </c>
      <c r="D6991" s="104" t="s">
        <v>2</v>
      </c>
      <c r="E6991" s="3"/>
      <c r="F6991">
        <v>1391</v>
      </c>
    </row>
    <row r="6992" spans="1:6" x14ac:dyDescent="0.25">
      <c r="A6992">
        <v>9857</v>
      </c>
      <c r="B6992" s="15">
        <v>45289</v>
      </c>
      <c r="C6992" s="104" t="s">
        <v>2</v>
      </c>
      <c r="D6992" s="104" t="s">
        <v>2</v>
      </c>
      <c r="E6992" s="3"/>
      <c r="F6992">
        <v>1392</v>
      </c>
    </row>
    <row r="6993" spans="1:6" x14ac:dyDescent="0.25">
      <c r="A6993">
        <v>9857</v>
      </c>
      <c r="B6993" s="15">
        <v>45290</v>
      </c>
      <c r="C6993" s="133"/>
      <c r="D6993" s="133"/>
      <c r="E6993" s="3"/>
      <c r="F6993">
        <v>1393</v>
      </c>
    </row>
    <row r="6994" spans="1:6" x14ac:dyDescent="0.25">
      <c r="A6994">
        <v>9857</v>
      </c>
      <c r="B6994" s="15">
        <v>45291</v>
      </c>
      <c r="C6994" s="133"/>
      <c r="D6994" s="133"/>
      <c r="E6994" s="3"/>
      <c r="F6994">
        <v>1394</v>
      </c>
    </row>
    <row r="6995" spans="1:6" x14ac:dyDescent="0.25">
      <c r="A6995">
        <v>9857</v>
      </c>
      <c r="B6995" s="15">
        <v>45292</v>
      </c>
      <c r="C6995" s="133"/>
      <c r="D6995" s="133"/>
      <c r="E6995" s="3"/>
      <c r="F6995">
        <v>1395</v>
      </c>
    </row>
    <row r="6996" spans="1:6" x14ac:dyDescent="0.25">
      <c r="A6996">
        <v>9857</v>
      </c>
      <c r="B6996" s="15">
        <v>45293</v>
      </c>
      <c r="C6996" s="110"/>
      <c r="D6996" s="110"/>
      <c r="E6996" s="3"/>
      <c r="F6996">
        <v>1396</v>
      </c>
    </row>
    <row r="6997" spans="1:6" x14ac:dyDescent="0.25">
      <c r="A6997">
        <v>9857</v>
      </c>
      <c r="B6997" s="15">
        <v>45294</v>
      </c>
      <c r="C6997" s="110"/>
      <c r="D6997" s="110"/>
      <c r="E6997" s="3"/>
      <c r="F6997">
        <v>1397</v>
      </c>
    </row>
    <row r="6998" spans="1:6" x14ac:dyDescent="0.25">
      <c r="A6998">
        <v>9857</v>
      </c>
      <c r="B6998" s="15">
        <v>45295</v>
      </c>
      <c r="C6998" s="110"/>
      <c r="D6998" s="110"/>
      <c r="E6998" s="3"/>
      <c r="F6998">
        <v>1398</v>
      </c>
    </row>
    <row r="6999" spans="1:6" x14ac:dyDescent="0.25">
      <c r="A6999">
        <v>9857</v>
      </c>
      <c r="B6999" s="15">
        <v>45296</v>
      </c>
      <c r="C6999" s="110"/>
      <c r="D6999" s="110"/>
      <c r="E6999" s="3"/>
      <c r="F6999">
        <v>1399</v>
      </c>
    </row>
    <row r="7000" spans="1:6" x14ac:dyDescent="0.25">
      <c r="A7000">
        <v>9857</v>
      </c>
      <c r="B7000" s="15">
        <v>45297</v>
      </c>
      <c r="C7000" s="133"/>
      <c r="D7000" s="133"/>
      <c r="E7000" s="3"/>
      <c r="F7000">
        <v>1400</v>
      </c>
    </row>
    <row r="7001" spans="1:6" x14ac:dyDescent="0.25">
      <c r="A7001">
        <v>9857</v>
      </c>
      <c r="B7001" s="15">
        <v>45298</v>
      </c>
      <c r="C7001" s="133"/>
      <c r="D7001" s="133"/>
      <c r="E7001" s="3"/>
      <c r="F7001">
        <v>1401</v>
      </c>
    </row>
    <row r="7002" spans="1:6" x14ac:dyDescent="0.25">
      <c r="A7002">
        <v>9857</v>
      </c>
      <c r="B7002" s="15">
        <v>45299</v>
      </c>
      <c r="C7002" s="110"/>
      <c r="D7002" s="110"/>
      <c r="E7002" s="3"/>
      <c r="F7002">
        <v>1402</v>
      </c>
    </row>
    <row r="7003" spans="1:6" x14ac:dyDescent="0.25">
      <c r="A7003">
        <v>9857</v>
      </c>
      <c r="B7003" s="15">
        <v>45300</v>
      </c>
      <c r="C7003" s="110"/>
      <c r="D7003" s="110"/>
      <c r="E7003" s="3"/>
      <c r="F7003">
        <v>1403</v>
      </c>
    </row>
    <row r="7004" spans="1:6" x14ac:dyDescent="0.25">
      <c r="A7004">
        <v>9857</v>
      </c>
      <c r="B7004" s="15">
        <v>45301</v>
      </c>
      <c r="C7004" s="104" t="s">
        <v>2</v>
      </c>
      <c r="D7004" s="104" t="s">
        <v>2</v>
      </c>
      <c r="E7004" s="3"/>
      <c r="F7004">
        <v>1404</v>
      </c>
    </row>
    <row r="7005" spans="1:6" x14ac:dyDescent="0.25">
      <c r="A7005">
        <v>9857</v>
      </c>
      <c r="B7005" s="15">
        <v>45302</v>
      </c>
      <c r="C7005" s="110"/>
      <c r="D7005" s="110"/>
      <c r="E7005" s="3"/>
      <c r="F7005">
        <v>1405</v>
      </c>
    </row>
    <row r="7006" spans="1:6" x14ac:dyDescent="0.25">
      <c r="A7006">
        <v>9857</v>
      </c>
      <c r="B7006" s="15">
        <v>45303</v>
      </c>
      <c r="C7006" s="110"/>
      <c r="D7006" s="110"/>
      <c r="E7006" s="3"/>
      <c r="F7006">
        <v>1406</v>
      </c>
    </row>
    <row r="7007" spans="1:6" x14ac:dyDescent="0.25">
      <c r="A7007">
        <v>9857</v>
      </c>
      <c r="B7007" s="15">
        <v>45304</v>
      </c>
      <c r="C7007" s="133"/>
      <c r="D7007" s="133"/>
      <c r="E7007" s="3"/>
      <c r="F7007">
        <v>1407</v>
      </c>
    </row>
    <row r="7008" spans="1:6" x14ac:dyDescent="0.25">
      <c r="A7008">
        <v>9857</v>
      </c>
      <c r="B7008" s="15">
        <v>45305</v>
      </c>
      <c r="C7008" s="133"/>
      <c r="D7008" s="133"/>
      <c r="E7008" s="3"/>
      <c r="F7008">
        <v>1408</v>
      </c>
    </row>
    <row r="7009" spans="1:6" x14ac:dyDescent="0.25">
      <c r="A7009">
        <v>9857</v>
      </c>
      <c r="B7009" s="15">
        <v>45306</v>
      </c>
      <c r="C7009" s="110"/>
      <c r="D7009" s="110"/>
      <c r="E7009" s="3"/>
      <c r="F7009">
        <v>1409</v>
      </c>
    </row>
    <row r="7010" spans="1:6" x14ac:dyDescent="0.25">
      <c r="A7010">
        <v>9857</v>
      </c>
      <c r="B7010" s="15">
        <v>45307</v>
      </c>
      <c r="C7010" s="110"/>
      <c r="D7010" s="110"/>
      <c r="E7010" s="3"/>
      <c r="F7010">
        <v>1410</v>
      </c>
    </row>
    <row r="7011" spans="1:6" x14ac:dyDescent="0.25">
      <c r="A7011">
        <v>9857</v>
      </c>
      <c r="B7011" s="15">
        <v>45308</v>
      </c>
      <c r="C7011" s="104" t="s">
        <v>2</v>
      </c>
      <c r="D7011" s="104" t="s">
        <v>2</v>
      </c>
      <c r="E7011" s="3"/>
      <c r="F7011">
        <v>1411</v>
      </c>
    </row>
    <row r="7012" spans="1:6" x14ac:dyDescent="0.25">
      <c r="A7012">
        <v>9857</v>
      </c>
      <c r="B7012" s="15">
        <v>45309</v>
      </c>
      <c r="C7012" s="110"/>
      <c r="D7012" s="110"/>
      <c r="E7012" s="3"/>
      <c r="F7012">
        <v>1412</v>
      </c>
    </row>
    <row r="7013" spans="1:6" x14ac:dyDescent="0.25">
      <c r="A7013">
        <v>9857</v>
      </c>
      <c r="B7013" s="15">
        <v>45310</v>
      </c>
      <c r="C7013" s="110"/>
      <c r="D7013" s="110"/>
      <c r="E7013" s="3"/>
      <c r="F7013">
        <v>1413</v>
      </c>
    </row>
    <row r="7014" spans="1:6" x14ac:dyDescent="0.25">
      <c r="A7014">
        <v>9857</v>
      </c>
      <c r="B7014" s="15">
        <v>45311</v>
      </c>
      <c r="C7014" s="133"/>
      <c r="D7014" s="133"/>
      <c r="E7014" s="3"/>
      <c r="F7014">
        <v>1414</v>
      </c>
    </row>
    <row r="7015" spans="1:6" x14ac:dyDescent="0.25">
      <c r="A7015">
        <v>9857</v>
      </c>
      <c r="B7015" s="15">
        <v>45312</v>
      </c>
      <c r="C7015" s="133"/>
      <c r="D7015" s="133"/>
      <c r="E7015" s="3"/>
      <c r="F7015">
        <v>1415</v>
      </c>
    </row>
    <row r="7016" spans="1:6" x14ac:dyDescent="0.25">
      <c r="A7016">
        <v>9857</v>
      </c>
      <c r="B7016" s="15">
        <v>45313</v>
      </c>
      <c r="C7016" s="110"/>
      <c r="D7016" s="110"/>
      <c r="E7016" s="3"/>
      <c r="F7016">
        <v>1416</v>
      </c>
    </row>
    <row r="7017" spans="1:6" x14ac:dyDescent="0.25">
      <c r="A7017">
        <v>9857</v>
      </c>
      <c r="B7017" s="15">
        <v>45314</v>
      </c>
      <c r="C7017" s="127"/>
      <c r="D7017" s="127"/>
      <c r="E7017" s="3"/>
      <c r="F7017">
        <v>1417</v>
      </c>
    </row>
    <row r="7018" spans="1:6" x14ac:dyDescent="0.25">
      <c r="A7018">
        <v>9857</v>
      </c>
      <c r="B7018" s="15">
        <v>45315</v>
      </c>
      <c r="C7018" s="104" t="s">
        <v>2</v>
      </c>
      <c r="D7018" s="104" t="s">
        <v>2</v>
      </c>
      <c r="E7018" s="3"/>
      <c r="F7018">
        <v>1418</v>
      </c>
    </row>
    <row r="7019" spans="1:6" x14ac:dyDescent="0.25">
      <c r="A7019">
        <v>9857</v>
      </c>
      <c r="B7019" s="15">
        <v>45316</v>
      </c>
      <c r="C7019" s="110"/>
      <c r="D7019" s="110"/>
      <c r="E7019" s="3"/>
      <c r="F7019">
        <v>1419</v>
      </c>
    </row>
    <row r="7020" spans="1:6" x14ac:dyDescent="0.25">
      <c r="A7020">
        <v>9857</v>
      </c>
      <c r="B7020" s="15">
        <v>45317</v>
      </c>
      <c r="C7020" s="110"/>
      <c r="D7020" s="110"/>
      <c r="E7020" s="3"/>
      <c r="F7020">
        <v>1420</v>
      </c>
    </row>
    <row r="7021" spans="1:6" x14ac:dyDescent="0.25">
      <c r="A7021">
        <v>9857</v>
      </c>
      <c r="B7021" s="15">
        <v>45318</v>
      </c>
      <c r="C7021" s="133"/>
      <c r="D7021" s="133"/>
      <c r="E7021" s="3"/>
      <c r="F7021">
        <v>1421</v>
      </c>
    </row>
    <row r="7022" spans="1:6" x14ac:dyDescent="0.25">
      <c r="A7022">
        <v>9857</v>
      </c>
      <c r="B7022" s="15">
        <v>45319</v>
      </c>
      <c r="C7022" s="133"/>
      <c r="D7022" s="133"/>
      <c r="E7022" s="3"/>
      <c r="F7022">
        <v>1422</v>
      </c>
    </row>
    <row r="7023" spans="1:6" x14ac:dyDescent="0.25">
      <c r="A7023">
        <v>9857</v>
      </c>
      <c r="B7023" s="15">
        <v>45320</v>
      </c>
      <c r="C7023" s="110"/>
      <c r="D7023" s="110"/>
      <c r="E7023" s="3"/>
      <c r="F7023">
        <v>1423</v>
      </c>
    </row>
    <row r="7024" spans="1:6" x14ac:dyDescent="0.25">
      <c r="A7024">
        <v>9857</v>
      </c>
      <c r="B7024" s="15">
        <v>45321</v>
      </c>
      <c r="C7024" s="110"/>
      <c r="D7024" s="110"/>
      <c r="E7024" s="3"/>
      <c r="F7024">
        <v>1424</v>
      </c>
    </row>
    <row r="7025" spans="1:6" x14ac:dyDescent="0.25">
      <c r="A7025">
        <v>9857</v>
      </c>
      <c r="B7025" s="15">
        <v>45322</v>
      </c>
      <c r="C7025" s="104" t="s">
        <v>2</v>
      </c>
      <c r="D7025" s="104" t="s">
        <v>2</v>
      </c>
      <c r="E7025" s="3"/>
      <c r="F7025">
        <v>1425</v>
      </c>
    </row>
    <row r="7026" spans="1:6" x14ac:dyDescent="0.25">
      <c r="A7026">
        <v>9857</v>
      </c>
      <c r="B7026" s="15">
        <v>45323</v>
      </c>
      <c r="C7026" s="110"/>
      <c r="D7026" s="110"/>
      <c r="E7026" s="3"/>
      <c r="F7026">
        <v>1426</v>
      </c>
    </row>
    <row r="7027" spans="1:6" x14ac:dyDescent="0.25">
      <c r="A7027">
        <v>9857</v>
      </c>
      <c r="B7027" s="15">
        <v>45324</v>
      </c>
      <c r="C7027" s="110"/>
      <c r="D7027" s="110"/>
      <c r="E7027" s="3"/>
      <c r="F7027">
        <v>1427</v>
      </c>
    </row>
    <row r="7028" spans="1:6" x14ac:dyDescent="0.25">
      <c r="A7028">
        <v>9857</v>
      </c>
      <c r="B7028" s="15">
        <v>45325</v>
      </c>
      <c r="C7028" s="133"/>
      <c r="D7028" s="133"/>
      <c r="E7028" s="3"/>
      <c r="F7028">
        <v>1428</v>
      </c>
    </row>
    <row r="7029" spans="1:6" x14ac:dyDescent="0.25">
      <c r="A7029">
        <v>9857</v>
      </c>
      <c r="B7029" s="15">
        <v>45326</v>
      </c>
      <c r="C7029" s="133"/>
      <c r="D7029" s="133"/>
      <c r="E7029" s="3"/>
      <c r="F7029">
        <v>1429</v>
      </c>
    </row>
    <row r="7030" spans="1:6" x14ac:dyDescent="0.25">
      <c r="A7030">
        <v>9857</v>
      </c>
      <c r="B7030" s="15">
        <v>45327</v>
      </c>
      <c r="C7030" s="110"/>
      <c r="D7030" s="110"/>
      <c r="E7030" s="3"/>
      <c r="F7030">
        <v>1430</v>
      </c>
    </row>
    <row r="7031" spans="1:6" x14ac:dyDescent="0.25">
      <c r="A7031">
        <v>9857</v>
      </c>
      <c r="B7031" s="15">
        <v>45328</v>
      </c>
      <c r="C7031" s="110"/>
      <c r="D7031" s="110"/>
      <c r="E7031" s="3"/>
      <c r="F7031">
        <v>1431</v>
      </c>
    </row>
    <row r="7032" spans="1:6" x14ac:dyDescent="0.25">
      <c r="A7032">
        <v>9857</v>
      </c>
      <c r="B7032" s="15">
        <v>45329</v>
      </c>
      <c r="C7032" s="104" t="s">
        <v>2</v>
      </c>
      <c r="D7032" s="104" t="s">
        <v>2</v>
      </c>
      <c r="E7032" s="3"/>
      <c r="F7032">
        <v>1432</v>
      </c>
    </row>
    <row r="7033" spans="1:6" x14ac:dyDescent="0.25">
      <c r="A7033">
        <v>9857</v>
      </c>
      <c r="B7033" s="15">
        <v>45330</v>
      </c>
      <c r="C7033" s="110"/>
      <c r="D7033" s="110"/>
      <c r="E7033" s="3"/>
      <c r="F7033">
        <v>1433</v>
      </c>
    </row>
    <row r="7034" spans="1:6" x14ac:dyDescent="0.25">
      <c r="A7034">
        <v>9857</v>
      </c>
      <c r="B7034" s="15">
        <v>45331</v>
      </c>
      <c r="C7034" s="110"/>
      <c r="D7034" s="110"/>
      <c r="E7034" s="3"/>
      <c r="F7034">
        <v>1434</v>
      </c>
    </row>
    <row r="7035" spans="1:6" x14ac:dyDescent="0.25">
      <c r="A7035">
        <v>9857</v>
      </c>
      <c r="B7035" s="15">
        <v>45332</v>
      </c>
      <c r="C7035" s="133"/>
      <c r="D7035" s="133"/>
      <c r="E7035" s="3"/>
      <c r="F7035">
        <v>1435</v>
      </c>
    </row>
    <row r="7036" spans="1:6" x14ac:dyDescent="0.25">
      <c r="A7036">
        <v>9857</v>
      </c>
      <c r="B7036" s="15">
        <v>45333</v>
      </c>
      <c r="C7036" s="133"/>
      <c r="D7036" s="133"/>
      <c r="E7036" s="3"/>
      <c r="F7036">
        <v>1436</v>
      </c>
    </row>
    <row r="7037" spans="1:6" x14ac:dyDescent="0.25">
      <c r="A7037">
        <v>9857</v>
      </c>
      <c r="B7037" s="15">
        <v>45334</v>
      </c>
      <c r="C7037" s="110"/>
      <c r="D7037" s="110"/>
      <c r="E7037" s="3"/>
      <c r="F7037">
        <v>1437</v>
      </c>
    </row>
    <row r="7038" spans="1:6" x14ac:dyDescent="0.25">
      <c r="A7038">
        <v>9857</v>
      </c>
      <c r="B7038" s="15">
        <v>45335</v>
      </c>
      <c r="C7038" s="110"/>
      <c r="D7038" s="110"/>
      <c r="E7038" s="3"/>
      <c r="F7038">
        <v>1438</v>
      </c>
    </row>
    <row r="7039" spans="1:6" x14ac:dyDescent="0.25">
      <c r="A7039">
        <v>9857</v>
      </c>
      <c r="B7039" s="15">
        <v>45336</v>
      </c>
      <c r="C7039" s="104" t="s">
        <v>2</v>
      </c>
      <c r="D7039" s="104" t="s">
        <v>2</v>
      </c>
      <c r="E7039" s="3"/>
      <c r="F7039">
        <v>1439</v>
      </c>
    </row>
    <row r="7040" spans="1:6" x14ac:dyDescent="0.25">
      <c r="A7040">
        <v>9857</v>
      </c>
      <c r="B7040" s="15">
        <v>45337</v>
      </c>
      <c r="C7040" s="110"/>
      <c r="D7040" s="110"/>
      <c r="E7040" s="3"/>
      <c r="F7040">
        <v>1440</v>
      </c>
    </row>
    <row r="7041" spans="1:6" x14ac:dyDescent="0.25">
      <c r="A7041">
        <v>9857</v>
      </c>
      <c r="B7041" s="15">
        <v>45338</v>
      </c>
      <c r="C7041" s="110"/>
      <c r="D7041" s="110"/>
      <c r="E7041" s="3"/>
      <c r="F7041">
        <v>1441</v>
      </c>
    </row>
    <row r="7042" spans="1:6" x14ac:dyDescent="0.25">
      <c r="A7042">
        <v>9857</v>
      </c>
      <c r="B7042" s="15">
        <v>45339</v>
      </c>
      <c r="C7042" s="133"/>
      <c r="D7042" s="133"/>
      <c r="E7042" s="3"/>
      <c r="F7042">
        <v>1442</v>
      </c>
    </row>
    <row r="7043" spans="1:6" x14ac:dyDescent="0.25">
      <c r="A7043">
        <v>9857</v>
      </c>
      <c r="B7043" s="15">
        <v>45340</v>
      </c>
      <c r="C7043" s="133"/>
      <c r="D7043" s="133"/>
      <c r="E7043" s="3"/>
      <c r="F7043">
        <v>1443</v>
      </c>
    </row>
    <row r="7044" spans="1:6" x14ac:dyDescent="0.25">
      <c r="A7044">
        <v>9857</v>
      </c>
      <c r="B7044" s="15">
        <v>45341</v>
      </c>
      <c r="C7044" s="110"/>
      <c r="D7044" s="110"/>
      <c r="E7044" s="3"/>
      <c r="F7044">
        <v>1444</v>
      </c>
    </row>
    <row r="7045" spans="1:6" x14ac:dyDescent="0.25">
      <c r="A7045">
        <v>9857</v>
      </c>
      <c r="B7045" s="15">
        <v>45342</v>
      </c>
      <c r="C7045" s="127"/>
      <c r="D7045" s="127"/>
      <c r="E7045" s="3"/>
      <c r="F7045">
        <v>1445</v>
      </c>
    </row>
    <row r="7046" spans="1:6" x14ac:dyDescent="0.25">
      <c r="A7046">
        <v>9857</v>
      </c>
      <c r="B7046" s="15">
        <v>45343</v>
      </c>
      <c r="C7046" s="127"/>
      <c r="D7046" s="127"/>
      <c r="E7046" s="3"/>
      <c r="F7046">
        <v>1446</v>
      </c>
    </row>
    <row r="7047" spans="1:6" x14ac:dyDescent="0.25">
      <c r="A7047">
        <v>9857</v>
      </c>
      <c r="B7047" s="15">
        <v>45344</v>
      </c>
      <c r="C7047" s="110"/>
      <c r="D7047" s="110"/>
      <c r="E7047" s="3"/>
      <c r="F7047">
        <v>1447</v>
      </c>
    </row>
    <row r="7048" spans="1:6" x14ac:dyDescent="0.25">
      <c r="A7048">
        <v>9857</v>
      </c>
      <c r="B7048" s="15">
        <v>45345</v>
      </c>
      <c r="C7048" s="104" t="s">
        <v>2</v>
      </c>
      <c r="D7048" s="104" t="s">
        <v>2</v>
      </c>
      <c r="E7048" s="3"/>
      <c r="F7048">
        <v>1448</v>
      </c>
    </row>
    <row r="7049" spans="1:6" x14ac:dyDescent="0.25">
      <c r="A7049">
        <v>9857</v>
      </c>
      <c r="B7049" s="15">
        <v>45346</v>
      </c>
      <c r="C7049" s="133"/>
      <c r="D7049" s="133"/>
      <c r="E7049" s="3"/>
      <c r="F7049">
        <v>1449</v>
      </c>
    </row>
    <row r="7050" spans="1:6" x14ac:dyDescent="0.25">
      <c r="A7050">
        <v>9857</v>
      </c>
      <c r="B7050" s="15">
        <v>45347</v>
      </c>
      <c r="C7050" s="133"/>
      <c r="D7050" s="133"/>
      <c r="E7050" s="3"/>
      <c r="F7050">
        <v>1450</v>
      </c>
    </row>
    <row r="7051" spans="1:6" x14ac:dyDescent="0.25">
      <c r="A7051">
        <v>9857</v>
      </c>
      <c r="B7051" s="15">
        <v>45348</v>
      </c>
      <c r="C7051" s="104" t="s">
        <v>2</v>
      </c>
      <c r="D7051" s="104" t="s">
        <v>2</v>
      </c>
      <c r="E7051" s="3"/>
      <c r="F7051">
        <v>1451</v>
      </c>
    </row>
    <row r="7052" spans="1:6" x14ac:dyDescent="0.25">
      <c r="A7052">
        <v>9857</v>
      </c>
      <c r="B7052" s="15">
        <v>45349</v>
      </c>
      <c r="C7052" s="104" t="s">
        <v>2</v>
      </c>
      <c r="D7052" s="104" t="s">
        <v>2</v>
      </c>
      <c r="E7052" s="3"/>
      <c r="F7052">
        <v>1452</v>
      </c>
    </row>
    <row r="7053" spans="1:6" x14ac:dyDescent="0.25">
      <c r="A7053">
        <v>9857</v>
      </c>
      <c r="B7053" s="15">
        <v>45350</v>
      </c>
      <c r="C7053" s="104" t="s">
        <v>2</v>
      </c>
      <c r="D7053" s="104" t="s">
        <v>2</v>
      </c>
      <c r="E7053" s="3"/>
      <c r="F7053">
        <v>1453</v>
      </c>
    </row>
    <row r="7054" spans="1:6" x14ac:dyDescent="0.25">
      <c r="A7054">
        <v>9857</v>
      </c>
      <c r="B7054" s="15">
        <v>45351</v>
      </c>
      <c r="C7054" s="104" t="s">
        <v>2</v>
      </c>
      <c r="D7054" s="104" t="s">
        <v>2</v>
      </c>
      <c r="E7054" s="3"/>
      <c r="F7054">
        <v>1454</v>
      </c>
    </row>
    <row r="7055" spans="1:6" x14ac:dyDescent="0.25">
      <c r="A7055">
        <v>9857</v>
      </c>
      <c r="B7055" s="15">
        <v>45352</v>
      </c>
      <c r="C7055" s="104" t="s">
        <v>2</v>
      </c>
      <c r="D7055" s="104" t="s">
        <v>2</v>
      </c>
      <c r="E7055" s="3"/>
      <c r="F7055">
        <v>1455</v>
      </c>
    </row>
    <row r="7056" spans="1:6" x14ac:dyDescent="0.25">
      <c r="A7056">
        <v>9857</v>
      </c>
      <c r="B7056" s="15">
        <v>45353</v>
      </c>
      <c r="C7056" s="133"/>
      <c r="D7056" s="133"/>
      <c r="E7056" s="3"/>
      <c r="F7056">
        <v>1456</v>
      </c>
    </row>
    <row r="7057" spans="1:6" x14ac:dyDescent="0.25">
      <c r="A7057">
        <v>9857</v>
      </c>
      <c r="B7057" s="15">
        <v>45354</v>
      </c>
      <c r="C7057" s="133"/>
      <c r="D7057" s="133"/>
      <c r="E7057" s="3"/>
      <c r="F7057">
        <v>1457</v>
      </c>
    </row>
    <row r="7058" spans="1:6" x14ac:dyDescent="0.25">
      <c r="A7058">
        <v>9857</v>
      </c>
      <c r="B7058" s="15">
        <v>45355</v>
      </c>
      <c r="C7058" s="110"/>
      <c r="D7058" s="110" t="s">
        <v>312</v>
      </c>
      <c r="E7058" s="3"/>
      <c r="F7058">
        <v>1458</v>
      </c>
    </row>
    <row r="7059" spans="1:6" x14ac:dyDescent="0.25">
      <c r="A7059">
        <v>9857</v>
      </c>
      <c r="B7059" s="15">
        <v>45356</v>
      </c>
      <c r="C7059" s="110"/>
      <c r="D7059" s="110"/>
      <c r="E7059" s="3"/>
      <c r="F7059">
        <v>1459</v>
      </c>
    </row>
    <row r="7060" spans="1:6" x14ac:dyDescent="0.25">
      <c r="A7060">
        <v>9857</v>
      </c>
      <c r="B7060" s="15">
        <v>45357</v>
      </c>
      <c r="C7060" s="110"/>
      <c r="D7060" s="110"/>
      <c r="E7060" s="3"/>
      <c r="F7060">
        <v>1460</v>
      </c>
    </row>
    <row r="7061" spans="1:6" x14ac:dyDescent="0.25">
      <c r="A7061">
        <v>9857</v>
      </c>
      <c r="B7061" s="15">
        <v>45358</v>
      </c>
      <c r="C7061" s="110"/>
      <c r="D7061" s="110"/>
      <c r="E7061" s="3"/>
      <c r="F7061">
        <v>1461</v>
      </c>
    </row>
    <row r="7062" spans="1:6" x14ac:dyDescent="0.25">
      <c r="A7062">
        <v>9857</v>
      </c>
      <c r="B7062" s="15">
        <v>45359</v>
      </c>
      <c r="C7062" s="110"/>
      <c r="D7062" s="110"/>
      <c r="E7062" s="3"/>
      <c r="F7062">
        <v>1462</v>
      </c>
    </row>
    <row r="7063" spans="1:6" x14ac:dyDescent="0.25">
      <c r="A7063">
        <v>9857</v>
      </c>
      <c r="B7063" s="15">
        <v>45360</v>
      </c>
      <c r="C7063" s="133"/>
      <c r="D7063" s="133"/>
      <c r="E7063" s="3"/>
      <c r="F7063">
        <v>1463</v>
      </c>
    </row>
    <row r="7064" spans="1:6" x14ac:dyDescent="0.25">
      <c r="A7064">
        <v>9857</v>
      </c>
      <c r="B7064" s="15">
        <v>45361</v>
      </c>
      <c r="C7064" s="133"/>
      <c r="D7064" s="133"/>
      <c r="E7064" s="3"/>
      <c r="F7064">
        <v>1464</v>
      </c>
    </row>
    <row r="7065" spans="1:6" x14ac:dyDescent="0.25">
      <c r="A7065">
        <v>9857</v>
      </c>
      <c r="B7065" s="15">
        <v>45362</v>
      </c>
      <c r="C7065" s="110"/>
      <c r="D7065" s="110"/>
      <c r="E7065" s="3"/>
      <c r="F7065">
        <v>1465</v>
      </c>
    </row>
    <row r="7066" spans="1:6" x14ac:dyDescent="0.25">
      <c r="A7066">
        <v>9857</v>
      </c>
      <c r="B7066" s="15">
        <v>45363</v>
      </c>
      <c r="C7066" s="110"/>
      <c r="D7066" s="110"/>
      <c r="E7066" s="3"/>
      <c r="F7066">
        <v>1466</v>
      </c>
    </row>
    <row r="7067" spans="1:6" x14ac:dyDescent="0.25">
      <c r="A7067">
        <v>9857</v>
      </c>
      <c r="B7067" s="15">
        <v>45364</v>
      </c>
      <c r="C7067" s="104" t="s">
        <v>2</v>
      </c>
      <c r="D7067" s="104" t="s">
        <v>2</v>
      </c>
      <c r="E7067" s="3"/>
      <c r="F7067">
        <v>1467</v>
      </c>
    </row>
    <row r="7068" spans="1:6" x14ac:dyDescent="0.25">
      <c r="A7068">
        <v>9857</v>
      </c>
      <c r="B7068" s="15">
        <v>45365</v>
      </c>
      <c r="C7068" s="110"/>
      <c r="D7068" s="110"/>
      <c r="E7068" s="3"/>
      <c r="F7068">
        <v>1468</v>
      </c>
    </row>
    <row r="7069" spans="1:6" x14ac:dyDescent="0.25">
      <c r="A7069">
        <v>9857</v>
      </c>
      <c r="B7069" s="15">
        <v>45366</v>
      </c>
      <c r="C7069" s="110"/>
      <c r="D7069" s="110"/>
      <c r="E7069" s="3"/>
      <c r="F7069">
        <v>1469</v>
      </c>
    </row>
    <row r="7070" spans="1:6" x14ac:dyDescent="0.25">
      <c r="A7070">
        <v>9857</v>
      </c>
      <c r="B7070" s="15">
        <v>45367</v>
      </c>
      <c r="C7070" s="133"/>
      <c r="D7070" s="133"/>
      <c r="E7070" s="3"/>
      <c r="F7070">
        <v>1470</v>
      </c>
    </row>
    <row r="7071" spans="1:6" x14ac:dyDescent="0.25">
      <c r="A7071">
        <v>9857</v>
      </c>
      <c r="B7071" s="15">
        <v>45368</v>
      </c>
      <c r="C7071" s="133"/>
      <c r="D7071" s="133"/>
      <c r="E7071" s="3"/>
      <c r="F7071">
        <v>1471</v>
      </c>
    </row>
    <row r="7072" spans="1:6" x14ac:dyDescent="0.25">
      <c r="A7072">
        <v>9857</v>
      </c>
      <c r="B7072" s="15">
        <v>45369</v>
      </c>
      <c r="C7072" s="127"/>
      <c r="D7072" s="127"/>
      <c r="E7072" s="3"/>
      <c r="F7072">
        <v>1472</v>
      </c>
    </row>
    <row r="7073" spans="1:6" x14ac:dyDescent="0.25">
      <c r="A7073">
        <v>9857</v>
      </c>
      <c r="B7073" s="15">
        <v>45370</v>
      </c>
      <c r="C7073" s="127"/>
      <c r="D7073" s="127"/>
      <c r="E7073" s="3"/>
      <c r="F7073">
        <v>1473</v>
      </c>
    </row>
    <row r="7074" spans="1:6" x14ac:dyDescent="0.25">
      <c r="A7074">
        <v>9857</v>
      </c>
      <c r="B7074" s="15">
        <v>45371</v>
      </c>
      <c r="C7074" s="104" t="s">
        <v>2</v>
      </c>
      <c r="D7074" s="104" t="s">
        <v>2</v>
      </c>
      <c r="E7074" s="3"/>
      <c r="F7074">
        <v>1474</v>
      </c>
    </row>
    <row r="7075" spans="1:6" x14ac:dyDescent="0.25">
      <c r="A7075">
        <v>9857</v>
      </c>
      <c r="B7075" s="15">
        <v>45372</v>
      </c>
      <c r="C7075" s="110"/>
      <c r="D7075" s="110"/>
      <c r="E7075" s="3"/>
      <c r="F7075">
        <v>1475</v>
      </c>
    </row>
    <row r="7076" spans="1:6" x14ac:dyDescent="0.25">
      <c r="A7076">
        <v>9857</v>
      </c>
      <c r="B7076" s="15">
        <v>45373</v>
      </c>
      <c r="C7076" s="110"/>
      <c r="D7076" s="110"/>
      <c r="E7076" s="3"/>
      <c r="F7076">
        <v>1476</v>
      </c>
    </row>
    <row r="7077" spans="1:6" x14ac:dyDescent="0.25">
      <c r="A7077">
        <v>9857</v>
      </c>
      <c r="B7077" s="15">
        <v>45374</v>
      </c>
      <c r="C7077" s="133"/>
      <c r="D7077" s="133"/>
      <c r="E7077" s="3"/>
      <c r="F7077">
        <v>1477</v>
      </c>
    </row>
    <row r="7078" spans="1:6" x14ac:dyDescent="0.25">
      <c r="A7078">
        <v>9857</v>
      </c>
      <c r="B7078" s="15">
        <v>45375</v>
      </c>
      <c r="C7078" s="133"/>
      <c r="D7078" s="133"/>
      <c r="E7078" s="3"/>
      <c r="F7078">
        <v>1478</v>
      </c>
    </row>
    <row r="7079" spans="1:6" x14ac:dyDescent="0.25">
      <c r="A7079">
        <v>9857</v>
      </c>
      <c r="B7079" s="15">
        <v>45376</v>
      </c>
      <c r="C7079" s="110"/>
      <c r="D7079" s="110"/>
      <c r="E7079" s="3"/>
      <c r="F7079">
        <v>1479</v>
      </c>
    </row>
    <row r="7080" spans="1:6" x14ac:dyDescent="0.25">
      <c r="A7080">
        <v>9857</v>
      </c>
      <c r="B7080" s="15">
        <v>45377</v>
      </c>
      <c r="C7080" s="110"/>
      <c r="D7080" s="110"/>
      <c r="E7080" s="3"/>
      <c r="F7080">
        <v>1480</v>
      </c>
    </row>
    <row r="7081" spans="1:6" x14ac:dyDescent="0.25">
      <c r="A7081">
        <v>9857</v>
      </c>
      <c r="B7081" s="15">
        <v>45378</v>
      </c>
      <c r="C7081" s="104" t="s">
        <v>2</v>
      </c>
      <c r="D7081" s="104" t="s">
        <v>2</v>
      </c>
      <c r="E7081" s="3"/>
      <c r="F7081">
        <v>1481</v>
      </c>
    </row>
    <row r="7082" spans="1:6" x14ac:dyDescent="0.25">
      <c r="A7082">
        <v>9857</v>
      </c>
      <c r="B7082" s="15">
        <v>45379</v>
      </c>
      <c r="C7082" s="110"/>
      <c r="D7082" s="110"/>
      <c r="E7082" s="3"/>
      <c r="F7082">
        <v>1482</v>
      </c>
    </row>
    <row r="7083" spans="1:6" x14ac:dyDescent="0.25">
      <c r="A7083">
        <v>9857</v>
      </c>
      <c r="B7083" s="15">
        <v>45380</v>
      </c>
      <c r="C7083" s="110"/>
      <c r="D7083" s="110"/>
      <c r="E7083" s="3"/>
      <c r="F7083">
        <v>1483</v>
      </c>
    </row>
    <row r="7084" spans="1:6" x14ac:dyDescent="0.25">
      <c r="A7084">
        <v>9857</v>
      </c>
      <c r="B7084" s="15">
        <v>45381</v>
      </c>
      <c r="C7084" s="133"/>
      <c r="D7084" s="133"/>
      <c r="E7084" s="3"/>
      <c r="F7084">
        <v>1484</v>
      </c>
    </row>
    <row r="7085" spans="1:6" x14ac:dyDescent="0.25">
      <c r="A7085">
        <v>9857</v>
      </c>
      <c r="B7085" s="15">
        <v>45382</v>
      </c>
      <c r="C7085" s="133"/>
      <c r="D7085" s="133"/>
      <c r="E7085" s="3"/>
      <c r="F7085">
        <v>1485</v>
      </c>
    </row>
    <row r="7086" spans="1:6" x14ac:dyDescent="0.25">
      <c r="A7086">
        <v>9857</v>
      </c>
      <c r="B7086" s="15">
        <v>45383</v>
      </c>
      <c r="C7086" s="133"/>
      <c r="D7086" s="133"/>
      <c r="E7086" s="3"/>
      <c r="F7086">
        <v>1486</v>
      </c>
    </row>
    <row r="7087" spans="1:6" x14ac:dyDescent="0.25">
      <c r="A7087">
        <v>9857</v>
      </c>
      <c r="B7087" s="15">
        <v>45384</v>
      </c>
      <c r="C7087" s="104" t="s">
        <v>2</v>
      </c>
      <c r="D7087" s="104" t="s">
        <v>2</v>
      </c>
      <c r="E7087" s="3"/>
      <c r="F7087">
        <v>1487</v>
      </c>
    </row>
    <row r="7088" spans="1:6" x14ac:dyDescent="0.25">
      <c r="A7088">
        <v>9857</v>
      </c>
      <c r="B7088" s="15">
        <v>45385</v>
      </c>
      <c r="C7088" s="104" t="s">
        <v>2</v>
      </c>
      <c r="D7088" s="104" t="s">
        <v>2</v>
      </c>
      <c r="E7088" s="3"/>
      <c r="F7088">
        <v>1488</v>
      </c>
    </row>
    <row r="7089" spans="1:6" x14ac:dyDescent="0.25">
      <c r="A7089">
        <v>9857</v>
      </c>
      <c r="B7089" s="15">
        <v>45386</v>
      </c>
      <c r="C7089" s="104" t="s">
        <v>2</v>
      </c>
      <c r="D7089" s="104" t="s">
        <v>2</v>
      </c>
      <c r="E7089" s="3"/>
      <c r="F7089">
        <v>1489</v>
      </c>
    </row>
    <row r="7090" spans="1:6" x14ac:dyDescent="0.25">
      <c r="A7090">
        <v>9857</v>
      </c>
      <c r="B7090" s="15">
        <v>45387</v>
      </c>
      <c r="C7090" s="104" t="s">
        <v>2</v>
      </c>
      <c r="D7090" s="104" t="s">
        <v>2</v>
      </c>
      <c r="E7090" s="3"/>
      <c r="F7090">
        <v>1490</v>
      </c>
    </row>
    <row r="7091" spans="1:6" x14ac:dyDescent="0.25">
      <c r="A7091">
        <v>9857</v>
      </c>
      <c r="B7091" s="15">
        <v>45388</v>
      </c>
      <c r="C7091" s="133"/>
      <c r="D7091" s="133"/>
      <c r="E7091" s="3"/>
      <c r="F7091">
        <v>1491</v>
      </c>
    </row>
    <row r="7092" spans="1:6" x14ac:dyDescent="0.25">
      <c r="A7092">
        <v>9857</v>
      </c>
      <c r="B7092" s="15">
        <v>45389</v>
      </c>
      <c r="C7092" s="133"/>
      <c r="D7092" s="133"/>
      <c r="E7092" s="3"/>
      <c r="F7092">
        <v>1492</v>
      </c>
    </row>
    <row r="7093" spans="1:6" x14ac:dyDescent="0.25">
      <c r="A7093">
        <v>9857</v>
      </c>
      <c r="B7093" s="15">
        <v>45390</v>
      </c>
      <c r="C7093" s="104" t="s">
        <v>2</v>
      </c>
      <c r="D7093" s="104" t="s">
        <v>2</v>
      </c>
      <c r="E7093" s="3"/>
      <c r="F7093">
        <v>1493</v>
      </c>
    </row>
    <row r="7094" spans="1:6" x14ac:dyDescent="0.25">
      <c r="A7094">
        <v>9857</v>
      </c>
      <c r="B7094" s="15">
        <v>45391</v>
      </c>
      <c r="C7094" s="110"/>
      <c r="D7094" s="110"/>
      <c r="E7094" s="3"/>
      <c r="F7094">
        <v>1494</v>
      </c>
    </row>
    <row r="7095" spans="1:6" x14ac:dyDescent="0.25">
      <c r="A7095">
        <v>9857</v>
      </c>
      <c r="B7095" s="15">
        <v>45392</v>
      </c>
      <c r="C7095" s="110"/>
      <c r="D7095" s="110"/>
      <c r="E7095" s="3"/>
      <c r="F7095">
        <v>1495</v>
      </c>
    </row>
    <row r="7096" spans="1:6" x14ac:dyDescent="0.25">
      <c r="A7096">
        <v>9857</v>
      </c>
      <c r="B7096" s="15">
        <v>45393</v>
      </c>
      <c r="C7096" s="110"/>
      <c r="D7096" s="110" t="s">
        <v>312</v>
      </c>
      <c r="E7096" s="3"/>
      <c r="F7096">
        <v>1496</v>
      </c>
    </row>
    <row r="7097" spans="1:6" x14ac:dyDescent="0.25">
      <c r="A7097">
        <v>9857</v>
      </c>
      <c r="B7097" s="15">
        <v>45394</v>
      </c>
      <c r="C7097" s="110"/>
      <c r="D7097" s="110"/>
      <c r="E7097" s="3"/>
      <c r="F7097">
        <v>1497</v>
      </c>
    </row>
    <row r="7098" spans="1:6" x14ac:dyDescent="0.25">
      <c r="A7098">
        <v>9857</v>
      </c>
      <c r="B7098" s="15">
        <v>45395</v>
      </c>
      <c r="C7098" s="133"/>
      <c r="D7098" s="133"/>
      <c r="E7098" s="3"/>
      <c r="F7098">
        <v>1498</v>
      </c>
    </row>
    <row r="7099" spans="1:6" x14ac:dyDescent="0.25">
      <c r="A7099">
        <v>9857</v>
      </c>
      <c r="B7099" s="15">
        <v>45396</v>
      </c>
      <c r="C7099" s="133"/>
      <c r="D7099" s="133"/>
      <c r="E7099" s="3"/>
      <c r="F7099">
        <v>1499</v>
      </c>
    </row>
    <row r="7100" spans="1:6" x14ac:dyDescent="0.25">
      <c r="A7100">
        <v>9857</v>
      </c>
      <c r="B7100" s="15">
        <v>45397</v>
      </c>
      <c r="C7100" s="110"/>
      <c r="D7100" s="110"/>
      <c r="E7100" s="3"/>
      <c r="F7100">
        <v>1500</v>
      </c>
    </row>
    <row r="7101" spans="1:6" x14ac:dyDescent="0.25">
      <c r="A7101">
        <v>9857</v>
      </c>
      <c r="B7101" s="15">
        <v>45398</v>
      </c>
      <c r="C7101" s="127"/>
      <c r="D7101" s="127"/>
      <c r="E7101" s="3"/>
      <c r="F7101">
        <v>1501</v>
      </c>
    </row>
    <row r="7102" spans="1:6" x14ac:dyDescent="0.25">
      <c r="A7102">
        <v>9857</v>
      </c>
      <c r="B7102" s="15">
        <v>45399</v>
      </c>
      <c r="C7102" s="104" t="s">
        <v>2</v>
      </c>
      <c r="D7102" s="104" t="s">
        <v>2</v>
      </c>
      <c r="E7102" s="3"/>
      <c r="F7102">
        <v>1502</v>
      </c>
    </row>
    <row r="7103" spans="1:6" x14ac:dyDescent="0.25">
      <c r="A7103">
        <v>9857</v>
      </c>
      <c r="B7103" s="15">
        <v>45400</v>
      </c>
      <c r="C7103" s="110"/>
      <c r="D7103" s="110" t="s">
        <v>312</v>
      </c>
      <c r="E7103" s="3"/>
      <c r="F7103">
        <v>1503</v>
      </c>
    </row>
    <row r="7104" spans="1:6" x14ac:dyDescent="0.25">
      <c r="A7104">
        <v>9857</v>
      </c>
      <c r="B7104" s="15">
        <v>45401</v>
      </c>
      <c r="C7104" s="110"/>
      <c r="D7104" s="110"/>
      <c r="E7104" s="3"/>
      <c r="F7104">
        <v>1504</v>
      </c>
    </row>
    <row r="7105" spans="1:6" x14ac:dyDescent="0.25">
      <c r="A7105">
        <v>9857</v>
      </c>
      <c r="B7105" s="15">
        <v>45402</v>
      </c>
      <c r="C7105" s="133"/>
      <c r="D7105" s="133"/>
      <c r="E7105" s="3"/>
      <c r="F7105">
        <v>1505</v>
      </c>
    </row>
    <row r="7106" spans="1:6" x14ac:dyDescent="0.25">
      <c r="A7106">
        <v>9857</v>
      </c>
      <c r="B7106" s="15">
        <v>45403</v>
      </c>
      <c r="C7106" s="133"/>
      <c r="D7106" s="133"/>
      <c r="E7106" s="3"/>
      <c r="F7106">
        <v>1506</v>
      </c>
    </row>
    <row r="7107" spans="1:6" x14ac:dyDescent="0.25">
      <c r="A7107">
        <v>9857</v>
      </c>
      <c r="B7107" s="15">
        <v>45404</v>
      </c>
      <c r="C7107" s="151">
        <v>0.375</v>
      </c>
      <c r="D7107" s="110"/>
      <c r="E7107" s="3"/>
      <c r="F7107">
        <v>1507</v>
      </c>
    </row>
    <row r="7108" spans="1:6" x14ac:dyDescent="0.25">
      <c r="A7108">
        <v>9857</v>
      </c>
      <c r="B7108" s="15">
        <v>45405</v>
      </c>
      <c r="C7108" s="110"/>
      <c r="D7108" s="110" t="s">
        <v>312</v>
      </c>
      <c r="E7108" s="3"/>
      <c r="F7108">
        <v>1508</v>
      </c>
    </row>
    <row r="7109" spans="1:6" x14ac:dyDescent="0.25">
      <c r="A7109">
        <v>9857</v>
      </c>
      <c r="B7109" s="15">
        <v>45406</v>
      </c>
      <c r="C7109" s="110"/>
      <c r="D7109" s="110"/>
      <c r="E7109" s="3"/>
      <c r="F7109">
        <v>1509</v>
      </c>
    </row>
    <row r="7110" spans="1:6" x14ac:dyDescent="0.25">
      <c r="A7110">
        <v>9857</v>
      </c>
      <c r="B7110" s="15">
        <v>45407</v>
      </c>
      <c r="C7110" s="110"/>
      <c r="D7110" s="110"/>
      <c r="E7110" s="3"/>
      <c r="F7110">
        <v>1510</v>
      </c>
    </row>
    <row r="7111" spans="1:6" x14ac:dyDescent="0.25">
      <c r="A7111">
        <v>9857</v>
      </c>
      <c r="B7111" s="15">
        <v>45408</v>
      </c>
      <c r="C7111" s="110"/>
      <c r="D7111" s="110"/>
      <c r="E7111" s="3"/>
      <c r="F7111">
        <v>1511</v>
      </c>
    </row>
    <row r="7112" spans="1:6" x14ac:dyDescent="0.25">
      <c r="A7112">
        <v>9857</v>
      </c>
      <c r="B7112" s="15">
        <v>45409</v>
      </c>
      <c r="C7112" s="133"/>
      <c r="D7112" s="133"/>
      <c r="E7112" s="3"/>
      <c r="F7112">
        <v>1512</v>
      </c>
    </row>
    <row r="7113" spans="1:6" x14ac:dyDescent="0.25">
      <c r="A7113">
        <v>9857</v>
      </c>
      <c r="B7113" s="15">
        <v>45410</v>
      </c>
      <c r="C7113" s="133"/>
      <c r="D7113" s="133"/>
      <c r="E7113" s="3"/>
      <c r="F7113">
        <v>1513</v>
      </c>
    </row>
    <row r="7114" spans="1:6" x14ac:dyDescent="0.25">
      <c r="A7114">
        <v>9857</v>
      </c>
      <c r="B7114" s="15">
        <v>45411</v>
      </c>
      <c r="C7114" s="104" t="s">
        <v>2</v>
      </c>
      <c r="D7114" s="104" t="s">
        <v>2</v>
      </c>
      <c r="E7114" s="3"/>
      <c r="F7114">
        <v>1514</v>
      </c>
    </row>
    <row r="7115" spans="1:6" x14ac:dyDescent="0.25">
      <c r="A7115">
        <v>9857</v>
      </c>
      <c r="B7115" s="15">
        <v>45412</v>
      </c>
      <c r="C7115" s="104" t="s">
        <v>2</v>
      </c>
      <c r="D7115" s="104" t="s">
        <v>2</v>
      </c>
      <c r="E7115" s="3"/>
      <c r="F7115">
        <v>1515</v>
      </c>
    </row>
    <row r="7116" spans="1:6" x14ac:dyDescent="0.25">
      <c r="A7116">
        <v>9857</v>
      </c>
      <c r="B7116" s="15">
        <v>45413</v>
      </c>
      <c r="C7116" s="119"/>
      <c r="D7116" s="119"/>
      <c r="E7116" s="3"/>
      <c r="F7116">
        <v>1516</v>
      </c>
    </row>
    <row r="7117" spans="1:6" x14ac:dyDescent="0.25">
      <c r="A7117">
        <v>9857</v>
      </c>
      <c r="B7117" s="15">
        <v>45414</v>
      </c>
      <c r="C7117" s="104" t="s">
        <v>2</v>
      </c>
      <c r="D7117" s="104" t="s">
        <v>2</v>
      </c>
      <c r="E7117" s="3"/>
      <c r="F7117">
        <v>1517</v>
      </c>
    </row>
    <row r="7118" spans="1:6" x14ac:dyDescent="0.25">
      <c r="A7118">
        <v>9857</v>
      </c>
      <c r="B7118" s="15">
        <v>45415</v>
      </c>
      <c r="C7118" s="104" t="s">
        <v>2</v>
      </c>
      <c r="D7118" s="104" t="s">
        <v>2</v>
      </c>
      <c r="E7118" s="3"/>
      <c r="F7118">
        <v>1518</v>
      </c>
    </row>
    <row r="7119" spans="1:6" x14ac:dyDescent="0.25">
      <c r="A7119">
        <v>9857</v>
      </c>
      <c r="B7119" s="15">
        <v>45416</v>
      </c>
      <c r="C7119" s="133"/>
      <c r="D7119" s="133"/>
      <c r="E7119" s="3"/>
      <c r="F7119">
        <v>1519</v>
      </c>
    </row>
    <row r="7120" spans="1:6" x14ac:dyDescent="0.25">
      <c r="A7120">
        <v>9857</v>
      </c>
      <c r="B7120" s="15">
        <v>45417</v>
      </c>
      <c r="C7120" s="133"/>
      <c r="D7120" s="133"/>
      <c r="E7120" s="3"/>
      <c r="F7120">
        <v>1520</v>
      </c>
    </row>
    <row r="7121" spans="1:6" x14ac:dyDescent="0.25">
      <c r="A7121">
        <v>9857</v>
      </c>
      <c r="B7121" s="15">
        <v>45418</v>
      </c>
      <c r="C7121" s="104" t="s">
        <v>2</v>
      </c>
      <c r="D7121" s="104" t="s">
        <v>2</v>
      </c>
      <c r="E7121" s="3"/>
      <c r="F7121">
        <v>1521</v>
      </c>
    </row>
    <row r="7122" spans="1:6" x14ac:dyDescent="0.25">
      <c r="A7122">
        <v>9857</v>
      </c>
      <c r="B7122" s="15">
        <v>45419</v>
      </c>
      <c r="C7122" s="104" t="s">
        <v>2</v>
      </c>
      <c r="D7122" s="104" t="s">
        <v>2</v>
      </c>
      <c r="E7122" s="3"/>
      <c r="F7122">
        <v>1522</v>
      </c>
    </row>
    <row r="7123" spans="1:6" x14ac:dyDescent="0.25">
      <c r="A7123">
        <v>9857</v>
      </c>
      <c r="B7123" s="15">
        <v>45420</v>
      </c>
      <c r="C7123" s="119"/>
      <c r="D7123" s="119"/>
      <c r="E7123" s="3"/>
      <c r="F7123">
        <v>1523</v>
      </c>
    </row>
    <row r="7124" spans="1:6" x14ac:dyDescent="0.25">
      <c r="A7124">
        <v>9857</v>
      </c>
      <c r="B7124" s="15">
        <v>45421</v>
      </c>
      <c r="C7124" s="104" t="s">
        <v>2</v>
      </c>
      <c r="D7124" s="104" t="s">
        <v>2</v>
      </c>
      <c r="E7124" s="3"/>
      <c r="F7124">
        <v>1524</v>
      </c>
    </row>
    <row r="7125" spans="1:6" x14ac:dyDescent="0.25">
      <c r="A7125">
        <v>9857</v>
      </c>
      <c r="B7125" s="15">
        <v>45422</v>
      </c>
      <c r="C7125" s="104" t="s">
        <v>2</v>
      </c>
      <c r="D7125" s="104" t="s">
        <v>2</v>
      </c>
      <c r="E7125" s="3"/>
      <c r="F7125">
        <v>1525</v>
      </c>
    </row>
    <row r="7126" spans="1:6" x14ac:dyDescent="0.25">
      <c r="A7126">
        <v>9857</v>
      </c>
      <c r="B7126" s="15">
        <v>45423</v>
      </c>
      <c r="C7126" s="133"/>
      <c r="D7126" s="133"/>
      <c r="E7126" s="3"/>
      <c r="F7126">
        <v>1526</v>
      </c>
    </row>
    <row r="7127" spans="1:6" x14ac:dyDescent="0.25">
      <c r="A7127">
        <v>9857</v>
      </c>
      <c r="B7127" s="15">
        <v>45424</v>
      </c>
      <c r="C7127" s="133"/>
      <c r="D7127" s="133"/>
      <c r="E7127" s="3"/>
      <c r="F7127">
        <v>1527</v>
      </c>
    </row>
    <row r="7128" spans="1:6" x14ac:dyDescent="0.25">
      <c r="A7128">
        <v>9857</v>
      </c>
      <c r="B7128" s="15">
        <v>45425</v>
      </c>
      <c r="C7128" s="104" t="s">
        <v>2</v>
      </c>
      <c r="D7128" s="104" t="s">
        <v>2</v>
      </c>
      <c r="E7128" s="3"/>
      <c r="F7128">
        <v>1528</v>
      </c>
    </row>
    <row r="7129" spans="1:6" x14ac:dyDescent="0.25">
      <c r="A7129">
        <v>9857</v>
      </c>
      <c r="B7129" s="15">
        <v>45426</v>
      </c>
      <c r="C7129" s="127"/>
      <c r="D7129" s="127"/>
      <c r="E7129" s="3"/>
      <c r="F7129">
        <v>1529</v>
      </c>
    </row>
    <row r="7130" spans="1:6" x14ac:dyDescent="0.25">
      <c r="A7130">
        <v>9857</v>
      </c>
      <c r="B7130" s="15">
        <v>45427</v>
      </c>
      <c r="C7130" s="110"/>
      <c r="D7130" s="110"/>
      <c r="E7130" s="3"/>
      <c r="F7130">
        <v>1530</v>
      </c>
    </row>
    <row r="7131" spans="1:6" x14ac:dyDescent="0.25">
      <c r="A7131">
        <v>9857</v>
      </c>
      <c r="B7131" s="15">
        <v>45428</v>
      </c>
      <c r="C7131" s="110"/>
      <c r="D7131" s="110"/>
      <c r="E7131" s="3"/>
      <c r="F7131">
        <v>1531</v>
      </c>
    </row>
    <row r="7132" spans="1:6" x14ac:dyDescent="0.25">
      <c r="A7132">
        <v>9857</v>
      </c>
      <c r="B7132" s="15">
        <v>45429</v>
      </c>
      <c r="C7132" s="110"/>
      <c r="D7132" s="110"/>
      <c r="E7132" s="3"/>
      <c r="F7132">
        <v>1532</v>
      </c>
    </row>
    <row r="7133" spans="1:6" x14ac:dyDescent="0.25">
      <c r="A7133">
        <v>9857</v>
      </c>
      <c r="B7133" s="15">
        <v>45430</v>
      </c>
      <c r="C7133" s="133"/>
      <c r="D7133" s="133"/>
      <c r="E7133" s="3"/>
      <c r="F7133">
        <v>1533</v>
      </c>
    </row>
    <row r="7134" spans="1:6" x14ac:dyDescent="0.25">
      <c r="A7134">
        <v>9857</v>
      </c>
      <c r="B7134" s="15">
        <v>45431</v>
      </c>
      <c r="C7134" s="133"/>
      <c r="D7134" s="133"/>
      <c r="E7134" s="3"/>
      <c r="F7134">
        <v>1534</v>
      </c>
    </row>
    <row r="7135" spans="1:6" x14ac:dyDescent="0.25">
      <c r="A7135">
        <v>9857</v>
      </c>
      <c r="B7135" s="15">
        <v>45432</v>
      </c>
      <c r="C7135" s="110"/>
      <c r="D7135" s="110"/>
      <c r="E7135" s="3"/>
      <c r="F7135">
        <v>1535</v>
      </c>
    </row>
    <row r="7136" spans="1:6" x14ac:dyDescent="0.25">
      <c r="A7136">
        <v>9857</v>
      </c>
      <c r="B7136" s="15">
        <v>45433</v>
      </c>
      <c r="C7136" s="110"/>
      <c r="D7136" s="110"/>
      <c r="E7136" s="3"/>
      <c r="F7136">
        <v>1536</v>
      </c>
    </row>
    <row r="7137" spans="1:6" x14ac:dyDescent="0.25">
      <c r="A7137">
        <v>9857</v>
      </c>
      <c r="B7137" s="15">
        <v>45434</v>
      </c>
      <c r="C7137" s="110"/>
      <c r="D7137" s="110"/>
      <c r="E7137" s="3"/>
      <c r="F7137">
        <v>1537</v>
      </c>
    </row>
    <row r="7138" spans="1:6" x14ac:dyDescent="0.25">
      <c r="A7138">
        <v>9857</v>
      </c>
      <c r="B7138" s="15">
        <v>45435</v>
      </c>
      <c r="C7138" s="110"/>
      <c r="D7138" s="110"/>
      <c r="E7138" s="3"/>
      <c r="F7138">
        <v>1538</v>
      </c>
    </row>
    <row r="7139" spans="1:6" x14ac:dyDescent="0.25">
      <c r="A7139">
        <v>9857</v>
      </c>
      <c r="B7139" s="15">
        <v>45436</v>
      </c>
      <c r="C7139" s="110"/>
      <c r="D7139" s="110"/>
      <c r="E7139" s="3"/>
      <c r="F7139">
        <v>1539</v>
      </c>
    </row>
    <row r="7140" spans="1:6" x14ac:dyDescent="0.25">
      <c r="A7140">
        <v>9857</v>
      </c>
      <c r="B7140" s="15">
        <v>45437</v>
      </c>
      <c r="C7140" s="133"/>
      <c r="D7140" s="133"/>
      <c r="E7140" s="3"/>
      <c r="F7140">
        <v>1540</v>
      </c>
    </row>
    <row r="7141" spans="1:6" x14ac:dyDescent="0.25">
      <c r="A7141">
        <v>9857</v>
      </c>
      <c r="B7141" s="15">
        <v>45438</v>
      </c>
      <c r="C7141" s="133"/>
      <c r="D7141" s="133"/>
      <c r="E7141" s="3"/>
      <c r="F7141">
        <v>1541</v>
      </c>
    </row>
    <row r="7142" spans="1:6" x14ac:dyDescent="0.25">
      <c r="A7142">
        <v>9857</v>
      </c>
      <c r="B7142" s="15">
        <v>45439</v>
      </c>
      <c r="C7142" s="110"/>
      <c r="D7142" s="110"/>
      <c r="E7142" s="3"/>
      <c r="F7142">
        <v>1542</v>
      </c>
    </row>
    <row r="7143" spans="1:6" x14ac:dyDescent="0.25">
      <c r="A7143">
        <v>9857</v>
      </c>
      <c r="B7143" s="15">
        <v>45440</v>
      </c>
      <c r="C7143" s="110"/>
      <c r="D7143" s="110"/>
      <c r="E7143" s="3"/>
      <c r="F7143">
        <v>1543</v>
      </c>
    </row>
    <row r="7144" spans="1:6" x14ac:dyDescent="0.25">
      <c r="A7144">
        <v>9857</v>
      </c>
      <c r="B7144" s="15">
        <v>45441</v>
      </c>
      <c r="C7144" s="110"/>
      <c r="D7144" s="110"/>
      <c r="E7144" s="3"/>
      <c r="F7144">
        <v>1544</v>
      </c>
    </row>
    <row r="7145" spans="1:6" x14ac:dyDescent="0.25">
      <c r="A7145">
        <v>9857</v>
      </c>
      <c r="B7145" s="15">
        <v>45442</v>
      </c>
      <c r="C7145" s="110"/>
      <c r="D7145" s="110"/>
      <c r="E7145" s="3"/>
      <c r="F7145">
        <v>1545</v>
      </c>
    </row>
    <row r="7146" spans="1:6" x14ac:dyDescent="0.25">
      <c r="A7146">
        <v>9857</v>
      </c>
      <c r="B7146" s="15">
        <v>45443</v>
      </c>
      <c r="C7146" s="110"/>
      <c r="D7146" s="110"/>
      <c r="E7146" s="3"/>
      <c r="F7146">
        <v>1546</v>
      </c>
    </row>
    <row r="7147" spans="1:6" x14ac:dyDescent="0.25">
      <c r="A7147">
        <v>9857</v>
      </c>
      <c r="B7147" s="15">
        <v>45444</v>
      </c>
      <c r="C7147" s="133"/>
      <c r="D7147" s="133"/>
      <c r="E7147" s="3"/>
      <c r="F7147">
        <v>1547</v>
      </c>
    </row>
    <row r="7148" spans="1:6" x14ac:dyDescent="0.25">
      <c r="A7148">
        <v>9857</v>
      </c>
      <c r="B7148" s="15">
        <v>45445</v>
      </c>
      <c r="C7148" s="133"/>
      <c r="D7148" s="133"/>
      <c r="E7148" s="3"/>
      <c r="F7148">
        <v>1548</v>
      </c>
    </row>
    <row r="7149" spans="1:6" x14ac:dyDescent="0.25">
      <c r="A7149">
        <v>9857</v>
      </c>
      <c r="B7149" s="15">
        <v>45446</v>
      </c>
      <c r="C7149" s="110"/>
      <c r="D7149" s="110"/>
      <c r="E7149" s="3"/>
      <c r="F7149">
        <v>1549</v>
      </c>
    </row>
    <row r="7150" spans="1:6" x14ac:dyDescent="0.25">
      <c r="A7150">
        <v>9857</v>
      </c>
      <c r="B7150" s="15">
        <v>45447</v>
      </c>
      <c r="C7150" s="110"/>
      <c r="D7150" s="110"/>
      <c r="E7150" s="3"/>
      <c r="F7150">
        <v>1550</v>
      </c>
    </row>
    <row r="7151" spans="1:6" x14ac:dyDescent="0.25">
      <c r="A7151">
        <v>9857</v>
      </c>
      <c r="B7151" s="15">
        <v>45448</v>
      </c>
      <c r="C7151" s="110"/>
      <c r="D7151" s="110"/>
      <c r="E7151" s="3"/>
      <c r="F7151">
        <v>1551</v>
      </c>
    </row>
    <row r="7152" spans="1:6" x14ac:dyDescent="0.25">
      <c r="A7152">
        <v>9857</v>
      </c>
      <c r="B7152" s="15">
        <v>45449</v>
      </c>
      <c r="C7152" s="110"/>
      <c r="D7152" s="110"/>
      <c r="E7152" s="3"/>
      <c r="F7152">
        <v>1552</v>
      </c>
    </row>
    <row r="7153" spans="1:6" x14ac:dyDescent="0.25">
      <c r="A7153">
        <v>9857</v>
      </c>
      <c r="B7153" s="15">
        <v>45450</v>
      </c>
      <c r="C7153" s="110"/>
      <c r="D7153" s="110"/>
      <c r="E7153" s="3"/>
      <c r="F7153">
        <v>1553</v>
      </c>
    </row>
    <row r="7154" spans="1:6" x14ac:dyDescent="0.25">
      <c r="A7154">
        <v>9857</v>
      </c>
      <c r="B7154" s="15">
        <v>45451</v>
      </c>
      <c r="C7154" s="133"/>
      <c r="D7154" s="133"/>
      <c r="E7154" s="3"/>
      <c r="F7154">
        <v>1554</v>
      </c>
    </row>
    <row r="7155" spans="1:6" x14ac:dyDescent="0.25">
      <c r="A7155">
        <v>9857</v>
      </c>
      <c r="B7155" s="15">
        <v>45452</v>
      </c>
      <c r="C7155" s="133"/>
      <c r="D7155" s="133"/>
      <c r="E7155" s="3"/>
      <c r="F7155">
        <v>1555</v>
      </c>
    </row>
    <row r="7156" spans="1:6" x14ac:dyDescent="0.25">
      <c r="A7156">
        <v>9857</v>
      </c>
      <c r="B7156" s="15">
        <v>45453</v>
      </c>
      <c r="C7156" s="110"/>
      <c r="D7156" s="110"/>
      <c r="E7156" s="3"/>
      <c r="F7156">
        <v>1556</v>
      </c>
    </row>
    <row r="7157" spans="1:6" x14ac:dyDescent="0.25">
      <c r="A7157">
        <v>9857</v>
      </c>
      <c r="B7157" s="15">
        <v>45454</v>
      </c>
      <c r="C7157" s="127"/>
      <c r="D7157" s="127"/>
      <c r="E7157" s="3"/>
      <c r="F7157">
        <v>1557</v>
      </c>
    </row>
    <row r="7158" spans="1:6" x14ac:dyDescent="0.25">
      <c r="A7158">
        <v>9857</v>
      </c>
      <c r="B7158" s="15">
        <v>45455</v>
      </c>
      <c r="C7158" s="110"/>
      <c r="D7158" s="110"/>
      <c r="E7158" s="3"/>
      <c r="F7158">
        <v>1558</v>
      </c>
    </row>
    <row r="7159" spans="1:6" x14ac:dyDescent="0.25">
      <c r="A7159">
        <v>9857</v>
      </c>
      <c r="B7159" s="15">
        <v>45456</v>
      </c>
      <c r="C7159" s="110"/>
      <c r="D7159" s="110"/>
      <c r="E7159" s="3"/>
      <c r="F7159">
        <v>1559</v>
      </c>
    </row>
    <row r="7160" spans="1:6" x14ac:dyDescent="0.25">
      <c r="A7160">
        <v>9857</v>
      </c>
      <c r="B7160" s="15">
        <v>45457</v>
      </c>
      <c r="C7160" s="110"/>
      <c r="D7160" s="110"/>
      <c r="E7160" s="3"/>
      <c r="F7160">
        <v>1560</v>
      </c>
    </row>
    <row r="7161" spans="1:6" x14ac:dyDescent="0.25">
      <c r="A7161">
        <v>9857</v>
      </c>
      <c r="B7161" s="15">
        <v>45458</v>
      </c>
      <c r="C7161" s="133"/>
      <c r="D7161" s="133"/>
      <c r="E7161" s="3"/>
      <c r="F7161">
        <v>1561</v>
      </c>
    </row>
    <row r="7162" spans="1:6" x14ac:dyDescent="0.25">
      <c r="A7162">
        <v>9857</v>
      </c>
      <c r="B7162" s="15">
        <v>45459</v>
      </c>
      <c r="C7162" s="133"/>
      <c r="D7162" s="133"/>
      <c r="E7162" s="3"/>
      <c r="F7162">
        <v>1562</v>
      </c>
    </row>
    <row r="7163" spans="1:6" x14ac:dyDescent="0.25">
      <c r="A7163">
        <v>9857</v>
      </c>
      <c r="B7163" s="15">
        <v>45460</v>
      </c>
      <c r="C7163" s="110"/>
      <c r="D7163" s="110"/>
      <c r="E7163" s="3"/>
      <c r="F7163">
        <v>1563</v>
      </c>
    </row>
    <row r="7164" spans="1:6" x14ac:dyDescent="0.25">
      <c r="A7164">
        <v>9857</v>
      </c>
      <c r="B7164" s="15">
        <v>45461</v>
      </c>
      <c r="C7164" s="110"/>
      <c r="D7164" s="110"/>
      <c r="E7164" s="3"/>
      <c r="F7164">
        <v>1564</v>
      </c>
    </row>
    <row r="7165" spans="1:6" x14ac:dyDescent="0.25">
      <c r="A7165">
        <v>9857</v>
      </c>
      <c r="B7165" s="15">
        <v>45462</v>
      </c>
      <c r="C7165" s="110"/>
      <c r="D7165" s="110"/>
      <c r="E7165" s="3"/>
      <c r="F7165">
        <v>1565</v>
      </c>
    </row>
    <row r="7166" spans="1:6" x14ac:dyDescent="0.25">
      <c r="A7166">
        <v>9857</v>
      </c>
      <c r="B7166" s="15">
        <v>45463</v>
      </c>
      <c r="C7166" s="110"/>
      <c r="D7166" s="110"/>
      <c r="E7166" s="3"/>
      <c r="F7166">
        <v>1566</v>
      </c>
    </row>
    <row r="7167" spans="1:6" x14ac:dyDescent="0.25">
      <c r="A7167">
        <v>9857</v>
      </c>
      <c r="B7167" s="15">
        <v>45464</v>
      </c>
      <c r="C7167" s="110"/>
      <c r="D7167" s="110"/>
      <c r="E7167" s="3"/>
      <c r="F7167">
        <v>1567</v>
      </c>
    </row>
    <row r="7168" spans="1:6" x14ac:dyDescent="0.25">
      <c r="A7168">
        <v>9857</v>
      </c>
      <c r="B7168" s="15">
        <v>45465</v>
      </c>
      <c r="C7168" s="133"/>
      <c r="D7168" s="133"/>
      <c r="E7168" s="3"/>
      <c r="F7168">
        <v>1568</v>
      </c>
    </row>
    <row r="7169" spans="1:6" x14ac:dyDescent="0.25">
      <c r="A7169">
        <v>9857</v>
      </c>
      <c r="B7169" s="15">
        <v>45466</v>
      </c>
      <c r="C7169" s="133"/>
      <c r="D7169" s="133"/>
      <c r="E7169" s="3"/>
      <c r="F7169">
        <v>1569</v>
      </c>
    </row>
    <row r="7170" spans="1:6" x14ac:dyDescent="0.25">
      <c r="A7170">
        <v>9857</v>
      </c>
      <c r="B7170" s="15">
        <v>45467</v>
      </c>
      <c r="C7170" s="110"/>
      <c r="D7170" s="110"/>
      <c r="E7170" s="3"/>
      <c r="F7170">
        <v>1570</v>
      </c>
    </row>
    <row r="7171" spans="1:6" x14ac:dyDescent="0.25">
      <c r="A7171">
        <v>9857</v>
      </c>
      <c r="B7171" s="15">
        <v>45468</v>
      </c>
      <c r="C7171" s="110"/>
      <c r="D7171" s="110"/>
      <c r="E7171" s="3"/>
      <c r="F7171">
        <v>1571</v>
      </c>
    </row>
    <row r="7172" spans="1:6" x14ac:dyDescent="0.25">
      <c r="A7172">
        <v>9857</v>
      </c>
      <c r="B7172" s="15">
        <v>45469</v>
      </c>
      <c r="C7172" s="110"/>
      <c r="D7172" s="110"/>
      <c r="E7172" s="3"/>
      <c r="F7172">
        <v>1572</v>
      </c>
    </row>
    <row r="7173" spans="1:6" x14ac:dyDescent="0.25">
      <c r="A7173">
        <v>9857</v>
      </c>
      <c r="B7173" s="15">
        <v>45470</v>
      </c>
      <c r="C7173" s="110"/>
      <c r="D7173" s="110"/>
      <c r="E7173" s="3"/>
      <c r="F7173">
        <v>1573</v>
      </c>
    </row>
    <row r="7174" spans="1:6" x14ac:dyDescent="0.25">
      <c r="A7174">
        <v>9857</v>
      </c>
      <c r="B7174" s="15">
        <v>45471</v>
      </c>
      <c r="C7174" s="110"/>
      <c r="D7174" s="110"/>
      <c r="E7174" s="3"/>
      <c r="F7174">
        <v>1574</v>
      </c>
    </row>
    <row r="7175" spans="1:6" x14ac:dyDescent="0.25">
      <c r="A7175">
        <v>9857</v>
      </c>
      <c r="B7175" s="15">
        <v>45472</v>
      </c>
      <c r="C7175" s="133"/>
      <c r="D7175" s="133"/>
      <c r="E7175" s="3"/>
      <c r="F7175">
        <v>1575</v>
      </c>
    </row>
    <row r="7176" spans="1:6" x14ac:dyDescent="0.25">
      <c r="A7176">
        <v>9857</v>
      </c>
      <c r="B7176" s="15">
        <v>45473</v>
      </c>
      <c r="C7176" s="133"/>
      <c r="D7176" s="133"/>
      <c r="E7176" s="3"/>
      <c r="F7176">
        <v>1576</v>
      </c>
    </row>
    <row r="7177" spans="1:6" x14ac:dyDescent="0.25">
      <c r="A7177">
        <v>9857</v>
      </c>
      <c r="B7177" s="15">
        <v>45474</v>
      </c>
      <c r="C7177" s="110"/>
      <c r="D7177" s="110"/>
      <c r="E7177" s="3"/>
      <c r="F7177">
        <v>1577</v>
      </c>
    </row>
    <row r="7178" spans="1:6" x14ac:dyDescent="0.25">
      <c r="A7178">
        <v>9857</v>
      </c>
      <c r="B7178" s="15">
        <v>45475</v>
      </c>
      <c r="C7178" s="110"/>
      <c r="D7178" s="110"/>
      <c r="E7178" s="3"/>
      <c r="F7178">
        <v>1578</v>
      </c>
    </row>
    <row r="7179" spans="1:6" x14ac:dyDescent="0.25">
      <c r="A7179">
        <v>9857</v>
      </c>
      <c r="B7179" s="15">
        <v>45476</v>
      </c>
      <c r="C7179" s="110"/>
      <c r="D7179" s="110"/>
      <c r="E7179" s="3"/>
      <c r="F7179">
        <v>1579</v>
      </c>
    </row>
    <row r="7180" spans="1:6" x14ac:dyDescent="0.25">
      <c r="A7180">
        <v>9857</v>
      </c>
      <c r="B7180" s="15">
        <v>45477</v>
      </c>
      <c r="C7180" s="110"/>
      <c r="D7180" s="110"/>
      <c r="E7180" s="3"/>
      <c r="F7180">
        <v>1580</v>
      </c>
    </row>
    <row r="7181" spans="1:6" x14ac:dyDescent="0.25">
      <c r="A7181">
        <v>9857</v>
      </c>
      <c r="B7181" s="15">
        <v>45478</v>
      </c>
      <c r="C7181" s="110"/>
      <c r="D7181" s="110"/>
      <c r="E7181" s="3"/>
      <c r="F7181">
        <v>1581</v>
      </c>
    </row>
    <row r="7182" spans="1:6" x14ac:dyDescent="0.25">
      <c r="A7182">
        <v>9857</v>
      </c>
      <c r="B7182" s="15">
        <v>45479</v>
      </c>
      <c r="C7182" s="133"/>
      <c r="D7182" s="133"/>
      <c r="E7182" s="3"/>
      <c r="F7182">
        <v>1582</v>
      </c>
    </row>
    <row r="7183" spans="1:6" x14ac:dyDescent="0.25">
      <c r="A7183">
        <v>9857</v>
      </c>
      <c r="B7183" s="15">
        <v>45480</v>
      </c>
      <c r="C7183" s="133"/>
      <c r="D7183" s="133"/>
      <c r="E7183" s="3"/>
      <c r="F7183">
        <v>1583</v>
      </c>
    </row>
    <row r="7184" spans="1:6" x14ac:dyDescent="0.25">
      <c r="A7184">
        <v>9857</v>
      </c>
      <c r="B7184" s="15">
        <v>45481</v>
      </c>
      <c r="C7184" s="110"/>
      <c r="D7184" s="110"/>
      <c r="E7184" s="3"/>
      <c r="F7184">
        <v>1584</v>
      </c>
    </row>
    <row r="7185" spans="1:6" x14ac:dyDescent="0.25">
      <c r="A7185">
        <v>9857</v>
      </c>
      <c r="B7185" s="15">
        <v>45482</v>
      </c>
      <c r="C7185" s="127"/>
      <c r="D7185" s="127"/>
      <c r="E7185" s="3"/>
      <c r="F7185">
        <v>1585</v>
      </c>
    </row>
    <row r="7186" spans="1:6" x14ac:dyDescent="0.25">
      <c r="A7186">
        <v>9857</v>
      </c>
      <c r="B7186" s="15">
        <v>45483</v>
      </c>
      <c r="C7186" s="110"/>
      <c r="D7186" s="110"/>
      <c r="E7186" s="3"/>
      <c r="F7186">
        <v>1586</v>
      </c>
    </row>
    <row r="7187" spans="1:6" x14ac:dyDescent="0.25">
      <c r="A7187">
        <v>9857</v>
      </c>
      <c r="B7187" s="15">
        <v>45484</v>
      </c>
      <c r="C7187" s="110"/>
      <c r="D7187" s="110"/>
      <c r="E7187" s="3"/>
      <c r="F7187">
        <v>1587</v>
      </c>
    </row>
    <row r="7188" spans="1:6" x14ac:dyDescent="0.25">
      <c r="A7188">
        <v>9857</v>
      </c>
      <c r="B7188" s="15">
        <v>45485</v>
      </c>
      <c r="C7188" s="110"/>
      <c r="D7188" s="110"/>
      <c r="E7188" s="3"/>
      <c r="F7188">
        <v>1588</v>
      </c>
    </row>
    <row r="7189" spans="1:6" x14ac:dyDescent="0.25">
      <c r="A7189">
        <v>9857</v>
      </c>
      <c r="B7189" s="15">
        <v>45486</v>
      </c>
      <c r="C7189" s="133"/>
      <c r="D7189" s="133"/>
      <c r="E7189" s="3"/>
      <c r="F7189">
        <v>1589</v>
      </c>
    </row>
    <row r="7190" spans="1:6" x14ac:dyDescent="0.25">
      <c r="A7190">
        <v>9857</v>
      </c>
      <c r="B7190" s="15">
        <v>45487</v>
      </c>
      <c r="C7190" s="133"/>
      <c r="D7190" s="133"/>
      <c r="E7190" s="3"/>
      <c r="F7190">
        <v>1590</v>
      </c>
    </row>
    <row r="7191" spans="1:6" x14ac:dyDescent="0.25">
      <c r="A7191">
        <v>9857</v>
      </c>
      <c r="B7191" s="15">
        <v>45488</v>
      </c>
      <c r="C7191" s="110"/>
      <c r="D7191" s="110"/>
      <c r="E7191" s="3"/>
      <c r="F7191">
        <v>1591</v>
      </c>
    </row>
    <row r="7192" spans="1:6" x14ac:dyDescent="0.25">
      <c r="A7192">
        <v>9857</v>
      </c>
      <c r="B7192" s="15">
        <v>45489</v>
      </c>
      <c r="C7192" s="110"/>
      <c r="D7192" s="110"/>
      <c r="E7192" s="3"/>
      <c r="F7192">
        <v>1592</v>
      </c>
    </row>
    <row r="7193" spans="1:6" x14ac:dyDescent="0.25">
      <c r="A7193">
        <v>9857</v>
      </c>
      <c r="B7193" s="15">
        <v>45490</v>
      </c>
      <c r="C7193" s="110"/>
      <c r="D7193" s="110"/>
      <c r="E7193" s="3"/>
      <c r="F7193">
        <v>1593</v>
      </c>
    </row>
    <row r="7194" spans="1:6" x14ac:dyDescent="0.25">
      <c r="A7194">
        <v>9857</v>
      </c>
      <c r="B7194" s="15">
        <v>45491</v>
      </c>
      <c r="C7194" s="110"/>
      <c r="D7194" s="110"/>
      <c r="E7194" s="3"/>
      <c r="F7194">
        <v>1594</v>
      </c>
    </row>
    <row r="7195" spans="1:6" x14ac:dyDescent="0.25">
      <c r="A7195">
        <v>9857</v>
      </c>
      <c r="B7195" s="15">
        <v>45492</v>
      </c>
      <c r="C7195" s="110"/>
      <c r="D7195" s="110"/>
      <c r="E7195" s="3"/>
      <c r="F7195">
        <v>1595</v>
      </c>
    </row>
    <row r="7196" spans="1:6" x14ac:dyDescent="0.25">
      <c r="A7196">
        <v>9857</v>
      </c>
      <c r="B7196" s="15">
        <v>45493</v>
      </c>
      <c r="C7196" s="133"/>
      <c r="D7196" s="133"/>
      <c r="E7196" s="3"/>
      <c r="F7196">
        <v>1596</v>
      </c>
    </row>
    <row r="7197" spans="1:6" x14ac:dyDescent="0.25">
      <c r="A7197">
        <v>9857</v>
      </c>
      <c r="B7197" s="15">
        <v>45494</v>
      </c>
      <c r="C7197" s="133"/>
      <c r="D7197" s="133"/>
      <c r="E7197" s="3"/>
      <c r="F7197">
        <v>1597</v>
      </c>
    </row>
    <row r="7198" spans="1:6" x14ac:dyDescent="0.25">
      <c r="A7198">
        <v>9857</v>
      </c>
      <c r="B7198" s="15">
        <v>45495</v>
      </c>
      <c r="C7198" s="110"/>
      <c r="D7198" s="110"/>
      <c r="E7198" s="3"/>
      <c r="F7198">
        <v>1598</v>
      </c>
    </row>
    <row r="7199" spans="1:6" x14ac:dyDescent="0.25">
      <c r="A7199">
        <v>9857</v>
      </c>
      <c r="B7199" s="15">
        <v>45496</v>
      </c>
      <c r="C7199" s="110"/>
      <c r="D7199" s="110"/>
      <c r="E7199" s="3"/>
      <c r="F7199">
        <v>1599</v>
      </c>
    </row>
    <row r="7200" spans="1:6" x14ac:dyDescent="0.25">
      <c r="A7200">
        <v>9857</v>
      </c>
      <c r="B7200" s="15">
        <v>45497</v>
      </c>
      <c r="C7200" s="110"/>
      <c r="D7200" s="110"/>
      <c r="E7200" s="3"/>
      <c r="F7200">
        <v>1600</v>
      </c>
    </row>
    <row r="7201" spans="1:6" x14ac:dyDescent="0.25">
      <c r="A7201">
        <v>9857</v>
      </c>
      <c r="B7201" s="15">
        <v>45498</v>
      </c>
      <c r="C7201" s="110"/>
      <c r="D7201" s="110"/>
      <c r="E7201" s="3"/>
      <c r="F7201">
        <v>1601</v>
      </c>
    </row>
    <row r="7202" spans="1:6" x14ac:dyDescent="0.25">
      <c r="A7202">
        <v>9857</v>
      </c>
      <c r="B7202" s="15">
        <v>45499</v>
      </c>
      <c r="C7202" s="110"/>
      <c r="D7202" s="110"/>
      <c r="E7202" s="3"/>
      <c r="F7202">
        <v>1602</v>
      </c>
    </row>
    <row r="7203" spans="1:6" x14ac:dyDescent="0.25">
      <c r="A7203">
        <v>9857</v>
      </c>
      <c r="B7203" s="15">
        <v>45500</v>
      </c>
      <c r="C7203" s="133"/>
      <c r="D7203" s="133"/>
      <c r="E7203" s="3"/>
      <c r="F7203">
        <v>1603</v>
      </c>
    </row>
    <row r="7204" spans="1:6" x14ac:dyDescent="0.25">
      <c r="A7204">
        <v>9857</v>
      </c>
      <c r="B7204" s="15">
        <v>45501</v>
      </c>
      <c r="C7204" s="133"/>
      <c r="D7204" s="133"/>
      <c r="E7204" s="3"/>
      <c r="F7204">
        <v>1604</v>
      </c>
    </row>
    <row r="7205" spans="1:6" x14ac:dyDescent="0.25">
      <c r="A7205">
        <v>9857</v>
      </c>
      <c r="B7205" s="15">
        <v>45502</v>
      </c>
      <c r="C7205" s="110"/>
      <c r="D7205" s="110"/>
      <c r="E7205" s="3"/>
      <c r="F7205">
        <v>1605</v>
      </c>
    </row>
    <row r="7206" spans="1:6" x14ac:dyDescent="0.25">
      <c r="A7206">
        <v>9857</v>
      </c>
      <c r="B7206" s="15">
        <v>45503</v>
      </c>
      <c r="C7206" s="110"/>
      <c r="D7206" s="110"/>
      <c r="E7206" s="3"/>
      <c r="F7206">
        <v>1606</v>
      </c>
    </row>
    <row r="7207" spans="1:6" x14ac:dyDescent="0.25">
      <c r="A7207">
        <v>9857</v>
      </c>
      <c r="B7207" s="15">
        <v>45504</v>
      </c>
      <c r="C7207" s="110"/>
      <c r="D7207" s="110"/>
      <c r="E7207" s="3"/>
      <c r="F7207">
        <v>1607</v>
      </c>
    </row>
    <row r="7208" spans="1:6" x14ac:dyDescent="0.25">
      <c r="A7208">
        <v>9857</v>
      </c>
      <c r="B7208" s="15">
        <v>45505</v>
      </c>
      <c r="C7208" s="110"/>
      <c r="D7208" s="110"/>
      <c r="E7208" s="3"/>
      <c r="F7208">
        <v>1608</v>
      </c>
    </row>
    <row r="7209" spans="1:6" x14ac:dyDescent="0.25">
      <c r="A7209">
        <v>9857</v>
      </c>
      <c r="B7209" s="15">
        <v>45506</v>
      </c>
      <c r="C7209" s="110"/>
      <c r="D7209" s="110"/>
      <c r="E7209" s="3"/>
      <c r="F7209">
        <v>1609</v>
      </c>
    </row>
    <row r="7210" spans="1:6" x14ac:dyDescent="0.25">
      <c r="A7210">
        <v>9857</v>
      </c>
      <c r="B7210" s="15">
        <v>45507</v>
      </c>
      <c r="C7210" s="133"/>
      <c r="D7210" s="133"/>
      <c r="E7210" s="3"/>
      <c r="F7210">
        <v>1610</v>
      </c>
    </row>
    <row r="7211" spans="1:6" x14ac:dyDescent="0.25">
      <c r="A7211">
        <v>9857</v>
      </c>
      <c r="B7211" s="15">
        <v>45508</v>
      </c>
      <c r="C7211" s="133"/>
      <c r="D7211" s="133"/>
      <c r="E7211" s="3"/>
      <c r="F7211">
        <v>1611</v>
      </c>
    </row>
    <row r="7212" spans="1:6" x14ac:dyDescent="0.25">
      <c r="A7212">
        <v>9857</v>
      </c>
      <c r="B7212" s="15">
        <v>45509</v>
      </c>
      <c r="C7212" s="110"/>
      <c r="D7212" s="110"/>
      <c r="E7212" s="3"/>
      <c r="F7212">
        <v>1612</v>
      </c>
    </row>
    <row r="7213" spans="1:6" x14ac:dyDescent="0.25">
      <c r="A7213">
        <v>9857</v>
      </c>
      <c r="B7213" s="15">
        <v>45510</v>
      </c>
      <c r="C7213" s="127"/>
      <c r="D7213" s="127"/>
      <c r="E7213" s="3"/>
      <c r="F7213">
        <v>1613</v>
      </c>
    </row>
    <row r="7214" spans="1:6" x14ac:dyDescent="0.25">
      <c r="A7214">
        <v>9857</v>
      </c>
      <c r="B7214" s="15">
        <v>45511</v>
      </c>
      <c r="C7214" s="110"/>
      <c r="D7214" s="110"/>
      <c r="E7214" s="3"/>
      <c r="F7214">
        <v>1614</v>
      </c>
    </row>
    <row r="7215" spans="1:6" x14ac:dyDescent="0.25">
      <c r="A7215">
        <v>9857</v>
      </c>
      <c r="B7215" s="15">
        <v>45512</v>
      </c>
      <c r="C7215" s="110"/>
      <c r="D7215" s="110"/>
      <c r="E7215" s="3"/>
      <c r="F7215">
        <v>1615</v>
      </c>
    </row>
    <row r="7216" spans="1:6" x14ac:dyDescent="0.25">
      <c r="A7216">
        <v>9857</v>
      </c>
      <c r="B7216" s="15">
        <v>45513</v>
      </c>
      <c r="C7216" s="110"/>
      <c r="D7216" s="110"/>
      <c r="E7216" s="3"/>
      <c r="F7216">
        <v>1616</v>
      </c>
    </row>
    <row r="7217" spans="1:6" x14ac:dyDescent="0.25">
      <c r="A7217">
        <v>9857</v>
      </c>
      <c r="B7217" s="15">
        <v>45514</v>
      </c>
      <c r="C7217" s="133"/>
      <c r="D7217" s="133"/>
      <c r="E7217" s="3"/>
      <c r="F7217">
        <v>1617</v>
      </c>
    </row>
    <row r="7218" spans="1:6" x14ac:dyDescent="0.25">
      <c r="A7218">
        <v>9857</v>
      </c>
      <c r="B7218" s="15">
        <v>45515</v>
      </c>
      <c r="C7218" s="133"/>
      <c r="D7218" s="133"/>
      <c r="E7218" s="3"/>
      <c r="F7218">
        <v>1618</v>
      </c>
    </row>
    <row r="7219" spans="1:6" x14ac:dyDescent="0.25">
      <c r="A7219">
        <v>9857</v>
      </c>
      <c r="B7219" s="15">
        <v>45516</v>
      </c>
      <c r="C7219" s="110"/>
      <c r="D7219" s="110"/>
      <c r="E7219" s="3"/>
      <c r="F7219">
        <v>1619</v>
      </c>
    </row>
    <row r="7220" spans="1:6" x14ac:dyDescent="0.25">
      <c r="A7220">
        <v>9857</v>
      </c>
      <c r="B7220" s="15">
        <v>45517</v>
      </c>
      <c r="C7220" s="110"/>
      <c r="D7220" s="110"/>
      <c r="E7220" s="3"/>
      <c r="F7220">
        <v>1620</v>
      </c>
    </row>
    <row r="7221" spans="1:6" x14ac:dyDescent="0.25">
      <c r="A7221">
        <v>9857</v>
      </c>
      <c r="B7221" s="15">
        <v>45518</v>
      </c>
      <c r="C7221" s="110"/>
      <c r="D7221" s="110"/>
      <c r="E7221" s="3"/>
      <c r="F7221">
        <v>1621</v>
      </c>
    </row>
    <row r="7222" spans="1:6" x14ac:dyDescent="0.25">
      <c r="A7222">
        <v>9857</v>
      </c>
      <c r="B7222" s="15">
        <v>45519</v>
      </c>
      <c r="C7222" s="110"/>
      <c r="D7222" s="110"/>
      <c r="E7222" s="3"/>
      <c r="F7222">
        <v>1622</v>
      </c>
    </row>
    <row r="7223" spans="1:6" x14ac:dyDescent="0.25">
      <c r="A7223">
        <v>9857</v>
      </c>
      <c r="B7223" s="15">
        <v>45520</v>
      </c>
      <c r="C7223" s="110"/>
      <c r="D7223" s="110"/>
      <c r="E7223" s="3"/>
      <c r="F7223">
        <v>1623</v>
      </c>
    </row>
    <row r="7224" spans="1:6" x14ac:dyDescent="0.25">
      <c r="A7224">
        <v>9857</v>
      </c>
      <c r="B7224" s="15">
        <v>45521</v>
      </c>
      <c r="C7224" s="133"/>
      <c r="D7224" s="133"/>
      <c r="E7224" s="3"/>
      <c r="F7224">
        <v>1624</v>
      </c>
    </row>
    <row r="7225" spans="1:6" x14ac:dyDescent="0.25">
      <c r="A7225">
        <v>9857</v>
      </c>
      <c r="B7225" s="15">
        <v>45522</v>
      </c>
      <c r="C7225" s="133"/>
      <c r="D7225" s="133"/>
      <c r="E7225" s="3"/>
      <c r="F7225">
        <v>1625</v>
      </c>
    </row>
    <row r="7226" spans="1:6" x14ac:dyDescent="0.25">
      <c r="A7226">
        <v>9857</v>
      </c>
      <c r="B7226" s="15">
        <v>45523</v>
      </c>
      <c r="C7226" s="110"/>
      <c r="D7226" s="110"/>
      <c r="E7226" s="3"/>
      <c r="F7226">
        <v>1626</v>
      </c>
    </row>
    <row r="7227" spans="1:6" x14ac:dyDescent="0.25">
      <c r="A7227">
        <v>9857</v>
      </c>
      <c r="B7227" s="15">
        <v>45524</v>
      </c>
      <c r="C7227" s="110"/>
      <c r="D7227" s="110"/>
      <c r="E7227" s="3"/>
      <c r="F7227">
        <v>1627</v>
      </c>
    </row>
    <row r="7228" spans="1:6" x14ac:dyDescent="0.25">
      <c r="A7228">
        <v>9857</v>
      </c>
      <c r="B7228" s="15">
        <v>45525</v>
      </c>
      <c r="C7228" s="110"/>
      <c r="D7228" s="110"/>
      <c r="E7228" s="3"/>
      <c r="F7228">
        <v>1628</v>
      </c>
    </row>
    <row r="7229" spans="1:6" x14ac:dyDescent="0.25">
      <c r="A7229">
        <v>9857</v>
      </c>
      <c r="B7229" s="15">
        <v>45526</v>
      </c>
      <c r="C7229" s="110"/>
      <c r="D7229" s="110"/>
      <c r="E7229" s="3"/>
      <c r="F7229">
        <v>1629</v>
      </c>
    </row>
    <row r="7230" spans="1:6" x14ac:dyDescent="0.25">
      <c r="A7230">
        <v>9857</v>
      </c>
      <c r="B7230" s="15">
        <v>45527</v>
      </c>
      <c r="C7230" s="110"/>
      <c r="D7230" s="110"/>
      <c r="E7230" s="3"/>
      <c r="F7230">
        <v>1630</v>
      </c>
    </row>
    <row r="7231" spans="1:6" x14ac:dyDescent="0.25">
      <c r="A7231">
        <v>9857</v>
      </c>
      <c r="B7231" s="15">
        <v>45528</v>
      </c>
      <c r="C7231" s="133"/>
      <c r="D7231" s="133"/>
      <c r="E7231" s="3"/>
      <c r="F7231">
        <v>1631</v>
      </c>
    </row>
    <row r="7232" spans="1:6" x14ac:dyDescent="0.25">
      <c r="A7232">
        <v>9857</v>
      </c>
      <c r="B7232" s="15">
        <v>45529</v>
      </c>
      <c r="C7232" s="133"/>
      <c r="D7232" s="133"/>
      <c r="E7232" s="3"/>
      <c r="F7232">
        <v>1632</v>
      </c>
    </row>
    <row r="7233" spans="1:6" x14ac:dyDescent="0.25">
      <c r="A7233">
        <v>9857</v>
      </c>
      <c r="B7233" s="15">
        <v>45530</v>
      </c>
      <c r="C7233" s="110"/>
      <c r="D7233" s="110"/>
      <c r="E7233" s="3"/>
      <c r="F7233">
        <v>1633</v>
      </c>
    </row>
    <row r="7234" spans="1:6" x14ac:dyDescent="0.25">
      <c r="A7234">
        <v>9857</v>
      </c>
      <c r="B7234" s="15">
        <v>45531</v>
      </c>
      <c r="C7234" s="110"/>
      <c r="D7234" s="110"/>
      <c r="E7234" s="3"/>
      <c r="F7234">
        <v>1634</v>
      </c>
    </row>
    <row r="7235" spans="1:6" x14ac:dyDescent="0.25">
      <c r="A7235">
        <v>9857</v>
      </c>
      <c r="B7235" s="15">
        <v>45532</v>
      </c>
      <c r="C7235" s="110"/>
      <c r="D7235" s="110"/>
      <c r="E7235" s="3"/>
      <c r="F7235">
        <v>1635</v>
      </c>
    </row>
    <row r="7236" spans="1:6" x14ac:dyDescent="0.25">
      <c r="A7236">
        <v>9857</v>
      </c>
      <c r="B7236" s="15">
        <v>45533</v>
      </c>
      <c r="C7236" s="110"/>
      <c r="D7236" s="110"/>
      <c r="E7236" s="3"/>
      <c r="F7236">
        <v>1636</v>
      </c>
    </row>
    <row r="7237" spans="1:6" x14ac:dyDescent="0.25">
      <c r="A7237">
        <v>9857</v>
      </c>
      <c r="B7237" s="15">
        <v>45534</v>
      </c>
      <c r="C7237" s="110"/>
      <c r="D7237" s="110"/>
      <c r="E7237" s="3"/>
      <c r="F7237">
        <v>1637</v>
      </c>
    </row>
    <row r="7238" spans="1:6" x14ac:dyDescent="0.25">
      <c r="A7238">
        <v>9857</v>
      </c>
      <c r="B7238" s="15">
        <v>45535</v>
      </c>
      <c r="C7238" s="133"/>
      <c r="D7238" s="133"/>
      <c r="E7238" s="3"/>
      <c r="F7238">
        <v>1638</v>
      </c>
    </row>
    <row r="7239" spans="1:6" x14ac:dyDescent="0.25">
      <c r="A7239">
        <v>9857</v>
      </c>
      <c r="B7239" s="15">
        <v>45536</v>
      </c>
      <c r="C7239" s="133"/>
      <c r="D7239" s="133"/>
      <c r="E7239" s="3"/>
      <c r="F7239">
        <v>1639</v>
      </c>
    </row>
    <row r="7240" spans="1:6" x14ac:dyDescent="0.25">
      <c r="A7240">
        <v>9857</v>
      </c>
      <c r="B7240" s="15">
        <v>45537</v>
      </c>
      <c r="C7240" s="110"/>
      <c r="D7240" s="110"/>
      <c r="E7240" s="3"/>
      <c r="F7240">
        <v>1640</v>
      </c>
    </row>
    <row r="7241" spans="1:6" x14ac:dyDescent="0.25">
      <c r="A7241">
        <v>9857</v>
      </c>
      <c r="B7241" s="15">
        <v>45538</v>
      </c>
      <c r="C7241" s="127"/>
      <c r="D7241" s="127"/>
      <c r="E7241" s="3"/>
      <c r="F7241">
        <v>1641</v>
      </c>
    </row>
    <row r="7242" spans="1:6" x14ac:dyDescent="0.25">
      <c r="A7242">
        <v>9857</v>
      </c>
      <c r="B7242" s="15">
        <v>45539</v>
      </c>
      <c r="C7242" s="110"/>
      <c r="D7242" s="110"/>
      <c r="E7242" s="3"/>
      <c r="F7242">
        <v>1642</v>
      </c>
    </row>
    <row r="7243" spans="1:6" x14ac:dyDescent="0.25">
      <c r="A7243">
        <v>9857</v>
      </c>
      <c r="B7243" s="15">
        <v>45540</v>
      </c>
      <c r="C7243" s="110"/>
      <c r="D7243" s="110"/>
      <c r="E7243" s="3"/>
      <c r="F7243">
        <v>1643</v>
      </c>
    </row>
    <row r="7244" spans="1:6" x14ac:dyDescent="0.25">
      <c r="A7244">
        <v>9857</v>
      </c>
      <c r="B7244" s="15">
        <v>45541</v>
      </c>
      <c r="C7244" s="110"/>
      <c r="D7244" s="110"/>
      <c r="E7244" s="3"/>
      <c r="F7244">
        <v>1644</v>
      </c>
    </row>
    <row r="7245" spans="1:6" x14ac:dyDescent="0.25">
      <c r="A7245">
        <v>9857</v>
      </c>
      <c r="B7245" s="15">
        <v>45542</v>
      </c>
      <c r="C7245" s="133"/>
      <c r="D7245" s="133"/>
      <c r="E7245" s="3"/>
      <c r="F7245">
        <v>1645</v>
      </c>
    </row>
    <row r="7246" spans="1:6" x14ac:dyDescent="0.25">
      <c r="A7246">
        <v>9857</v>
      </c>
      <c r="B7246" s="15">
        <v>45543</v>
      </c>
      <c r="C7246" s="133"/>
      <c r="D7246" s="133"/>
      <c r="E7246" s="3"/>
      <c r="F7246">
        <v>1646</v>
      </c>
    </row>
    <row r="7247" spans="1:6" x14ac:dyDescent="0.25">
      <c r="A7247">
        <v>9857</v>
      </c>
      <c r="B7247" s="15">
        <v>45544</v>
      </c>
      <c r="C7247" s="110"/>
      <c r="D7247" s="110"/>
      <c r="E7247" s="3"/>
      <c r="F7247">
        <v>1647</v>
      </c>
    </row>
    <row r="7248" spans="1:6" x14ac:dyDescent="0.25">
      <c r="A7248">
        <v>9857</v>
      </c>
      <c r="B7248" s="15">
        <v>45545</v>
      </c>
      <c r="C7248" s="110"/>
      <c r="D7248" s="110"/>
      <c r="E7248" s="3"/>
      <c r="F7248">
        <v>1648</v>
      </c>
    </row>
    <row r="7249" spans="1:6" x14ac:dyDescent="0.25">
      <c r="A7249">
        <v>9857</v>
      </c>
      <c r="B7249" s="15">
        <v>45546</v>
      </c>
      <c r="C7249" s="110"/>
      <c r="D7249" s="110"/>
      <c r="E7249" s="3"/>
      <c r="F7249">
        <v>1649</v>
      </c>
    </row>
    <row r="7250" spans="1:6" x14ac:dyDescent="0.25">
      <c r="A7250">
        <v>9857</v>
      </c>
      <c r="B7250" s="15">
        <v>45547</v>
      </c>
      <c r="C7250" s="110"/>
      <c r="D7250" s="110"/>
      <c r="E7250" s="3"/>
      <c r="F7250">
        <v>1650</v>
      </c>
    </row>
    <row r="7251" spans="1:6" x14ac:dyDescent="0.25">
      <c r="A7251">
        <v>9857</v>
      </c>
      <c r="B7251" s="15">
        <v>45548</v>
      </c>
      <c r="C7251" s="110"/>
      <c r="D7251" s="110"/>
      <c r="E7251" s="3"/>
      <c r="F7251">
        <v>1651</v>
      </c>
    </row>
    <row r="7252" spans="1:6" x14ac:dyDescent="0.25">
      <c r="A7252">
        <v>9857</v>
      </c>
      <c r="B7252" s="15">
        <v>45549</v>
      </c>
      <c r="C7252" s="133"/>
      <c r="D7252" s="133"/>
      <c r="E7252" s="3"/>
      <c r="F7252">
        <v>1652</v>
      </c>
    </row>
    <row r="7253" spans="1:6" x14ac:dyDescent="0.25">
      <c r="A7253">
        <v>9857</v>
      </c>
      <c r="B7253" s="15">
        <v>45550</v>
      </c>
      <c r="C7253" s="133"/>
      <c r="D7253" s="133"/>
      <c r="E7253" s="3"/>
      <c r="F7253">
        <v>1653</v>
      </c>
    </row>
    <row r="7254" spans="1:6" x14ac:dyDescent="0.25">
      <c r="A7254">
        <v>9857</v>
      </c>
      <c r="B7254" s="15">
        <v>45551</v>
      </c>
      <c r="C7254" s="110"/>
      <c r="D7254" s="110"/>
      <c r="E7254" s="3"/>
      <c r="F7254">
        <v>1654</v>
      </c>
    </row>
    <row r="7255" spans="1:6" x14ac:dyDescent="0.25">
      <c r="A7255">
        <v>9857</v>
      </c>
      <c r="B7255" s="15">
        <v>45552</v>
      </c>
      <c r="C7255" s="110"/>
      <c r="D7255" s="110"/>
      <c r="E7255" s="3"/>
      <c r="F7255">
        <v>1655</v>
      </c>
    </row>
    <row r="7256" spans="1:6" x14ac:dyDescent="0.25">
      <c r="A7256">
        <v>9857</v>
      </c>
      <c r="B7256" s="15">
        <v>45553</v>
      </c>
      <c r="C7256" s="110"/>
      <c r="D7256" s="110"/>
      <c r="E7256" s="3"/>
      <c r="F7256">
        <v>1656</v>
      </c>
    </row>
    <row r="7257" spans="1:6" x14ac:dyDescent="0.25">
      <c r="A7257">
        <v>9857</v>
      </c>
      <c r="B7257" s="15">
        <v>45554</v>
      </c>
      <c r="C7257" s="110"/>
      <c r="D7257" s="110"/>
      <c r="E7257" s="3"/>
      <c r="F7257">
        <v>1657</v>
      </c>
    </row>
    <row r="7258" spans="1:6" x14ac:dyDescent="0.25">
      <c r="A7258">
        <v>9857</v>
      </c>
      <c r="B7258" s="15">
        <v>45555</v>
      </c>
      <c r="C7258" s="110"/>
      <c r="D7258" s="110"/>
      <c r="E7258" s="3"/>
      <c r="F7258">
        <v>1658</v>
      </c>
    </row>
    <row r="7259" spans="1:6" x14ac:dyDescent="0.25">
      <c r="A7259">
        <v>9857</v>
      </c>
      <c r="B7259" s="15">
        <v>45556</v>
      </c>
      <c r="C7259" s="133"/>
      <c r="D7259" s="133"/>
      <c r="E7259" s="3"/>
      <c r="F7259">
        <v>1659</v>
      </c>
    </row>
    <row r="7260" spans="1:6" x14ac:dyDescent="0.25">
      <c r="A7260">
        <v>9857</v>
      </c>
      <c r="B7260" s="15">
        <v>45557</v>
      </c>
      <c r="C7260" s="133"/>
      <c r="D7260" s="133"/>
      <c r="E7260" s="3"/>
      <c r="F7260">
        <v>1660</v>
      </c>
    </row>
    <row r="7261" spans="1:6" x14ac:dyDescent="0.25">
      <c r="A7261">
        <v>9857</v>
      </c>
      <c r="B7261" s="15">
        <v>45558</v>
      </c>
      <c r="C7261" s="110"/>
      <c r="D7261" s="110"/>
      <c r="E7261" s="3"/>
      <c r="F7261">
        <v>1661</v>
      </c>
    </row>
    <row r="7262" spans="1:6" x14ac:dyDescent="0.25">
      <c r="A7262">
        <v>9857</v>
      </c>
      <c r="B7262" s="15">
        <v>45559</v>
      </c>
      <c r="C7262" s="110"/>
      <c r="D7262" s="110"/>
      <c r="E7262" s="3"/>
      <c r="F7262">
        <v>1662</v>
      </c>
    </row>
    <row r="7263" spans="1:6" x14ac:dyDescent="0.25">
      <c r="A7263">
        <v>9857</v>
      </c>
      <c r="B7263" s="15">
        <v>45560</v>
      </c>
      <c r="C7263" s="110"/>
      <c r="D7263" s="110"/>
      <c r="E7263" s="3"/>
      <c r="F7263">
        <v>1663</v>
      </c>
    </row>
    <row r="7264" spans="1:6" x14ac:dyDescent="0.25">
      <c r="A7264">
        <v>9857</v>
      </c>
      <c r="B7264" s="15">
        <v>45561</v>
      </c>
      <c r="C7264" s="110"/>
      <c r="D7264" s="110"/>
      <c r="E7264" s="3"/>
      <c r="F7264">
        <v>1664</v>
      </c>
    </row>
    <row r="7265" spans="1:6" x14ac:dyDescent="0.25">
      <c r="A7265">
        <v>9857</v>
      </c>
      <c r="B7265" s="15">
        <v>45562</v>
      </c>
      <c r="C7265" s="110"/>
      <c r="D7265" s="110"/>
      <c r="E7265" s="3"/>
      <c r="F7265">
        <v>1665</v>
      </c>
    </row>
    <row r="7266" spans="1:6" x14ac:dyDescent="0.25">
      <c r="A7266">
        <v>9857</v>
      </c>
      <c r="B7266" s="15">
        <v>45563</v>
      </c>
      <c r="C7266" s="133"/>
      <c r="D7266" s="133"/>
      <c r="E7266" s="3"/>
      <c r="F7266">
        <v>1666</v>
      </c>
    </row>
    <row r="7267" spans="1:6" x14ac:dyDescent="0.25">
      <c r="A7267">
        <v>9857</v>
      </c>
      <c r="B7267" s="15">
        <v>45564</v>
      </c>
      <c r="C7267" s="133"/>
      <c r="D7267" s="133"/>
      <c r="E7267" s="3"/>
      <c r="F7267">
        <v>1667</v>
      </c>
    </row>
    <row r="7268" spans="1:6" x14ac:dyDescent="0.25">
      <c r="A7268">
        <v>9857</v>
      </c>
      <c r="B7268" s="15">
        <v>45565</v>
      </c>
      <c r="C7268" s="110"/>
      <c r="D7268" s="110"/>
      <c r="E7268" s="3"/>
      <c r="F7268">
        <v>1668</v>
      </c>
    </row>
    <row r="7269" spans="1:6" x14ac:dyDescent="0.25">
      <c r="A7269">
        <v>9857</v>
      </c>
      <c r="B7269" s="15">
        <v>45566</v>
      </c>
      <c r="C7269" s="127"/>
      <c r="D7269" s="127"/>
      <c r="E7269" s="3"/>
      <c r="F7269">
        <v>1669</v>
      </c>
    </row>
    <row r="7270" spans="1:6" x14ac:dyDescent="0.25">
      <c r="A7270">
        <v>9857</v>
      </c>
      <c r="B7270" s="15">
        <v>45567</v>
      </c>
      <c r="C7270" s="110"/>
      <c r="D7270" s="110"/>
      <c r="E7270" s="3"/>
      <c r="F7270">
        <v>1670</v>
      </c>
    </row>
    <row r="7271" spans="1:6" x14ac:dyDescent="0.25">
      <c r="A7271">
        <v>9857</v>
      </c>
      <c r="B7271" s="15">
        <v>45568</v>
      </c>
      <c r="C7271" s="110"/>
      <c r="D7271" s="110"/>
      <c r="E7271" s="3"/>
      <c r="F7271">
        <v>1671</v>
      </c>
    </row>
    <row r="7272" spans="1:6" x14ac:dyDescent="0.25">
      <c r="A7272">
        <v>9857</v>
      </c>
      <c r="B7272" s="15">
        <v>45569</v>
      </c>
      <c r="C7272" s="110"/>
      <c r="D7272" s="110"/>
      <c r="E7272" s="3"/>
      <c r="F7272">
        <v>1672</v>
      </c>
    </row>
    <row r="7273" spans="1:6" x14ac:dyDescent="0.25">
      <c r="A7273">
        <v>9857</v>
      </c>
      <c r="B7273" s="15">
        <v>45570</v>
      </c>
      <c r="C7273" s="133"/>
      <c r="D7273" s="133"/>
      <c r="E7273" s="3"/>
      <c r="F7273">
        <v>1673</v>
      </c>
    </row>
    <row r="7274" spans="1:6" x14ac:dyDescent="0.25">
      <c r="A7274">
        <v>9857</v>
      </c>
      <c r="B7274" s="15">
        <v>45571</v>
      </c>
      <c r="C7274" s="133"/>
      <c r="D7274" s="133"/>
      <c r="E7274" s="3"/>
      <c r="F7274">
        <v>1674</v>
      </c>
    </row>
    <row r="7275" spans="1:6" x14ac:dyDescent="0.25">
      <c r="A7275">
        <v>9857</v>
      </c>
      <c r="B7275" s="15">
        <v>45572</v>
      </c>
      <c r="C7275" s="110"/>
      <c r="D7275" s="110"/>
      <c r="E7275" s="3"/>
      <c r="F7275">
        <v>1675</v>
      </c>
    </row>
    <row r="7276" spans="1:6" x14ac:dyDescent="0.25">
      <c r="A7276">
        <v>9857</v>
      </c>
      <c r="B7276" s="15">
        <v>45573</v>
      </c>
      <c r="C7276" s="110"/>
      <c r="D7276" s="110"/>
      <c r="E7276" s="3"/>
      <c r="F7276">
        <v>1676</v>
      </c>
    </row>
    <row r="7277" spans="1:6" x14ac:dyDescent="0.25">
      <c r="A7277">
        <v>9857</v>
      </c>
      <c r="B7277" s="15">
        <v>45574</v>
      </c>
      <c r="C7277" s="110"/>
      <c r="D7277" s="110"/>
      <c r="E7277" s="3"/>
      <c r="F7277">
        <v>1677</v>
      </c>
    </row>
    <row r="7278" spans="1:6" x14ac:dyDescent="0.25">
      <c r="A7278">
        <v>9857</v>
      </c>
      <c r="B7278" s="15">
        <v>45575</v>
      </c>
      <c r="C7278" s="110"/>
      <c r="D7278" s="110"/>
      <c r="E7278" s="3"/>
      <c r="F7278">
        <v>1678</v>
      </c>
    </row>
    <row r="7279" spans="1:6" x14ac:dyDescent="0.25">
      <c r="A7279">
        <v>9857</v>
      </c>
      <c r="B7279" s="15">
        <v>45576</v>
      </c>
      <c r="C7279" s="110"/>
      <c r="D7279" s="110"/>
      <c r="E7279" s="3"/>
      <c r="F7279">
        <v>1679</v>
      </c>
    </row>
    <row r="7280" spans="1:6" x14ac:dyDescent="0.25">
      <c r="A7280">
        <v>9857</v>
      </c>
      <c r="B7280" s="15">
        <v>45577</v>
      </c>
      <c r="C7280" s="133"/>
      <c r="D7280" s="133"/>
      <c r="E7280" s="3"/>
      <c r="F7280">
        <v>1680</v>
      </c>
    </row>
    <row r="7281" spans="1:6" x14ac:dyDescent="0.25">
      <c r="A7281">
        <v>9857</v>
      </c>
      <c r="B7281" s="15">
        <v>45578</v>
      </c>
      <c r="C7281" s="133"/>
      <c r="D7281" s="133"/>
      <c r="E7281" s="3"/>
      <c r="F7281">
        <v>1681</v>
      </c>
    </row>
    <row r="7282" spans="1:6" x14ac:dyDescent="0.25">
      <c r="A7282">
        <v>9857</v>
      </c>
      <c r="B7282" s="15">
        <v>45579</v>
      </c>
      <c r="C7282" s="110"/>
      <c r="D7282" s="110"/>
      <c r="E7282" s="3"/>
      <c r="F7282">
        <v>1682</v>
      </c>
    </row>
    <row r="7283" spans="1:6" x14ac:dyDescent="0.25">
      <c r="A7283">
        <v>9857</v>
      </c>
      <c r="B7283" s="15">
        <v>45580</v>
      </c>
      <c r="C7283" s="110"/>
      <c r="D7283" s="110"/>
      <c r="E7283" s="3"/>
      <c r="F7283">
        <v>1683</v>
      </c>
    </row>
    <row r="7284" spans="1:6" x14ac:dyDescent="0.25">
      <c r="A7284">
        <v>9857</v>
      </c>
      <c r="B7284" s="15">
        <v>45581</v>
      </c>
      <c r="C7284" s="110"/>
      <c r="D7284" s="110"/>
      <c r="E7284" s="3"/>
      <c r="F7284">
        <v>1684</v>
      </c>
    </row>
    <row r="7285" spans="1:6" x14ac:dyDescent="0.25">
      <c r="A7285">
        <v>9857</v>
      </c>
      <c r="B7285" s="15">
        <v>45582</v>
      </c>
      <c r="C7285" s="110"/>
      <c r="D7285" s="110"/>
      <c r="E7285" s="3"/>
      <c r="F7285">
        <v>1685</v>
      </c>
    </row>
    <row r="7286" spans="1:6" x14ac:dyDescent="0.25">
      <c r="A7286">
        <v>9857</v>
      </c>
      <c r="B7286" s="15">
        <v>45583</v>
      </c>
      <c r="C7286" s="110"/>
      <c r="D7286" s="110"/>
      <c r="E7286" s="3"/>
      <c r="F7286">
        <v>1686</v>
      </c>
    </row>
    <row r="7287" spans="1:6" x14ac:dyDescent="0.25">
      <c r="A7287">
        <v>9857</v>
      </c>
      <c r="B7287" s="15">
        <v>45584</v>
      </c>
      <c r="C7287" s="133"/>
      <c r="D7287" s="133"/>
      <c r="E7287" s="3"/>
      <c r="F7287">
        <v>1687</v>
      </c>
    </row>
    <row r="7288" spans="1:6" x14ac:dyDescent="0.25">
      <c r="A7288">
        <v>9857</v>
      </c>
      <c r="B7288" s="15">
        <v>45585</v>
      </c>
      <c r="C7288" s="133"/>
      <c r="D7288" s="133"/>
      <c r="E7288" s="3"/>
      <c r="F7288">
        <v>1688</v>
      </c>
    </row>
    <row r="7289" spans="1:6" x14ac:dyDescent="0.25">
      <c r="A7289">
        <v>9857</v>
      </c>
      <c r="B7289" s="15">
        <v>45586</v>
      </c>
      <c r="C7289" s="110"/>
      <c r="D7289" s="110"/>
      <c r="E7289" s="3"/>
      <c r="F7289">
        <v>1689</v>
      </c>
    </row>
    <row r="7290" spans="1:6" x14ac:dyDescent="0.25">
      <c r="A7290">
        <v>9857</v>
      </c>
      <c r="B7290" s="15">
        <v>45587</v>
      </c>
      <c r="C7290" s="110"/>
      <c r="D7290" s="110"/>
      <c r="E7290" s="3"/>
      <c r="F7290">
        <v>1690</v>
      </c>
    </row>
    <row r="7291" spans="1:6" x14ac:dyDescent="0.25">
      <c r="A7291">
        <v>9857</v>
      </c>
      <c r="B7291" s="15">
        <v>45588</v>
      </c>
      <c r="C7291" s="110"/>
      <c r="D7291" s="110"/>
      <c r="E7291" s="3"/>
      <c r="F7291">
        <v>1691</v>
      </c>
    </row>
    <row r="7292" spans="1:6" x14ac:dyDescent="0.25">
      <c r="A7292">
        <v>9857</v>
      </c>
      <c r="B7292" s="15">
        <v>45589</v>
      </c>
      <c r="C7292" s="110"/>
      <c r="D7292" s="110"/>
      <c r="E7292" s="3"/>
      <c r="F7292">
        <v>1692</v>
      </c>
    </row>
    <row r="7293" spans="1:6" x14ac:dyDescent="0.25">
      <c r="A7293">
        <v>9857</v>
      </c>
      <c r="B7293" s="15">
        <v>45590</v>
      </c>
      <c r="C7293" s="110"/>
      <c r="D7293" s="110"/>
      <c r="E7293" s="3"/>
      <c r="F7293">
        <v>1693</v>
      </c>
    </row>
    <row r="7294" spans="1:6" x14ac:dyDescent="0.25">
      <c r="A7294">
        <v>9857</v>
      </c>
      <c r="B7294" s="15">
        <v>45591</v>
      </c>
      <c r="C7294" s="133"/>
      <c r="D7294" s="133"/>
      <c r="E7294" s="3"/>
      <c r="F7294">
        <v>1694</v>
      </c>
    </row>
    <row r="7295" spans="1:6" x14ac:dyDescent="0.25">
      <c r="A7295">
        <v>9857</v>
      </c>
      <c r="B7295" s="15">
        <v>45592</v>
      </c>
      <c r="C7295" s="133"/>
      <c r="D7295" s="133"/>
      <c r="E7295" s="3"/>
      <c r="F7295">
        <v>1695</v>
      </c>
    </row>
    <row r="7296" spans="1:6" x14ac:dyDescent="0.25">
      <c r="A7296">
        <v>9857</v>
      </c>
      <c r="B7296" s="15">
        <v>45593</v>
      </c>
      <c r="C7296" s="110"/>
      <c r="D7296" s="110"/>
      <c r="E7296" s="3"/>
      <c r="F7296">
        <v>1696</v>
      </c>
    </row>
    <row r="7297" spans="1:6" x14ac:dyDescent="0.25">
      <c r="A7297">
        <v>9857</v>
      </c>
      <c r="B7297" s="15">
        <v>45594</v>
      </c>
      <c r="C7297" s="127"/>
      <c r="D7297" s="127"/>
      <c r="E7297" s="3"/>
      <c r="F7297">
        <v>1697</v>
      </c>
    </row>
    <row r="7298" spans="1:6" x14ac:dyDescent="0.25">
      <c r="A7298">
        <v>9857</v>
      </c>
      <c r="B7298" s="15">
        <v>45595</v>
      </c>
      <c r="C7298" s="110"/>
      <c r="D7298" s="110"/>
      <c r="E7298" s="3"/>
      <c r="F7298">
        <v>1698</v>
      </c>
    </row>
    <row r="7299" spans="1:6" x14ac:dyDescent="0.25">
      <c r="A7299">
        <v>9857</v>
      </c>
      <c r="B7299" s="15">
        <v>45596</v>
      </c>
      <c r="C7299" s="110"/>
      <c r="D7299" s="110"/>
      <c r="E7299" s="3"/>
      <c r="F7299">
        <v>1699</v>
      </c>
    </row>
    <row r="7300" spans="1:6" x14ac:dyDescent="0.25">
      <c r="A7300">
        <v>9857</v>
      </c>
      <c r="B7300" s="15">
        <v>45597</v>
      </c>
      <c r="C7300" s="110"/>
      <c r="D7300" s="110"/>
      <c r="E7300" s="3"/>
      <c r="F7300">
        <v>1700</v>
      </c>
    </row>
    <row r="7301" spans="1:6" x14ac:dyDescent="0.25">
      <c r="A7301">
        <v>9857</v>
      </c>
      <c r="B7301" s="15">
        <v>45598</v>
      </c>
      <c r="C7301" s="133"/>
      <c r="D7301" s="133"/>
      <c r="E7301" s="3"/>
      <c r="F7301">
        <v>1701</v>
      </c>
    </row>
    <row r="7302" spans="1:6" x14ac:dyDescent="0.25">
      <c r="A7302">
        <v>9857</v>
      </c>
      <c r="B7302" s="15">
        <v>45599</v>
      </c>
      <c r="C7302" s="133"/>
      <c r="D7302" s="133"/>
      <c r="E7302" s="3"/>
      <c r="F7302">
        <v>1702</v>
      </c>
    </row>
    <row r="7303" spans="1:6" x14ac:dyDescent="0.25">
      <c r="A7303">
        <v>9857</v>
      </c>
      <c r="B7303" s="15">
        <v>45600</v>
      </c>
      <c r="C7303" s="110"/>
      <c r="D7303" s="110"/>
      <c r="E7303" s="3"/>
      <c r="F7303">
        <v>1703</v>
      </c>
    </row>
    <row r="7304" spans="1:6" x14ac:dyDescent="0.25">
      <c r="A7304">
        <v>9857</v>
      </c>
      <c r="B7304" s="15">
        <v>45601</v>
      </c>
      <c r="C7304" s="110"/>
      <c r="D7304" s="110"/>
      <c r="E7304" s="3"/>
      <c r="F7304">
        <v>1704</v>
      </c>
    </row>
    <row r="7305" spans="1:6" x14ac:dyDescent="0.25">
      <c r="A7305">
        <v>9857</v>
      </c>
      <c r="B7305" s="15">
        <v>45602</v>
      </c>
      <c r="C7305" s="110"/>
      <c r="D7305" s="110"/>
      <c r="E7305" s="3"/>
      <c r="F7305">
        <v>1705</v>
      </c>
    </row>
    <row r="7306" spans="1:6" x14ac:dyDescent="0.25">
      <c r="A7306">
        <v>9857</v>
      </c>
      <c r="B7306" s="15">
        <v>45603</v>
      </c>
      <c r="C7306" s="110"/>
      <c r="D7306" s="110"/>
      <c r="E7306" s="3"/>
      <c r="F7306">
        <v>1706</v>
      </c>
    </row>
    <row r="7307" spans="1:6" x14ac:dyDescent="0.25">
      <c r="A7307">
        <v>9857</v>
      </c>
      <c r="B7307" s="15">
        <v>45604</v>
      </c>
      <c r="C7307" s="110"/>
      <c r="D7307" s="110"/>
      <c r="E7307" s="3"/>
      <c r="F7307">
        <v>1707</v>
      </c>
    </row>
    <row r="7308" spans="1:6" x14ac:dyDescent="0.25">
      <c r="A7308">
        <v>9857</v>
      </c>
      <c r="B7308" s="15">
        <v>45605</v>
      </c>
      <c r="C7308" s="133"/>
      <c r="D7308" s="133"/>
      <c r="E7308" s="3"/>
      <c r="F7308">
        <v>1708</v>
      </c>
    </row>
    <row r="7309" spans="1:6" x14ac:dyDescent="0.25">
      <c r="A7309">
        <v>9857</v>
      </c>
      <c r="B7309" s="15">
        <v>45606</v>
      </c>
      <c r="C7309" s="133"/>
      <c r="D7309" s="133"/>
      <c r="E7309" s="3"/>
      <c r="F7309">
        <v>1709</v>
      </c>
    </row>
    <row r="7310" spans="1:6" x14ac:dyDescent="0.25">
      <c r="A7310">
        <v>9857</v>
      </c>
      <c r="B7310" s="15">
        <v>45607</v>
      </c>
      <c r="C7310" s="110"/>
      <c r="D7310" s="110"/>
      <c r="E7310" s="3"/>
      <c r="F7310">
        <v>1710</v>
      </c>
    </row>
    <row r="7311" spans="1:6" x14ac:dyDescent="0.25">
      <c r="A7311">
        <v>9857</v>
      </c>
      <c r="B7311" s="15">
        <v>45608</v>
      </c>
      <c r="C7311" s="110"/>
      <c r="D7311" s="110"/>
      <c r="E7311" s="3"/>
      <c r="F7311">
        <v>1711</v>
      </c>
    </row>
    <row r="7312" spans="1:6" x14ac:dyDescent="0.25">
      <c r="A7312">
        <v>9857</v>
      </c>
      <c r="B7312" s="15">
        <v>45609</v>
      </c>
      <c r="C7312" s="110"/>
      <c r="D7312" s="110"/>
      <c r="E7312" s="3"/>
      <c r="F7312">
        <v>1712</v>
      </c>
    </row>
    <row r="7313" spans="1:6" x14ac:dyDescent="0.25">
      <c r="A7313">
        <v>9857</v>
      </c>
      <c r="B7313" s="15">
        <v>45610</v>
      </c>
      <c r="C7313" s="110"/>
      <c r="D7313" s="110"/>
      <c r="E7313" s="3"/>
      <c r="F7313">
        <v>1713</v>
      </c>
    </row>
    <row r="7314" spans="1:6" x14ac:dyDescent="0.25">
      <c r="A7314">
        <v>9857</v>
      </c>
      <c r="B7314" s="15">
        <v>45611</v>
      </c>
      <c r="C7314" s="110"/>
      <c r="D7314" s="110"/>
      <c r="E7314" s="3"/>
      <c r="F7314">
        <v>1714</v>
      </c>
    </row>
    <row r="7315" spans="1:6" x14ac:dyDescent="0.25">
      <c r="A7315">
        <v>9857</v>
      </c>
      <c r="B7315" s="15">
        <v>45612</v>
      </c>
      <c r="C7315" s="133"/>
      <c r="D7315" s="133"/>
      <c r="E7315" s="3"/>
      <c r="F7315">
        <v>1715</v>
      </c>
    </row>
    <row r="7316" spans="1:6" x14ac:dyDescent="0.25">
      <c r="A7316">
        <v>9857</v>
      </c>
      <c r="B7316" s="15">
        <v>45613</v>
      </c>
      <c r="C7316" s="133"/>
      <c r="D7316" s="133"/>
      <c r="E7316" s="3"/>
      <c r="F7316">
        <v>1716</v>
      </c>
    </row>
    <row r="7317" spans="1:6" x14ac:dyDescent="0.25">
      <c r="A7317">
        <v>9857</v>
      </c>
      <c r="B7317" s="15">
        <v>45614</v>
      </c>
      <c r="C7317" s="110"/>
      <c r="D7317" s="110"/>
      <c r="E7317" s="3"/>
      <c r="F7317">
        <v>1717</v>
      </c>
    </row>
    <row r="7318" spans="1:6" x14ac:dyDescent="0.25">
      <c r="A7318">
        <v>9857</v>
      </c>
      <c r="B7318" s="15">
        <v>45615</v>
      </c>
      <c r="C7318" s="110"/>
      <c r="D7318" s="110"/>
      <c r="E7318" s="3"/>
      <c r="F7318">
        <v>1718</v>
      </c>
    </row>
    <row r="7319" spans="1:6" x14ac:dyDescent="0.25">
      <c r="A7319">
        <v>9857</v>
      </c>
      <c r="B7319" s="15">
        <v>45616</v>
      </c>
      <c r="C7319" s="110"/>
      <c r="D7319" s="110"/>
      <c r="E7319" s="3"/>
      <c r="F7319">
        <v>1719</v>
      </c>
    </row>
    <row r="7320" spans="1:6" x14ac:dyDescent="0.25">
      <c r="A7320">
        <v>9857</v>
      </c>
      <c r="B7320" s="15">
        <v>45617</v>
      </c>
      <c r="C7320" s="110"/>
      <c r="D7320" s="110"/>
      <c r="E7320" s="3"/>
      <c r="F7320">
        <v>1720</v>
      </c>
    </row>
    <row r="7321" spans="1:6" x14ac:dyDescent="0.25">
      <c r="A7321">
        <v>9857</v>
      </c>
      <c r="B7321" s="15">
        <v>45618</v>
      </c>
      <c r="C7321" s="110"/>
      <c r="D7321" s="110"/>
      <c r="E7321" s="3"/>
      <c r="F7321">
        <v>1721</v>
      </c>
    </row>
    <row r="7322" spans="1:6" x14ac:dyDescent="0.25">
      <c r="A7322">
        <v>9857</v>
      </c>
      <c r="B7322" s="15">
        <v>45619</v>
      </c>
      <c r="C7322" s="133"/>
      <c r="D7322" s="133"/>
      <c r="E7322" s="3"/>
      <c r="F7322">
        <v>1722</v>
      </c>
    </row>
    <row r="7323" spans="1:6" x14ac:dyDescent="0.25">
      <c r="A7323">
        <v>9857</v>
      </c>
      <c r="B7323" s="15">
        <v>45620</v>
      </c>
      <c r="C7323" s="133"/>
      <c r="D7323" s="133"/>
      <c r="E7323" s="3"/>
      <c r="F7323">
        <v>1723</v>
      </c>
    </row>
  </sheetData>
  <sortState ref="A2:F7323">
    <sortCondition ref="A1:A7322"/>
    <sortCondition ref="B1:B7322"/>
  </sortState>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I18"/>
  <sheetViews>
    <sheetView workbookViewId="0"/>
  </sheetViews>
  <sheetFormatPr baseColWidth="10" defaultColWidth="20.28515625" defaultRowHeight="15" x14ac:dyDescent="0.25"/>
  <sheetData>
    <row r="1" spans="1:9" x14ac:dyDescent="0.25">
      <c r="A1" s="168" t="s">
        <v>225</v>
      </c>
      <c r="B1" s="168" t="s">
        <v>247</v>
      </c>
      <c r="C1" s="168" t="s">
        <v>248</v>
      </c>
      <c r="D1" s="168" t="s">
        <v>249</v>
      </c>
      <c r="E1" s="168" t="s">
        <v>250</v>
      </c>
      <c r="F1" s="168" t="s">
        <v>251</v>
      </c>
      <c r="G1" s="166"/>
      <c r="H1" s="166"/>
      <c r="I1" s="166"/>
    </row>
    <row r="2" spans="1:9" x14ac:dyDescent="0.25">
      <c r="A2" s="188">
        <v>1</v>
      </c>
      <c r="B2" s="189">
        <v>45280.375</v>
      </c>
      <c r="C2" s="189">
        <v>45280.458333333336</v>
      </c>
      <c r="D2" s="100" t="s">
        <v>244</v>
      </c>
      <c r="E2" s="100" t="s">
        <v>336</v>
      </c>
      <c r="F2" s="189">
        <v>45289.394641203704</v>
      </c>
      <c r="G2" s="166"/>
      <c r="H2" s="166"/>
      <c r="I2" s="166"/>
    </row>
    <row r="3" spans="1:9" x14ac:dyDescent="0.25">
      <c r="A3" s="188">
        <v>2</v>
      </c>
      <c r="B3" s="189">
        <v>45280.416666666664</v>
      </c>
      <c r="C3" s="189">
        <v>45280.458333333336</v>
      </c>
      <c r="D3" s="100" t="s">
        <v>217</v>
      </c>
      <c r="E3" s="100" t="s">
        <v>336</v>
      </c>
      <c r="F3" s="189">
        <v>45289.400289351855</v>
      </c>
      <c r="G3" s="166"/>
      <c r="H3" s="166"/>
      <c r="I3" s="166"/>
    </row>
    <row r="4" spans="1:9" x14ac:dyDescent="0.25">
      <c r="A4" s="188">
        <v>3</v>
      </c>
      <c r="B4" s="189">
        <v>45280.416666666664</v>
      </c>
      <c r="C4" s="189">
        <v>45280.520833333336</v>
      </c>
      <c r="D4" s="100" t="s">
        <v>245</v>
      </c>
      <c r="E4" s="100" t="s">
        <v>336</v>
      </c>
      <c r="F4" s="189">
        <v>45289.411747685182</v>
      </c>
      <c r="G4" s="166"/>
      <c r="H4" s="166"/>
      <c r="I4" s="166"/>
    </row>
    <row r="5" spans="1:9" x14ac:dyDescent="0.25">
      <c r="A5" s="188">
        <v>4</v>
      </c>
      <c r="B5" s="189">
        <v>45280.541666666664</v>
      </c>
      <c r="C5" s="189">
        <v>45280.625</v>
      </c>
      <c r="D5" s="100" t="s">
        <v>217</v>
      </c>
      <c r="E5" s="100" t="s">
        <v>336</v>
      </c>
      <c r="F5" s="189">
        <v>45289.412361111114</v>
      </c>
      <c r="G5" s="166"/>
      <c r="H5" s="166"/>
      <c r="I5" s="166"/>
    </row>
    <row r="6" spans="1:9" x14ac:dyDescent="0.25">
      <c r="A6" s="188">
        <v>5</v>
      </c>
      <c r="B6" s="189">
        <v>45281.541666666664</v>
      </c>
      <c r="C6" s="189">
        <v>45281.75</v>
      </c>
      <c r="D6" s="100" t="s">
        <v>217</v>
      </c>
      <c r="E6" s="100" t="s">
        <v>336</v>
      </c>
      <c r="F6" s="189">
        <v>45289.417175925926</v>
      </c>
      <c r="G6" s="166"/>
      <c r="H6" s="166"/>
      <c r="I6" s="166"/>
    </row>
    <row r="7" spans="1:9" x14ac:dyDescent="0.25">
      <c r="A7" s="188">
        <v>6</v>
      </c>
      <c r="B7" s="189">
        <v>45281.458333333336</v>
      </c>
      <c r="C7" s="189">
        <v>45281.541666666664</v>
      </c>
      <c r="D7" s="100" t="s">
        <v>245</v>
      </c>
      <c r="E7" s="100" t="s">
        <v>336</v>
      </c>
      <c r="F7" s="189">
        <v>45289.417534722219</v>
      </c>
      <c r="G7" s="166"/>
      <c r="H7" s="166"/>
      <c r="I7" s="166"/>
    </row>
    <row r="8" spans="1:9" x14ac:dyDescent="0.25">
      <c r="A8" s="188">
        <v>7</v>
      </c>
      <c r="B8" s="189">
        <v>45280.625</v>
      </c>
      <c r="C8" s="189">
        <v>45280.6875</v>
      </c>
      <c r="D8" s="100" t="s">
        <v>244</v>
      </c>
      <c r="E8" s="100" t="s">
        <v>336</v>
      </c>
      <c r="F8" s="189">
        <v>45289.419074074074</v>
      </c>
      <c r="G8" s="166"/>
      <c r="H8" s="166"/>
      <c r="I8" s="166"/>
    </row>
    <row r="9" spans="1:9" x14ac:dyDescent="0.25">
      <c r="A9" s="188">
        <v>8</v>
      </c>
      <c r="B9" s="189">
        <v>45282.375</v>
      </c>
      <c r="C9" s="189">
        <v>45282.5</v>
      </c>
      <c r="D9" s="100" t="s">
        <v>217</v>
      </c>
      <c r="E9" s="100" t="s">
        <v>336</v>
      </c>
      <c r="F9" s="189">
        <v>45289.422291666669</v>
      </c>
      <c r="G9" s="166"/>
      <c r="H9" s="166"/>
      <c r="I9" s="166"/>
    </row>
    <row r="10" spans="1:9" x14ac:dyDescent="0.25">
      <c r="A10" s="188">
        <v>9</v>
      </c>
      <c r="B10" s="189">
        <v>45279.5625</v>
      </c>
      <c r="C10" s="189">
        <v>45279.666666666664</v>
      </c>
      <c r="D10" s="100" t="s">
        <v>217</v>
      </c>
      <c r="E10" s="100" t="s">
        <v>336</v>
      </c>
      <c r="F10" s="189">
        <v>45290.397465277776</v>
      </c>
      <c r="G10" s="166"/>
      <c r="H10" s="166"/>
      <c r="I10" s="166"/>
    </row>
    <row r="11" spans="1:9" x14ac:dyDescent="0.25">
      <c r="A11" s="188">
        <v>11</v>
      </c>
      <c r="B11" s="189">
        <v>45301.375</v>
      </c>
      <c r="C11" s="189">
        <v>45301.458333333336</v>
      </c>
      <c r="D11" s="100" t="s">
        <v>217</v>
      </c>
      <c r="E11" s="100" t="s">
        <v>336</v>
      </c>
      <c r="F11" s="189">
        <v>45298.484560185185</v>
      </c>
      <c r="G11" s="166"/>
      <c r="H11" s="166"/>
      <c r="I11" s="166"/>
    </row>
    <row r="12" spans="1:9" x14ac:dyDescent="0.25">
      <c r="A12" s="166">
        <v>14</v>
      </c>
      <c r="B12" s="190">
        <v>45303.416666666664</v>
      </c>
      <c r="C12" s="190">
        <v>45303.520833333336</v>
      </c>
      <c r="D12" s="166" t="s">
        <v>217</v>
      </c>
      <c r="E12" s="166" t="s">
        <v>336</v>
      </c>
      <c r="F12" s="190">
        <v>45298.488263888888</v>
      </c>
      <c r="G12" s="166"/>
      <c r="H12" s="166"/>
      <c r="I12" s="166"/>
    </row>
    <row r="13" spans="1:9" x14ac:dyDescent="0.25">
      <c r="A13" s="166">
        <v>15</v>
      </c>
      <c r="B13" s="190">
        <v>45299.416666666664</v>
      </c>
      <c r="C13" s="190">
        <v>45299.5</v>
      </c>
      <c r="D13" s="166" t="s">
        <v>217</v>
      </c>
      <c r="E13" s="166" t="s">
        <v>336</v>
      </c>
      <c r="F13" s="190">
        <v>45298.509317129632</v>
      </c>
      <c r="G13" s="166"/>
      <c r="H13" s="166"/>
      <c r="I13" s="166"/>
    </row>
    <row r="14" spans="1:9" x14ac:dyDescent="0.25">
      <c r="A14" s="166">
        <v>16</v>
      </c>
      <c r="B14" s="190">
        <v>45302.333333333336</v>
      </c>
      <c r="C14" s="190">
        <v>45302.5</v>
      </c>
      <c r="D14" s="166" t="s">
        <v>245</v>
      </c>
      <c r="E14" s="166" t="s">
        <v>336</v>
      </c>
      <c r="F14" s="190">
        <v>45298.516400462962</v>
      </c>
      <c r="G14" s="166"/>
      <c r="H14" s="166"/>
      <c r="I14" s="166"/>
    </row>
    <row r="15" spans="1:9" x14ac:dyDescent="0.25">
      <c r="A15" s="166">
        <v>17</v>
      </c>
      <c r="B15" s="190">
        <v>45302.375</v>
      </c>
      <c r="C15" s="190">
        <v>45302.458333333336</v>
      </c>
      <c r="D15" s="166" t="s">
        <v>244</v>
      </c>
      <c r="E15" s="166" t="s">
        <v>336</v>
      </c>
      <c r="F15" s="190">
        <v>45298.516701388886</v>
      </c>
      <c r="G15" s="166"/>
      <c r="H15" s="166"/>
      <c r="I15" s="166"/>
    </row>
    <row r="16" spans="1:9" x14ac:dyDescent="0.25">
      <c r="A16" s="191">
        <v>18</v>
      </c>
      <c r="B16" s="192">
        <v>45302.416666666664</v>
      </c>
      <c r="C16" s="192">
        <v>45302.458333333336</v>
      </c>
      <c r="D16" s="191" t="s">
        <v>217</v>
      </c>
      <c r="E16" s="191" t="s">
        <v>336</v>
      </c>
      <c r="F16" s="192">
        <v>45298.516932870371</v>
      </c>
      <c r="G16" s="191"/>
      <c r="H16" s="191"/>
      <c r="I16" s="191"/>
    </row>
    <row r="17" spans="1:9" x14ac:dyDescent="0.25">
      <c r="A17" s="191">
        <v>19</v>
      </c>
      <c r="B17" s="192">
        <v>45300.375</v>
      </c>
      <c r="C17" s="192">
        <v>45300.458333333336</v>
      </c>
      <c r="D17" s="191" t="s">
        <v>217</v>
      </c>
      <c r="E17" s="191" t="s">
        <v>336</v>
      </c>
      <c r="F17" s="192">
        <v>45298.5312037037</v>
      </c>
      <c r="G17" s="191"/>
      <c r="H17" s="191"/>
      <c r="I17" s="191"/>
    </row>
    <row r="18" spans="1:9" x14ac:dyDescent="0.25">
      <c r="A18" s="191"/>
      <c r="B18" s="192"/>
      <c r="C18" s="192"/>
      <c r="D18" s="191"/>
      <c r="E18" s="191"/>
      <c r="F18" s="192"/>
      <c r="G18" s="191"/>
      <c r="H18" s="191"/>
      <c r="I18" s="191"/>
    </row>
  </sheetData>
  <dataValidations count="1">
    <dataValidation type="list" allowBlank="1" showInputMessage="1" showErrorMessage="1" sqref="D2:D11">
      <formula1>$I$4:$I$6</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C9"/>
  <sheetViews>
    <sheetView workbookViewId="0">
      <selection activeCell="A2" sqref="A2:C9"/>
    </sheetView>
  </sheetViews>
  <sheetFormatPr baseColWidth="10" defaultRowHeight="15" x14ac:dyDescent="0.25"/>
  <sheetData>
    <row r="1" spans="1:3" x14ac:dyDescent="0.25">
      <c r="A1" s="165" t="s">
        <v>207</v>
      </c>
      <c r="B1" s="165" t="s">
        <v>216</v>
      </c>
      <c r="C1" s="165" t="s">
        <v>221</v>
      </c>
    </row>
    <row r="2" spans="1:3" x14ac:dyDescent="0.25">
      <c r="A2" s="166">
        <v>8124</v>
      </c>
      <c r="B2" s="167">
        <v>45196</v>
      </c>
      <c r="C2" s="166" t="s">
        <v>71</v>
      </c>
    </row>
    <row r="3" spans="1:3" x14ac:dyDescent="0.25">
      <c r="A3" s="166">
        <v>7840</v>
      </c>
      <c r="B3" s="167">
        <v>45196</v>
      </c>
      <c r="C3" s="166" t="s">
        <v>3</v>
      </c>
    </row>
    <row r="4" spans="1:3" x14ac:dyDescent="0.25">
      <c r="A4" s="166">
        <v>8124</v>
      </c>
      <c r="B4" s="167">
        <v>45195</v>
      </c>
      <c r="C4" s="166" t="s">
        <v>71</v>
      </c>
    </row>
    <row r="5" spans="1:3" x14ac:dyDescent="0.25">
      <c r="A5" s="166">
        <v>8308</v>
      </c>
      <c r="B5" s="167">
        <v>45195</v>
      </c>
      <c r="C5" s="166" t="s">
        <v>72</v>
      </c>
    </row>
    <row r="6" spans="1:3" x14ac:dyDescent="0.25">
      <c r="A6" s="166">
        <v>7840</v>
      </c>
      <c r="B6" s="167">
        <v>45195</v>
      </c>
      <c r="C6" s="166" t="s">
        <v>3</v>
      </c>
    </row>
    <row r="7" spans="1:3" x14ac:dyDescent="0.25">
      <c r="A7" s="166">
        <v>8308</v>
      </c>
      <c r="B7" s="167">
        <v>45194</v>
      </c>
      <c r="C7" s="166" t="s">
        <v>72</v>
      </c>
    </row>
    <row r="8" spans="1:3" x14ac:dyDescent="0.25">
      <c r="A8" s="166">
        <v>7840</v>
      </c>
      <c r="B8" s="167">
        <v>45194</v>
      </c>
      <c r="C8" s="166" t="s">
        <v>3</v>
      </c>
    </row>
    <row r="9" spans="1:3" x14ac:dyDescent="0.25">
      <c r="A9" s="166">
        <v>8124</v>
      </c>
      <c r="B9" s="167">
        <v>45194</v>
      </c>
      <c r="C9" s="166" t="s">
        <v>71</v>
      </c>
    </row>
  </sheetData>
  <sortState ref="A2:C9">
    <sortCondition ref="B1:B8"/>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1:D2715"/>
  <sheetViews>
    <sheetView topLeftCell="A40" workbookViewId="0">
      <selection activeCell="A2" sqref="A2:D137"/>
    </sheetView>
  </sheetViews>
  <sheetFormatPr baseColWidth="10" defaultRowHeight="15" x14ac:dyDescent="0.25"/>
  <cols>
    <col min="1" max="1" width="11.42578125" style="15"/>
    <col min="2" max="2" width="11.42578125" style="170"/>
    <col min="3" max="3" width="24" customWidth="1"/>
    <col min="4" max="4" width="12" style="171" bestFit="1" customWidth="1"/>
  </cols>
  <sheetData>
    <row r="1" spans="1:4" x14ac:dyDescent="0.25">
      <c r="A1" s="165" t="s">
        <v>216</v>
      </c>
      <c r="B1" s="165" t="s">
        <v>207</v>
      </c>
      <c r="C1" s="165" t="s">
        <v>323</v>
      </c>
      <c r="D1" s="165" t="s">
        <v>324</v>
      </c>
    </row>
    <row r="2" spans="1:4" x14ac:dyDescent="0.25">
      <c r="A2" s="167">
        <v>45273</v>
      </c>
      <c r="B2" s="166">
        <v>8218</v>
      </c>
      <c r="C2" s="166" t="s">
        <v>325</v>
      </c>
      <c r="D2" s="166">
        <v>0.14766203703703704</v>
      </c>
    </row>
    <row r="3" spans="1:4" x14ac:dyDescent="0.25">
      <c r="A3" s="167">
        <v>45273</v>
      </c>
      <c r="B3" s="166">
        <v>8218</v>
      </c>
      <c r="C3" s="166" t="s">
        <v>326</v>
      </c>
      <c r="D3" s="166">
        <v>4.2824074074074075E-4</v>
      </c>
    </row>
    <row r="4" spans="1:4" x14ac:dyDescent="0.25">
      <c r="A4" s="167">
        <v>45273</v>
      </c>
      <c r="B4" s="166">
        <v>8218</v>
      </c>
      <c r="C4" s="166" t="s">
        <v>327</v>
      </c>
      <c r="D4" s="166">
        <v>1.7546296296296296E-2</v>
      </c>
    </row>
    <row r="5" spans="1:4" x14ac:dyDescent="0.25">
      <c r="A5" s="167">
        <v>45273</v>
      </c>
      <c r="B5" s="166">
        <v>8218</v>
      </c>
      <c r="C5" s="166" t="s">
        <v>328</v>
      </c>
      <c r="D5" s="166">
        <v>1.2407407407407407E-2</v>
      </c>
    </row>
    <row r="6" spans="1:4" x14ac:dyDescent="0.25">
      <c r="A6" s="167">
        <v>45273</v>
      </c>
      <c r="B6" s="166">
        <v>8124</v>
      </c>
      <c r="C6" s="166" t="s">
        <v>325</v>
      </c>
      <c r="D6" s="166">
        <v>0.13738425925925926</v>
      </c>
    </row>
    <row r="7" spans="1:4" x14ac:dyDescent="0.25">
      <c r="A7" s="167">
        <v>45273</v>
      </c>
      <c r="B7" s="166">
        <v>8124</v>
      </c>
      <c r="C7" s="166" t="s">
        <v>326</v>
      </c>
      <c r="D7" s="166">
        <v>8.9120370370370373E-4</v>
      </c>
    </row>
    <row r="8" spans="1:4" x14ac:dyDescent="0.25">
      <c r="A8" s="167">
        <v>45273</v>
      </c>
      <c r="B8" s="166">
        <v>8124</v>
      </c>
      <c r="C8" s="166" t="s">
        <v>327</v>
      </c>
      <c r="D8" s="166">
        <v>2.4814814814814814E-2</v>
      </c>
    </row>
    <row r="9" spans="1:4" x14ac:dyDescent="0.25">
      <c r="A9" s="167">
        <v>45273</v>
      </c>
      <c r="B9" s="166">
        <v>8124</v>
      </c>
      <c r="C9" s="166" t="s">
        <v>328</v>
      </c>
      <c r="D9" s="166">
        <v>2.2476851851851852E-2</v>
      </c>
    </row>
    <row r="10" spans="1:4" x14ac:dyDescent="0.25">
      <c r="A10" s="167">
        <v>45273</v>
      </c>
      <c r="B10" s="166">
        <v>8123</v>
      </c>
      <c r="C10" s="166" t="s">
        <v>325</v>
      </c>
      <c r="D10" s="166">
        <v>9.9027777777777784E-2</v>
      </c>
    </row>
    <row r="11" spans="1:4" x14ac:dyDescent="0.25">
      <c r="A11" s="167">
        <v>45273</v>
      </c>
      <c r="B11" s="166">
        <v>8123</v>
      </c>
      <c r="C11" s="166" t="s">
        <v>327</v>
      </c>
      <c r="D11" s="166">
        <v>5.7175925925925927E-3</v>
      </c>
    </row>
    <row r="12" spans="1:4" x14ac:dyDescent="0.25">
      <c r="A12" s="167">
        <v>45273</v>
      </c>
      <c r="B12" s="166">
        <v>8122</v>
      </c>
      <c r="C12" s="166" t="s">
        <v>325</v>
      </c>
      <c r="D12" s="166">
        <v>0.16842592592592592</v>
      </c>
    </row>
    <row r="13" spans="1:4" x14ac:dyDescent="0.25">
      <c r="A13" s="167">
        <v>45273</v>
      </c>
      <c r="B13" s="166">
        <v>8122</v>
      </c>
      <c r="C13" s="166" t="s">
        <v>330</v>
      </c>
      <c r="D13" s="166">
        <v>3.4722222222222222E-5</v>
      </c>
    </row>
    <row r="14" spans="1:4" x14ac:dyDescent="0.25">
      <c r="A14" s="167">
        <v>45273</v>
      </c>
      <c r="B14" s="166">
        <v>8122</v>
      </c>
      <c r="C14" s="166" t="s">
        <v>327</v>
      </c>
      <c r="D14" s="166">
        <v>3.1481481481481478E-2</v>
      </c>
    </row>
    <row r="15" spans="1:4" x14ac:dyDescent="0.25">
      <c r="A15" s="167">
        <v>45273</v>
      </c>
      <c r="B15" s="166">
        <v>8122</v>
      </c>
      <c r="C15" s="166" t="s">
        <v>328</v>
      </c>
      <c r="D15" s="166">
        <v>1.3043981481481481E-2</v>
      </c>
    </row>
    <row r="16" spans="1:4" x14ac:dyDescent="0.25">
      <c r="A16" s="167">
        <v>45273</v>
      </c>
      <c r="B16" s="166">
        <v>8106</v>
      </c>
      <c r="C16" s="166" t="s">
        <v>325</v>
      </c>
      <c r="D16" s="166">
        <v>0.12024305555555556</v>
      </c>
    </row>
    <row r="17" spans="1:4" x14ac:dyDescent="0.25">
      <c r="A17" s="167">
        <v>45273</v>
      </c>
      <c r="B17" s="166">
        <v>8106</v>
      </c>
      <c r="C17" s="166" t="s">
        <v>330</v>
      </c>
      <c r="D17" s="166">
        <v>3.4722222222222222E-5</v>
      </c>
    </row>
    <row r="18" spans="1:4" x14ac:dyDescent="0.25">
      <c r="A18" s="167">
        <v>45273</v>
      </c>
      <c r="B18" s="166">
        <v>8106</v>
      </c>
      <c r="C18" s="166" t="s">
        <v>327</v>
      </c>
      <c r="D18" s="166">
        <v>2.1898148148148149E-2</v>
      </c>
    </row>
    <row r="19" spans="1:4" x14ac:dyDescent="0.25">
      <c r="A19" s="167">
        <v>45273</v>
      </c>
      <c r="B19" s="166">
        <v>8106</v>
      </c>
      <c r="C19" s="166" t="s">
        <v>334</v>
      </c>
      <c r="D19" s="166">
        <v>8.9699074074074073E-3</v>
      </c>
    </row>
    <row r="20" spans="1:4" x14ac:dyDescent="0.25">
      <c r="A20" s="167">
        <v>45273</v>
      </c>
      <c r="B20" s="166">
        <v>8106</v>
      </c>
      <c r="C20" s="166" t="s">
        <v>328</v>
      </c>
      <c r="D20" s="166">
        <v>1.1770833333333333E-2</v>
      </c>
    </row>
    <row r="21" spans="1:4" x14ac:dyDescent="0.25">
      <c r="A21" s="167">
        <v>45273</v>
      </c>
      <c r="B21" s="166">
        <v>8106</v>
      </c>
      <c r="C21" s="166" t="s">
        <v>329</v>
      </c>
      <c r="D21" s="166">
        <v>1.9675925925925924E-3</v>
      </c>
    </row>
    <row r="22" spans="1:4" x14ac:dyDescent="0.25">
      <c r="A22" s="167">
        <v>45273</v>
      </c>
      <c r="B22" s="166">
        <v>7938</v>
      </c>
      <c r="C22" s="166" t="s">
        <v>325</v>
      </c>
      <c r="D22" s="166">
        <v>0.15562500000000001</v>
      </c>
    </row>
    <row r="23" spans="1:4" x14ac:dyDescent="0.25">
      <c r="A23" s="167">
        <v>45273</v>
      </c>
      <c r="B23" s="166">
        <v>7938</v>
      </c>
      <c r="C23" s="166" t="s">
        <v>331</v>
      </c>
      <c r="D23" s="166">
        <v>3.1250000000000002E-3</v>
      </c>
    </row>
    <row r="24" spans="1:4" x14ac:dyDescent="0.25">
      <c r="A24" s="167">
        <v>45273</v>
      </c>
      <c r="B24" s="166">
        <v>7938</v>
      </c>
      <c r="C24" s="166" t="s">
        <v>332</v>
      </c>
      <c r="D24" s="166">
        <v>2.4305555555555555E-4</v>
      </c>
    </row>
    <row r="25" spans="1:4" x14ac:dyDescent="0.25">
      <c r="A25" s="167">
        <v>45273</v>
      </c>
      <c r="B25" s="166">
        <v>7938</v>
      </c>
      <c r="C25" s="166" t="s">
        <v>327</v>
      </c>
      <c r="D25" s="166">
        <v>4.040509259259259E-2</v>
      </c>
    </row>
    <row r="26" spans="1:4" x14ac:dyDescent="0.25">
      <c r="A26" s="167">
        <v>45273</v>
      </c>
      <c r="B26" s="166">
        <v>7938</v>
      </c>
      <c r="C26" s="166" t="s">
        <v>328</v>
      </c>
      <c r="D26" s="166">
        <v>1.1342592592592593E-3</v>
      </c>
    </row>
    <row r="27" spans="1:4" x14ac:dyDescent="0.25">
      <c r="A27" s="167">
        <v>45273</v>
      </c>
      <c r="B27" s="166">
        <v>7938</v>
      </c>
      <c r="C27" s="166" t="s">
        <v>329</v>
      </c>
      <c r="D27" s="166">
        <v>6.5532407407407414E-2</v>
      </c>
    </row>
    <row r="28" spans="1:4" x14ac:dyDescent="0.25">
      <c r="A28" s="167">
        <v>45273</v>
      </c>
      <c r="B28" s="166">
        <v>7935</v>
      </c>
      <c r="C28" s="166" t="s">
        <v>325</v>
      </c>
      <c r="D28" s="166">
        <v>0.16653935185185184</v>
      </c>
    </row>
    <row r="29" spans="1:4" x14ac:dyDescent="0.25">
      <c r="A29" s="167">
        <v>45273</v>
      </c>
      <c r="B29" s="166">
        <v>7935</v>
      </c>
      <c r="C29" s="166" t="s">
        <v>326</v>
      </c>
      <c r="D29" s="166">
        <v>5.7025462962962965E-2</v>
      </c>
    </row>
    <row r="30" spans="1:4" x14ac:dyDescent="0.25">
      <c r="A30" s="167">
        <v>45273</v>
      </c>
      <c r="B30" s="166">
        <v>7935</v>
      </c>
      <c r="C30" s="166" t="s">
        <v>330</v>
      </c>
      <c r="D30" s="166">
        <v>1.0300925925925925E-2</v>
      </c>
    </row>
    <row r="31" spans="1:4" x14ac:dyDescent="0.25">
      <c r="A31" s="167">
        <v>45273</v>
      </c>
      <c r="B31" s="166">
        <v>7935</v>
      </c>
      <c r="C31" s="166" t="s">
        <v>327</v>
      </c>
      <c r="D31" s="166">
        <v>4.0381944444444443E-2</v>
      </c>
    </row>
    <row r="32" spans="1:4" x14ac:dyDescent="0.25">
      <c r="A32" s="167">
        <v>45273</v>
      </c>
      <c r="B32" s="166">
        <v>7935</v>
      </c>
      <c r="C32" s="166" t="s">
        <v>328</v>
      </c>
      <c r="D32" s="166">
        <v>3.4583333333333334E-2</v>
      </c>
    </row>
    <row r="33" spans="1:4" x14ac:dyDescent="0.25">
      <c r="A33" s="167">
        <v>45273</v>
      </c>
      <c r="B33" s="166">
        <v>7840</v>
      </c>
      <c r="C33" s="166" t="s">
        <v>325</v>
      </c>
      <c r="D33" s="166">
        <v>0.14407407407407408</v>
      </c>
    </row>
    <row r="34" spans="1:4" x14ac:dyDescent="0.25">
      <c r="A34" s="167">
        <v>45273</v>
      </c>
      <c r="B34" s="166">
        <v>7840</v>
      </c>
      <c r="C34" s="166" t="s">
        <v>326</v>
      </c>
      <c r="D34" s="166">
        <v>4.861111111111111E-4</v>
      </c>
    </row>
    <row r="35" spans="1:4" x14ac:dyDescent="0.25">
      <c r="A35" s="167">
        <v>45273</v>
      </c>
      <c r="B35" s="166">
        <v>7820</v>
      </c>
      <c r="C35" s="166" t="s">
        <v>325</v>
      </c>
      <c r="D35" s="166">
        <v>0.21435185185185185</v>
      </c>
    </row>
    <row r="36" spans="1:4" x14ac:dyDescent="0.25">
      <c r="A36" s="167">
        <v>45273</v>
      </c>
      <c r="B36" s="166">
        <v>7820</v>
      </c>
      <c r="C36" s="166" t="s">
        <v>326</v>
      </c>
      <c r="D36" s="166">
        <v>7.2222222222222219E-3</v>
      </c>
    </row>
    <row r="37" spans="1:4" x14ac:dyDescent="0.25">
      <c r="A37" s="167">
        <v>45273</v>
      </c>
      <c r="B37" s="166">
        <v>7820</v>
      </c>
      <c r="C37" s="166" t="s">
        <v>327</v>
      </c>
      <c r="D37" s="166">
        <v>2.3923611111111111E-2</v>
      </c>
    </row>
    <row r="38" spans="1:4" x14ac:dyDescent="0.25">
      <c r="A38" s="167">
        <v>45273</v>
      </c>
      <c r="B38" s="166">
        <v>7607</v>
      </c>
      <c r="C38" s="166" t="s">
        <v>325</v>
      </c>
      <c r="D38" s="166">
        <v>5.1886574074074071E-2</v>
      </c>
    </row>
    <row r="39" spans="1:4" x14ac:dyDescent="0.25">
      <c r="A39" s="167">
        <v>45273</v>
      </c>
      <c r="B39" s="166">
        <v>7607</v>
      </c>
      <c r="C39" s="166" t="s">
        <v>328</v>
      </c>
      <c r="D39" s="166">
        <v>2.7083333333333334E-3</v>
      </c>
    </row>
    <row r="40" spans="1:4" x14ac:dyDescent="0.25">
      <c r="A40" s="167">
        <v>45273</v>
      </c>
      <c r="B40" s="166">
        <v>7607</v>
      </c>
      <c r="C40" s="166" t="s">
        <v>329</v>
      </c>
      <c r="D40" s="166">
        <v>4.7106481481481478E-3</v>
      </c>
    </row>
    <row r="41" spans="1:4" x14ac:dyDescent="0.25">
      <c r="A41" s="167">
        <v>45272</v>
      </c>
      <c r="B41" s="166">
        <v>8308</v>
      </c>
      <c r="C41" s="166" t="s">
        <v>325</v>
      </c>
      <c r="D41" s="166">
        <v>1.4687499999999999E-2</v>
      </c>
    </row>
    <row r="42" spans="1:4" x14ac:dyDescent="0.25">
      <c r="A42" s="167">
        <v>45272</v>
      </c>
      <c r="B42" s="166">
        <v>8124</v>
      </c>
      <c r="C42" s="166" t="s">
        <v>325</v>
      </c>
      <c r="D42" s="166">
        <v>4.4120370370370372E-2</v>
      </c>
    </row>
    <row r="43" spans="1:4" x14ac:dyDescent="0.25">
      <c r="A43" s="167">
        <v>45272</v>
      </c>
      <c r="B43" s="166">
        <v>8124</v>
      </c>
      <c r="C43" s="166" t="s">
        <v>326</v>
      </c>
      <c r="D43" s="166">
        <v>3.5879629629629629E-4</v>
      </c>
    </row>
    <row r="44" spans="1:4" x14ac:dyDescent="0.25">
      <c r="A44" s="167">
        <v>45272</v>
      </c>
      <c r="B44" s="166">
        <v>8124</v>
      </c>
      <c r="C44" s="166" t="s">
        <v>328</v>
      </c>
      <c r="D44" s="166">
        <v>1.2789351851851852E-2</v>
      </c>
    </row>
    <row r="45" spans="1:4" x14ac:dyDescent="0.25">
      <c r="A45" s="167">
        <v>45272</v>
      </c>
      <c r="B45" s="166">
        <v>8122</v>
      </c>
      <c r="C45" s="166" t="s">
        <v>325</v>
      </c>
      <c r="D45" s="166">
        <v>1.8379629629629631E-2</v>
      </c>
    </row>
    <row r="46" spans="1:4" x14ac:dyDescent="0.25">
      <c r="A46" s="167">
        <v>45272</v>
      </c>
      <c r="B46" s="166">
        <v>8122</v>
      </c>
      <c r="C46" s="166" t="s">
        <v>328</v>
      </c>
      <c r="D46" s="166">
        <v>4.6874999999999998E-3</v>
      </c>
    </row>
    <row r="47" spans="1:4" x14ac:dyDescent="0.25">
      <c r="A47" s="167">
        <v>45272</v>
      </c>
      <c r="B47" s="166">
        <v>8106</v>
      </c>
      <c r="C47" s="166" t="s">
        <v>325</v>
      </c>
      <c r="D47" s="166">
        <v>4.6261574074074073E-2</v>
      </c>
    </row>
    <row r="48" spans="1:4" x14ac:dyDescent="0.25">
      <c r="A48" s="167">
        <v>45272</v>
      </c>
      <c r="B48" s="166">
        <v>8106</v>
      </c>
      <c r="C48" s="166" t="s">
        <v>326</v>
      </c>
      <c r="D48" s="166">
        <v>9.618055555555555E-3</v>
      </c>
    </row>
    <row r="49" spans="1:4" x14ac:dyDescent="0.25">
      <c r="A49" s="167">
        <v>45272</v>
      </c>
      <c r="B49" s="166">
        <v>8106</v>
      </c>
      <c r="C49" s="166" t="s">
        <v>327</v>
      </c>
      <c r="D49" s="166">
        <v>9.3518518518518525E-3</v>
      </c>
    </row>
    <row r="50" spans="1:4" x14ac:dyDescent="0.25">
      <c r="A50" s="167">
        <v>45272</v>
      </c>
      <c r="B50" s="166">
        <v>8106</v>
      </c>
      <c r="C50" s="166" t="s">
        <v>328</v>
      </c>
      <c r="D50" s="166">
        <v>6.122685185185185E-3</v>
      </c>
    </row>
    <row r="51" spans="1:4" x14ac:dyDescent="0.25">
      <c r="A51" s="167">
        <v>45272</v>
      </c>
      <c r="B51" s="166">
        <v>7938</v>
      </c>
      <c r="C51" s="166" t="s">
        <v>325</v>
      </c>
      <c r="D51" s="166">
        <v>4.1585648148148149E-2</v>
      </c>
    </row>
    <row r="52" spans="1:4" x14ac:dyDescent="0.25">
      <c r="A52" s="167">
        <v>45272</v>
      </c>
      <c r="B52" s="166">
        <v>7938</v>
      </c>
      <c r="C52" s="166" t="s">
        <v>327</v>
      </c>
      <c r="D52" s="166">
        <v>8.1134259259259267E-3</v>
      </c>
    </row>
    <row r="53" spans="1:4" x14ac:dyDescent="0.25">
      <c r="A53" s="167">
        <v>45272</v>
      </c>
      <c r="B53" s="166">
        <v>7935</v>
      </c>
      <c r="C53" s="166" t="s">
        <v>325</v>
      </c>
      <c r="D53" s="166">
        <v>1.1678240740740741E-2</v>
      </c>
    </row>
    <row r="54" spans="1:4" x14ac:dyDescent="0.25">
      <c r="A54" s="167">
        <v>45272</v>
      </c>
      <c r="B54" s="166">
        <v>7935</v>
      </c>
      <c r="C54" s="166" t="s">
        <v>331</v>
      </c>
      <c r="D54" s="166">
        <v>1.1759259259259259E-2</v>
      </c>
    </row>
    <row r="55" spans="1:4" x14ac:dyDescent="0.25">
      <c r="A55" s="167">
        <v>45272</v>
      </c>
      <c r="B55" s="166">
        <v>7935</v>
      </c>
      <c r="C55" s="166" t="s">
        <v>332</v>
      </c>
      <c r="D55" s="166">
        <v>1.0069444444444444E-3</v>
      </c>
    </row>
    <row r="56" spans="1:4" x14ac:dyDescent="0.25">
      <c r="A56" s="167">
        <v>45272</v>
      </c>
      <c r="B56" s="166">
        <v>7935</v>
      </c>
      <c r="C56" s="166" t="s">
        <v>326</v>
      </c>
      <c r="D56" s="166">
        <v>1.59375E-2</v>
      </c>
    </row>
    <row r="57" spans="1:4" x14ac:dyDescent="0.25">
      <c r="A57" s="167">
        <v>45272</v>
      </c>
      <c r="B57" s="166">
        <v>7935</v>
      </c>
      <c r="C57" s="166" t="s">
        <v>330</v>
      </c>
      <c r="D57" s="166">
        <v>7.5578703703703702E-3</v>
      </c>
    </row>
    <row r="58" spans="1:4" x14ac:dyDescent="0.25">
      <c r="A58" s="167">
        <v>45272</v>
      </c>
      <c r="B58" s="166">
        <v>7935</v>
      </c>
      <c r="C58" s="166" t="s">
        <v>327</v>
      </c>
      <c r="D58" s="166">
        <v>2.7893518518518519E-3</v>
      </c>
    </row>
    <row r="59" spans="1:4" x14ac:dyDescent="0.25">
      <c r="A59" s="167">
        <v>45272</v>
      </c>
      <c r="B59" s="166">
        <v>7935</v>
      </c>
      <c r="C59" s="166" t="s">
        <v>328</v>
      </c>
      <c r="D59" s="166">
        <v>2.9745370370370373E-3</v>
      </c>
    </row>
    <row r="60" spans="1:4" x14ac:dyDescent="0.25">
      <c r="A60" s="167">
        <v>45272</v>
      </c>
      <c r="B60" s="166">
        <v>7890</v>
      </c>
      <c r="C60" s="166" t="s">
        <v>325</v>
      </c>
      <c r="D60" s="166">
        <v>4.9895833333333334E-2</v>
      </c>
    </row>
    <row r="61" spans="1:4" x14ac:dyDescent="0.25">
      <c r="A61" s="167">
        <v>45272</v>
      </c>
      <c r="B61" s="166">
        <v>7890</v>
      </c>
      <c r="C61" s="166" t="s">
        <v>328</v>
      </c>
      <c r="D61" s="166">
        <v>7.6388888888888893E-4</v>
      </c>
    </row>
    <row r="62" spans="1:4" x14ac:dyDescent="0.25">
      <c r="A62" s="167">
        <v>45272</v>
      </c>
      <c r="B62" s="166">
        <v>7884</v>
      </c>
      <c r="C62" s="166" t="s">
        <v>325</v>
      </c>
      <c r="D62" s="166">
        <v>3.6307870370370372E-2</v>
      </c>
    </row>
    <row r="63" spans="1:4" x14ac:dyDescent="0.25">
      <c r="A63" s="167">
        <v>45272</v>
      </c>
      <c r="B63" s="166">
        <v>7884</v>
      </c>
      <c r="C63" s="166" t="s">
        <v>327</v>
      </c>
      <c r="D63" s="166">
        <v>2.045138888888889E-2</v>
      </c>
    </row>
    <row r="64" spans="1:4" x14ac:dyDescent="0.25">
      <c r="A64" s="167">
        <v>45272</v>
      </c>
      <c r="B64" s="166">
        <v>7884</v>
      </c>
      <c r="C64" s="166" t="s">
        <v>328</v>
      </c>
      <c r="D64" s="166">
        <v>1.8807870370370371E-2</v>
      </c>
    </row>
    <row r="65" spans="1:4" x14ac:dyDescent="0.25">
      <c r="A65" s="167">
        <v>45272</v>
      </c>
      <c r="B65" s="166">
        <v>7840</v>
      </c>
      <c r="C65" s="166" t="s">
        <v>325</v>
      </c>
      <c r="D65" s="166">
        <v>1.863425925925926E-2</v>
      </c>
    </row>
    <row r="66" spans="1:4" x14ac:dyDescent="0.25">
      <c r="A66" s="167">
        <v>45272</v>
      </c>
      <c r="B66" s="166">
        <v>7840</v>
      </c>
      <c r="C66" s="166" t="s">
        <v>329</v>
      </c>
      <c r="D66" s="166">
        <v>3.8657407407407408E-3</v>
      </c>
    </row>
    <row r="67" spans="1:4" x14ac:dyDescent="0.25">
      <c r="A67" s="167">
        <v>45272</v>
      </c>
      <c r="B67" s="166">
        <v>7820</v>
      </c>
      <c r="C67" s="166" t="s">
        <v>325</v>
      </c>
      <c r="D67" s="166">
        <v>2.252314814814815E-2</v>
      </c>
    </row>
    <row r="68" spans="1:4" x14ac:dyDescent="0.25">
      <c r="A68" s="167">
        <v>45272</v>
      </c>
      <c r="B68" s="166">
        <v>7820</v>
      </c>
      <c r="C68" s="166" t="s">
        <v>326</v>
      </c>
      <c r="D68" s="166">
        <v>5.3240740740740744E-4</v>
      </c>
    </row>
    <row r="69" spans="1:4" x14ac:dyDescent="0.25">
      <c r="A69" s="167">
        <v>45272</v>
      </c>
      <c r="B69" s="166">
        <v>7820</v>
      </c>
      <c r="C69" s="166" t="s">
        <v>334</v>
      </c>
      <c r="D69" s="166">
        <v>5.4629629629629629E-3</v>
      </c>
    </row>
    <row r="70" spans="1:4" x14ac:dyDescent="0.25">
      <c r="A70" s="167">
        <v>45272</v>
      </c>
      <c r="B70" s="166">
        <v>7739</v>
      </c>
      <c r="C70" s="166" t="s">
        <v>325</v>
      </c>
      <c r="D70" s="166">
        <v>5.0706018518518518E-2</v>
      </c>
    </row>
    <row r="71" spans="1:4" x14ac:dyDescent="0.25">
      <c r="A71" s="167">
        <v>45272</v>
      </c>
      <c r="B71" s="166">
        <v>7739</v>
      </c>
      <c r="C71" s="166" t="s">
        <v>327</v>
      </c>
      <c r="D71" s="166">
        <v>2.5405092592592594E-2</v>
      </c>
    </row>
    <row r="72" spans="1:4" x14ac:dyDescent="0.25">
      <c r="A72" s="167">
        <v>45272</v>
      </c>
      <c r="B72" s="166">
        <v>7607</v>
      </c>
      <c r="C72" s="166" t="s">
        <v>325</v>
      </c>
      <c r="D72" s="166">
        <v>3.2557870370370369E-2</v>
      </c>
    </row>
    <row r="73" spans="1:4" x14ac:dyDescent="0.25">
      <c r="A73" s="167">
        <v>45272</v>
      </c>
      <c r="B73" s="166">
        <v>7607</v>
      </c>
      <c r="C73" s="166" t="s">
        <v>327</v>
      </c>
      <c r="D73" s="166">
        <v>1.1550925925925926E-2</v>
      </c>
    </row>
    <row r="74" spans="1:4" x14ac:dyDescent="0.25">
      <c r="A74" s="167">
        <v>45272</v>
      </c>
      <c r="B74" s="166">
        <v>7607</v>
      </c>
      <c r="C74" s="166" t="s">
        <v>329</v>
      </c>
      <c r="D74" s="166">
        <v>1.1423611111111112E-2</v>
      </c>
    </row>
    <row r="75" spans="1:4" x14ac:dyDescent="0.25">
      <c r="A75" s="167">
        <v>45272</v>
      </c>
      <c r="B75" s="166">
        <v>7592</v>
      </c>
      <c r="C75" s="166" t="s">
        <v>325</v>
      </c>
      <c r="D75" s="166">
        <v>9.7222222222222219E-4</v>
      </c>
    </row>
    <row r="76" spans="1:4" x14ac:dyDescent="0.25">
      <c r="A76" s="167">
        <v>45272</v>
      </c>
      <c r="B76" s="166">
        <v>7592</v>
      </c>
      <c r="C76" s="166" t="s">
        <v>326</v>
      </c>
      <c r="D76" s="166">
        <v>6.2500000000000001E-4</v>
      </c>
    </row>
    <row r="77" spans="1:4" x14ac:dyDescent="0.25">
      <c r="A77" s="167">
        <v>45272</v>
      </c>
      <c r="B77" s="166">
        <v>7592</v>
      </c>
      <c r="C77" s="166" t="s">
        <v>330</v>
      </c>
      <c r="D77" s="166">
        <v>3.7615740740740739E-3</v>
      </c>
    </row>
    <row r="78" spans="1:4" x14ac:dyDescent="0.25">
      <c r="A78" s="167">
        <v>45272</v>
      </c>
      <c r="B78" s="166">
        <v>7592</v>
      </c>
      <c r="C78" s="166" t="s">
        <v>328</v>
      </c>
      <c r="D78" s="166">
        <v>1.7939814814814815E-3</v>
      </c>
    </row>
    <row r="79" spans="1:4" x14ac:dyDescent="0.25">
      <c r="A79" s="167">
        <v>45272</v>
      </c>
      <c r="B79" s="166">
        <v>7590</v>
      </c>
      <c r="C79" s="166" t="s">
        <v>325</v>
      </c>
      <c r="D79" s="166">
        <v>7.918981481481481E-2</v>
      </c>
    </row>
    <row r="80" spans="1:4" x14ac:dyDescent="0.25">
      <c r="A80" s="167">
        <v>45271</v>
      </c>
      <c r="B80" s="166">
        <v>8308</v>
      </c>
      <c r="C80" s="166" t="s">
        <v>325</v>
      </c>
      <c r="D80" s="166">
        <v>0.15216435185185184</v>
      </c>
    </row>
    <row r="81" spans="1:4" x14ac:dyDescent="0.25">
      <c r="A81" s="167">
        <v>45271</v>
      </c>
      <c r="B81" s="166">
        <v>8308</v>
      </c>
      <c r="C81" s="166" t="s">
        <v>331</v>
      </c>
      <c r="D81" s="166">
        <v>8.3333333333333339E-4</v>
      </c>
    </row>
    <row r="82" spans="1:4" x14ac:dyDescent="0.25">
      <c r="A82" s="167">
        <v>45271</v>
      </c>
      <c r="B82" s="166">
        <v>8308</v>
      </c>
      <c r="C82" s="166" t="s">
        <v>332</v>
      </c>
      <c r="D82" s="166">
        <v>2.0833333333333335E-4</v>
      </c>
    </row>
    <row r="83" spans="1:4" x14ac:dyDescent="0.25">
      <c r="A83" s="167">
        <v>45271</v>
      </c>
      <c r="B83" s="166">
        <v>8308</v>
      </c>
      <c r="C83" s="166" t="s">
        <v>326</v>
      </c>
      <c r="D83" s="166">
        <v>2.8599537037037038E-2</v>
      </c>
    </row>
    <row r="84" spans="1:4" x14ac:dyDescent="0.25">
      <c r="A84" s="167">
        <v>45271</v>
      </c>
      <c r="B84" s="166">
        <v>8308</v>
      </c>
      <c r="C84" s="166" t="s">
        <v>330</v>
      </c>
      <c r="D84" s="166">
        <v>2.4340277777777777E-2</v>
      </c>
    </row>
    <row r="85" spans="1:4" x14ac:dyDescent="0.25">
      <c r="A85" s="167">
        <v>45271</v>
      </c>
      <c r="B85" s="166">
        <v>8308</v>
      </c>
      <c r="C85" s="166" t="s">
        <v>327</v>
      </c>
      <c r="D85" s="166">
        <v>3.8854166666666669E-2</v>
      </c>
    </row>
    <row r="86" spans="1:4" x14ac:dyDescent="0.25">
      <c r="A86" s="167">
        <v>45271</v>
      </c>
      <c r="B86" s="166">
        <v>8308</v>
      </c>
      <c r="C86" s="166" t="s">
        <v>328</v>
      </c>
      <c r="D86" s="166">
        <v>8.3680555555555557E-3</v>
      </c>
    </row>
    <row r="87" spans="1:4" x14ac:dyDescent="0.25">
      <c r="A87" s="167">
        <v>45271</v>
      </c>
      <c r="B87" s="166">
        <v>8124</v>
      </c>
      <c r="C87" s="166" t="s">
        <v>325</v>
      </c>
      <c r="D87" s="166">
        <v>8.3113425925925924E-2</v>
      </c>
    </row>
    <row r="88" spans="1:4" x14ac:dyDescent="0.25">
      <c r="A88" s="167">
        <v>45271</v>
      </c>
      <c r="B88" s="166">
        <v>8124</v>
      </c>
      <c r="C88" s="166" t="s">
        <v>326</v>
      </c>
      <c r="D88" s="166">
        <v>2.2337962962962962E-2</v>
      </c>
    </row>
    <row r="89" spans="1:4" x14ac:dyDescent="0.25">
      <c r="A89" s="167">
        <v>45271</v>
      </c>
      <c r="B89" s="166">
        <v>8124</v>
      </c>
      <c r="C89" s="166" t="s">
        <v>327</v>
      </c>
      <c r="D89" s="166">
        <v>3.7974537037037036E-2</v>
      </c>
    </row>
    <row r="90" spans="1:4" x14ac:dyDescent="0.25">
      <c r="A90" s="167">
        <v>45271</v>
      </c>
      <c r="B90" s="166">
        <v>8124</v>
      </c>
      <c r="C90" s="166" t="s">
        <v>328</v>
      </c>
      <c r="D90" s="166">
        <v>6.6122685185185187E-2</v>
      </c>
    </row>
    <row r="91" spans="1:4" x14ac:dyDescent="0.25">
      <c r="A91" s="167">
        <v>45271</v>
      </c>
      <c r="B91" s="166">
        <v>8106</v>
      </c>
      <c r="C91" s="166" t="s">
        <v>325</v>
      </c>
      <c r="D91" s="166">
        <v>8.5335648148148147E-2</v>
      </c>
    </row>
    <row r="92" spans="1:4" x14ac:dyDescent="0.25">
      <c r="A92" s="167">
        <v>45271</v>
      </c>
      <c r="B92" s="166">
        <v>8106</v>
      </c>
      <c r="C92" s="166" t="s">
        <v>326</v>
      </c>
      <c r="D92" s="166">
        <v>2.3356481481481482E-2</v>
      </c>
    </row>
    <row r="93" spans="1:4" x14ac:dyDescent="0.25">
      <c r="A93" s="167">
        <v>45271</v>
      </c>
      <c r="B93" s="166">
        <v>8106</v>
      </c>
      <c r="C93" s="166" t="s">
        <v>327</v>
      </c>
      <c r="D93" s="166">
        <v>1.7361111111111112E-2</v>
      </c>
    </row>
    <row r="94" spans="1:4" x14ac:dyDescent="0.25">
      <c r="A94" s="167">
        <v>45271</v>
      </c>
      <c r="B94" s="166">
        <v>8106</v>
      </c>
      <c r="C94" s="166" t="s">
        <v>334</v>
      </c>
      <c r="D94" s="166">
        <v>5.0000000000000001E-3</v>
      </c>
    </row>
    <row r="95" spans="1:4" x14ac:dyDescent="0.25">
      <c r="A95" s="167">
        <v>45271</v>
      </c>
      <c r="B95" s="166">
        <v>8106</v>
      </c>
      <c r="C95" s="166" t="s">
        <v>328</v>
      </c>
      <c r="D95" s="166">
        <v>1.511574074074074E-2</v>
      </c>
    </row>
    <row r="96" spans="1:4" x14ac:dyDescent="0.25">
      <c r="A96" s="167">
        <v>45271</v>
      </c>
      <c r="B96" s="166">
        <v>8106</v>
      </c>
      <c r="C96" s="166" t="s">
        <v>329</v>
      </c>
      <c r="D96" s="166">
        <v>8.2638888888888883E-3</v>
      </c>
    </row>
    <row r="97" spans="1:4" x14ac:dyDescent="0.25">
      <c r="A97" s="167">
        <v>45271</v>
      </c>
      <c r="B97" s="166">
        <v>7890</v>
      </c>
      <c r="C97" s="166" t="s">
        <v>325</v>
      </c>
      <c r="D97" s="166">
        <v>0.19965277777777779</v>
      </c>
    </row>
    <row r="98" spans="1:4" x14ac:dyDescent="0.25">
      <c r="A98" s="167">
        <v>45271</v>
      </c>
      <c r="B98" s="166">
        <v>7890</v>
      </c>
      <c r="C98" s="166" t="s">
        <v>331</v>
      </c>
      <c r="D98" s="166">
        <v>1.1574074074074075E-4</v>
      </c>
    </row>
    <row r="99" spans="1:4" x14ac:dyDescent="0.25">
      <c r="A99" s="167">
        <v>45271</v>
      </c>
      <c r="B99" s="166">
        <v>7890</v>
      </c>
      <c r="C99" s="166" t="s">
        <v>332</v>
      </c>
      <c r="D99" s="166">
        <v>2.7777777777777778E-4</v>
      </c>
    </row>
    <row r="100" spans="1:4" x14ac:dyDescent="0.25">
      <c r="A100" s="167">
        <v>45271</v>
      </c>
      <c r="B100" s="166">
        <v>7890</v>
      </c>
      <c r="C100" s="166" t="s">
        <v>326</v>
      </c>
      <c r="D100" s="166">
        <v>2.1759259259259258E-3</v>
      </c>
    </row>
    <row r="101" spans="1:4" x14ac:dyDescent="0.25">
      <c r="A101" s="167">
        <v>45271</v>
      </c>
      <c r="B101" s="166">
        <v>7890</v>
      </c>
      <c r="C101" s="166" t="s">
        <v>327</v>
      </c>
      <c r="D101" s="166">
        <v>2.9675925925925925E-2</v>
      </c>
    </row>
    <row r="102" spans="1:4" x14ac:dyDescent="0.25">
      <c r="A102" s="167">
        <v>45271</v>
      </c>
      <c r="B102" s="166">
        <v>7890</v>
      </c>
      <c r="C102" s="166" t="s">
        <v>328</v>
      </c>
      <c r="D102" s="166">
        <v>3.2974537037037038E-2</v>
      </c>
    </row>
    <row r="103" spans="1:4" x14ac:dyDescent="0.25">
      <c r="A103" s="167">
        <v>45271</v>
      </c>
      <c r="B103" s="166">
        <v>7884</v>
      </c>
      <c r="C103" s="166" t="s">
        <v>325</v>
      </c>
      <c r="D103" s="166">
        <v>0.14406250000000001</v>
      </c>
    </row>
    <row r="104" spans="1:4" x14ac:dyDescent="0.25">
      <c r="A104" s="167">
        <v>45271</v>
      </c>
      <c r="B104" s="166">
        <v>7884</v>
      </c>
      <c r="C104" s="166" t="s">
        <v>331</v>
      </c>
      <c r="D104" s="166">
        <v>6.9444444444444444E-5</v>
      </c>
    </row>
    <row r="105" spans="1:4" x14ac:dyDescent="0.25">
      <c r="A105" s="167">
        <v>45271</v>
      </c>
      <c r="B105" s="166">
        <v>7884</v>
      </c>
      <c r="C105" s="166" t="s">
        <v>332</v>
      </c>
      <c r="D105" s="166">
        <v>2.7777777777777778E-4</v>
      </c>
    </row>
    <row r="106" spans="1:4" x14ac:dyDescent="0.25">
      <c r="A106" s="167">
        <v>45271</v>
      </c>
      <c r="B106" s="166">
        <v>7884</v>
      </c>
      <c r="C106" s="166" t="s">
        <v>326</v>
      </c>
      <c r="D106" s="166">
        <v>4.628472222222222E-2</v>
      </c>
    </row>
    <row r="107" spans="1:4" x14ac:dyDescent="0.25">
      <c r="A107" s="167">
        <v>45271</v>
      </c>
      <c r="B107" s="166">
        <v>7884</v>
      </c>
      <c r="C107" s="166" t="s">
        <v>327</v>
      </c>
      <c r="D107" s="166">
        <v>2.9502314814814815E-2</v>
      </c>
    </row>
    <row r="108" spans="1:4" x14ac:dyDescent="0.25">
      <c r="A108" s="167">
        <v>45271</v>
      </c>
      <c r="B108" s="166">
        <v>7884</v>
      </c>
      <c r="C108" s="166" t="s">
        <v>328</v>
      </c>
      <c r="D108" s="166">
        <v>1.1388888888888889E-2</v>
      </c>
    </row>
    <row r="109" spans="1:4" x14ac:dyDescent="0.25">
      <c r="A109" s="167">
        <v>45271</v>
      </c>
      <c r="B109" s="166">
        <v>7884</v>
      </c>
      <c r="C109" s="166" t="s">
        <v>329</v>
      </c>
      <c r="D109" s="166">
        <v>1.1099537037037036E-2</v>
      </c>
    </row>
    <row r="110" spans="1:4" x14ac:dyDescent="0.25">
      <c r="A110" s="167">
        <v>45271</v>
      </c>
      <c r="B110" s="166">
        <v>7841</v>
      </c>
      <c r="C110" s="166" t="s">
        <v>333</v>
      </c>
      <c r="D110" s="166">
        <v>6.2766203703703699E-2</v>
      </c>
    </row>
    <row r="111" spans="1:4" x14ac:dyDescent="0.25">
      <c r="A111" s="167">
        <v>45271</v>
      </c>
      <c r="B111" s="166">
        <v>7841</v>
      </c>
      <c r="C111" s="166" t="s">
        <v>325</v>
      </c>
      <c r="D111" s="166">
        <v>0.13851851851851851</v>
      </c>
    </row>
    <row r="112" spans="1:4" x14ac:dyDescent="0.25">
      <c r="A112" s="167">
        <v>45271</v>
      </c>
      <c r="B112" s="166">
        <v>7841</v>
      </c>
      <c r="C112" s="166" t="s">
        <v>326</v>
      </c>
      <c r="D112" s="166">
        <v>5.347222222222222E-3</v>
      </c>
    </row>
    <row r="113" spans="1:4" x14ac:dyDescent="0.25">
      <c r="A113" s="167">
        <v>45271</v>
      </c>
      <c r="B113" s="166">
        <v>7841</v>
      </c>
      <c r="C113" s="166" t="s">
        <v>330</v>
      </c>
      <c r="D113" s="166">
        <v>1.8819444444444444E-2</v>
      </c>
    </row>
    <row r="114" spans="1:4" x14ac:dyDescent="0.25">
      <c r="A114" s="167">
        <v>45271</v>
      </c>
      <c r="B114" s="166">
        <v>7841</v>
      </c>
      <c r="C114" s="166" t="s">
        <v>327</v>
      </c>
      <c r="D114" s="166">
        <v>4.5300925925925925E-2</v>
      </c>
    </row>
    <row r="115" spans="1:4" x14ac:dyDescent="0.25">
      <c r="A115" s="167">
        <v>45271</v>
      </c>
      <c r="B115" s="166">
        <v>7841</v>
      </c>
      <c r="C115" s="166" t="s">
        <v>334</v>
      </c>
      <c r="D115" s="166">
        <v>2.4861111111111112E-2</v>
      </c>
    </row>
    <row r="116" spans="1:4" x14ac:dyDescent="0.25">
      <c r="A116" s="167">
        <v>45271</v>
      </c>
      <c r="B116" s="166">
        <v>7841</v>
      </c>
      <c r="C116" s="166" t="s">
        <v>328</v>
      </c>
      <c r="D116" s="166">
        <v>7.8356481481481489E-3</v>
      </c>
    </row>
    <row r="117" spans="1:4" x14ac:dyDescent="0.25">
      <c r="A117" s="167">
        <v>45271</v>
      </c>
      <c r="B117" s="166">
        <v>7820</v>
      </c>
      <c r="C117" s="166" t="s">
        <v>325</v>
      </c>
      <c r="D117" s="166">
        <v>5.9548611111111108E-2</v>
      </c>
    </row>
    <row r="118" spans="1:4" x14ac:dyDescent="0.25">
      <c r="A118" s="167">
        <v>45271</v>
      </c>
      <c r="B118" s="166">
        <v>7820</v>
      </c>
      <c r="C118" s="166" t="s">
        <v>326</v>
      </c>
      <c r="D118" s="166">
        <v>1.6643518518518519E-2</v>
      </c>
    </row>
    <row r="119" spans="1:4" x14ac:dyDescent="0.25">
      <c r="A119" s="167">
        <v>45271</v>
      </c>
      <c r="B119" s="166">
        <v>7820</v>
      </c>
      <c r="C119" s="166" t="s">
        <v>327</v>
      </c>
      <c r="D119" s="166">
        <v>2.8715277777777777E-2</v>
      </c>
    </row>
    <row r="120" spans="1:4" x14ac:dyDescent="0.25">
      <c r="A120" s="167">
        <v>45271</v>
      </c>
      <c r="B120" s="166">
        <v>7820</v>
      </c>
      <c r="C120" s="166" t="s">
        <v>328</v>
      </c>
      <c r="D120" s="166">
        <v>5.208333333333333E-3</v>
      </c>
    </row>
    <row r="121" spans="1:4" x14ac:dyDescent="0.25">
      <c r="A121" s="167">
        <v>45271</v>
      </c>
      <c r="B121" s="166">
        <v>7820</v>
      </c>
      <c r="C121" s="166" t="s">
        <v>329</v>
      </c>
      <c r="D121" s="166">
        <v>3.1712962962962962E-3</v>
      </c>
    </row>
    <row r="122" spans="1:4" x14ac:dyDescent="0.25">
      <c r="A122" s="167">
        <v>45271</v>
      </c>
      <c r="B122" s="166">
        <v>7739</v>
      </c>
      <c r="C122" s="166" t="s">
        <v>325</v>
      </c>
      <c r="D122" s="166">
        <v>0.24175925925925926</v>
      </c>
    </row>
    <row r="123" spans="1:4" x14ac:dyDescent="0.25">
      <c r="A123" s="167">
        <v>45271</v>
      </c>
      <c r="B123" s="166">
        <v>7739</v>
      </c>
      <c r="C123" s="166" t="s">
        <v>327</v>
      </c>
      <c r="D123" s="166">
        <v>7.0856481481481479E-2</v>
      </c>
    </row>
    <row r="124" spans="1:4" x14ac:dyDescent="0.25">
      <c r="A124" s="167">
        <v>45271</v>
      </c>
      <c r="B124" s="166">
        <v>7739</v>
      </c>
      <c r="C124" s="166" t="s">
        <v>329</v>
      </c>
      <c r="D124" s="166">
        <v>7.743055555555556E-3</v>
      </c>
    </row>
    <row r="125" spans="1:4" x14ac:dyDescent="0.25">
      <c r="A125" s="167">
        <v>45271</v>
      </c>
      <c r="B125" s="166">
        <v>7607</v>
      </c>
      <c r="C125" s="166" t="s">
        <v>325</v>
      </c>
      <c r="D125" s="166">
        <v>6.0960648148148146E-2</v>
      </c>
    </row>
    <row r="126" spans="1:4" x14ac:dyDescent="0.25">
      <c r="A126" s="167">
        <v>45271</v>
      </c>
      <c r="B126" s="166">
        <v>7607</v>
      </c>
      <c r="C126" s="166" t="s">
        <v>327</v>
      </c>
      <c r="D126" s="166">
        <v>1.5057870370370371E-2</v>
      </c>
    </row>
    <row r="127" spans="1:4" x14ac:dyDescent="0.25">
      <c r="A127" s="167">
        <v>45271</v>
      </c>
      <c r="B127" s="166">
        <v>7607</v>
      </c>
      <c r="C127" s="166" t="s">
        <v>328</v>
      </c>
      <c r="D127" s="166">
        <v>1.7210648148148149E-2</v>
      </c>
    </row>
    <row r="128" spans="1:4" x14ac:dyDescent="0.25">
      <c r="A128" s="167">
        <v>45271</v>
      </c>
      <c r="B128" s="166">
        <v>7592</v>
      </c>
      <c r="C128" s="166" t="s">
        <v>325</v>
      </c>
      <c r="D128" s="166">
        <v>0.13063657407407409</v>
      </c>
    </row>
    <row r="129" spans="1:4" x14ac:dyDescent="0.25">
      <c r="A129" s="167">
        <v>45271</v>
      </c>
      <c r="B129" s="166">
        <v>7592</v>
      </c>
      <c r="C129" s="166" t="s">
        <v>326</v>
      </c>
      <c r="D129" s="166">
        <v>2.8391203703703703E-2</v>
      </c>
    </row>
    <row r="130" spans="1:4" x14ac:dyDescent="0.25">
      <c r="A130" s="167">
        <v>45271</v>
      </c>
      <c r="B130" s="166">
        <v>7592</v>
      </c>
      <c r="C130" s="166" t="s">
        <v>330</v>
      </c>
      <c r="D130" s="166">
        <v>1.6168981481481482E-2</v>
      </c>
    </row>
    <row r="131" spans="1:4" x14ac:dyDescent="0.25">
      <c r="A131" s="167">
        <v>45271</v>
      </c>
      <c r="B131" s="166">
        <v>7592</v>
      </c>
      <c r="C131" s="166" t="s">
        <v>327</v>
      </c>
      <c r="D131" s="166">
        <v>1.849537037037037E-2</v>
      </c>
    </row>
    <row r="132" spans="1:4" x14ac:dyDescent="0.25">
      <c r="A132" s="167">
        <v>45271</v>
      </c>
      <c r="B132" s="166">
        <v>7592</v>
      </c>
      <c r="C132" s="166" t="s">
        <v>328</v>
      </c>
      <c r="D132" s="166">
        <v>3.9398148148148147E-2</v>
      </c>
    </row>
    <row r="133" spans="1:4" x14ac:dyDescent="0.25">
      <c r="A133" s="167">
        <v>45271</v>
      </c>
      <c r="B133" s="166">
        <v>7590</v>
      </c>
      <c r="C133" s="166" t="s">
        <v>325</v>
      </c>
      <c r="D133" s="166">
        <v>8.953703703703704E-2</v>
      </c>
    </row>
    <row r="134" spans="1:4" x14ac:dyDescent="0.25">
      <c r="A134" s="167">
        <v>45271</v>
      </c>
      <c r="B134" s="166">
        <v>7590</v>
      </c>
      <c r="C134" s="166" t="s">
        <v>326</v>
      </c>
      <c r="D134" s="166">
        <v>1.7361111111111112E-4</v>
      </c>
    </row>
    <row r="135" spans="1:4" x14ac:dyDescent="0.25">
      <c r="A135" s="167">
        <v>45271</v>
      </c>
      <c r="B135" s="166">
        <v>7590</v>
      </c>
      <c r="C135" s="166" t="s">
        <v>330</v>
      </c>
      <c r="D135" s="166">
        <v>8.8310185185185193E-3</v>
      </c>
    </row>
    <row r="136" spans="1:4" x14ac:dyDescent="0.25">
      <c r="A136" s="167">
        <v>45271</v>
      </c>
      <c r="B136" s="166">
        <v>7590</v>
      </c>
      <c r="C136" s="166" t="s">
        <v>327</v>
      </c>
      <c r="D136" s="166">
        <v>1.5509259259259259E-3</v>
      </c>
    </row>
    <row r="137" spans="1:4" x14ac:dyDescent="0.25">
      <c r="A137" s="167">
        <v>45271</v>
      </c>
      <c r="B137" s="166">
        <v>7590</v>
      </c>
      <c r="C137" s="166" t="s">
        <v>328</v>
      </c>
      <c r="D137" s="166">
        <v>5.4513888888888893E-3</v>
      </c>
    </row>
    <row r="138" spans="1:4" x14ac:dyDescent="0.25">
      <c r="A138" s="3"/>
      <c r="B138" s="3"/>
      <c r="C138" s="3"/>
      <c r="D138" s="3"/>
    </row>
    <row r="139" spans="1:4" x14ac:dyDescent="0.25">
      <c r="A139" s="3"/>
      <c r="B139" s="3"/>
      <c r="C139" s="3"/>
      <c r="D139" s="3"/>
    </row>
    <row r="140" spans="1:4" x14ac:dyDescent="0.25">
      <c r="A140" s="3"/>
      <c r="B140" s="3"/>
      <c r="C140" s="3"/>
      <c r="D140" s="3"/>
    </row>
    <row r="141" spans="1:4" x14ac:dyDescent="0.25">
      <c r="A141" s="3"/>
      <c r="B141" s="3"/>
      <c r="C141" s="3"/>
      <c r="D141" s="3"/>
    </row>
    <row r="142" spans="1:4" x14ac:dyDescent="0.25">
      <c r="A142" s="3"/>
      <c r="B142" s="3"/>
      <c r="C142" s="3"/>
      <c r="D142" s="3"/>
    </row>
    <row r="143" spans="1:4" x14ac:dyDescent="0.25">
      <c r="A143" s="3"/>
      <c r="B143" s="3"/>
      <c r="C143" s="3"/>
      <c r="D143" s="3"/>
    </row>
    <row r="144" spans="1:4" x14ac:dyDescent="0.25">
      <c r="A144" s="3"/>
      <c r="B144" s="3"/>
      <c r="C144" s="3"/>
      <c r="D144" s="3"/>
    </row>
    <row r="145" spans="1:4" x14ac:dyDescent="0.25">
      <c r="A145" s="3"/>
      <c r="B145" s="3"/>
      <c r="C145" s="3"/>
      <c r="D145" s="3"/>
    </row>
    <row r="146" spans="1:4" x14ac:dyDescent="0.25">
      <c r="A146" s="3"/>
      <c r="B146" s="3"/>
      <c r="C146" s="3"/>
      <c r="D146" s="3"/>
    </row>
    <row r="147" spans="1:4" x14ac:dyDescent="0.25">
      <c r="A147" s="3"/>
      <c r="B147" s="3"/>
      <c r="C147" s="3"/>
      <c r="D147" s="3"/>
    </row>
    <row r="148" spans="1:4" x14ac:dyDescent="0.25">
      <c r="A148" s="3"/>
      <c r="B148" s="3"/>
      <c r="C148" s="3"/>
      <c r="D148" s="3"/>
    </row>
    <row r="149" spans="1:4" x14ac:dyDescent="0.25">
      <c r="A149" s="3"/>
      <c r="B149" s="3"/>
      <c r="C149" s="3"/>
      <c r="D149" s="3"/>
    </row>
    <row r="150" spans="1:4" x14ac:dyDescent="0.25">
      <c r="A150" s="3"/>
      <c r="B150" s="3"/>
      <c r="C150" s="3"/>
      <c r="D150" s="3"/>
    </row>
    <row r="151" spans="1:4" x14ac:dyDescent="0.25">
      <c r="A151" s="3"/>
      <c r="B151" s="3"/>
      <c r="C151" s="3"/>
      <c r="D151" s="3"/>
    </row>
    <row r="152" spans="1:4" x14ac:dyDescent="0.25">
      <c r="A152" s="3"/>
      <c r="B152" s="3"/>
      <c r="C152" s="3"/>
      <c r="D152" s="3"/>
    </row>
    <row r="153" spans="1:4" x14ac:dyDescent="0.25">
      <c r="A153" s="3"/>
      <c r="B153" s="3"/>
      <c r="C153" s="3"/>
      <c r="D153" s="3"/>
    </row>
    <row r="154" spans="1:4" x14ac:dyDescent="0.25">
      <c r="A154" s="3"/>
      <c r="B154" s="3"/>
      <c r="C154" s="3"/>
      <c r="D154" s="3"/>
    </row>
    <row r="155" spans="1:4" x14ac:dyDescent="0.25">
      <c r="A155" s="3"/>
      <c r="B155" s="3"/>
      <c r="C155" s="3"/>
      <c r="D155" s="3"/>
    </row>
    <row r="156" spans="1:4" x14ac:dyDescent="0.25">
      <c r="A156" s="3"/>
      <c r="B156" s="3"/>
      <c r="C156" s="3"/>
      <c r="D156" s="3"/>
    </row>
    <row r="157" spans="1:4" x14ac:dyDescent="0.25">
      <c r="A157" s="3"/>
      <c r="B157" s="3"/>
      <c r="C157" s="3"/>
      <c r="D157" s="3"/>
    </row>
    <row r="158" spans="1:4" x14ac:dyDescent="0.25">
      <c r="A158" s="3"/>
      <c r="B158" s="3"/>
      <c r="C158" s="3"/>
      <c r="D158" s="3"/>
    </row>
    <row r="159" spans="1:4" x14ac:dyDescent="0.25">
      <c r="A159" s="3"/>
      <c r="B159" s="3"/>
      <c r="C159" s="3"/>
      <c r="D159" s="3"/>
    </row>
    <row r="160" spans="1:4" x14ac:dyDescent="0.25">
      <c r="A160" s="3"/>
      <c r="B160" s="3"/>
      <c r="C160" s="3"/>
      <c r="D160" s="3"/>
    </row>
    <row r="161" spans="1:4" x14ac:dyDescent="0.25">
      <c r="A161" s="3"/>
      <c r="B161" s="3"/>
      <c r="C161" s="3"/>
      <c r="D161" s="3"/>
    </row>
    <row r="162" spans="1:4" x14ac:dyDescent="0.25">
      <c r="A162" s="3"/>
      <c r="B162" s="3"/>
      <c r="C162" s="3"/>
      <c r="D162" s="3"/>
    </row>
    <row r="163" spans="1:4" x14ac:dyDescent="0.25">
      <c r="A163" s="3"/>
      <c r="B163" s="3"/>
      <c r="C163" s="3"/>
      <c r="D163" s="3"/>
    </row>
    <row r="164" spans="1:4" x14ac:dyDescent="0.25">
      <c r="A164" s="3"/>
      <c r="B164" s="3"/>
      <c r="C164" s="3"/>
      <c r="D164" s="3"/>
    </row>
    <row r="165" spans="1:4" x14ac:dyDescent="0.25">
      <c r="A165" s="3"/>
      <c r="B165" s="3"/>
      <c r="C165" s="3"/>
      <c r="D165" s="3"/>
    </row>
    <row r="166" spans="1:4" x14ac:dyDescent="0.25">
      <c r="A166" s="3"/>
      <c r="B166" s="3"/>
      <c r="C166" s="3"/>
      <c r="D166" s="3"/>
    </row>
    <row r="167" spans="1:4" x14ac:dyDescent="0.25">
      <c r="A167" s="3"/>
      <c r="B167" s="3"/>
      <c r="C167" s="3"/>
      <c r="D167" s="3"/>
    </row>
    <row r="168" spans="1:4" x14ac:dyDescent="0.25">
      <c r="A168" s="3"/>
      <c r="B168" s="3"/>
      <c r="C168" s="3"/>
      <c r="D168" s="3"/>
    </row>
    <row r="169" spans="1:4" x14ac:dyDescent="0.25">
      <c r="A169" s="3"/>
      <c r="B169" s="3"/>
      <c r="C169" s="3"/>
      <c r="D169" s="3"/>
    </row>
    <row r="170" spans="1:4" x14ac:dyDescent="0.25">
      <c r="A170" s="3"/>
      <c r="B170" s="3"/>
      <c r="C170" s="3"/>
      <c r="D170" s="3"/>
    </row>
    <row r="171" spans="1:4" x14ac:dyDescent="0.25">
      <c r="A171" s="3"/>
      <c r="B171" s="3"/>
      <c r="C171" s="3"/>
      <c r="D171" s="3"/>
    </row>
    <row r="172" spans="1:4" x14ac:dyDescent="0.25">
      <c r="A172" s="3"/>
      <c r="B172" s="3"/>
      <c r="C172" s="3"/>
      <c r="D172" s="3"/>
    </row>
    <row r="173" spans="1:4" x14ac:dyDescent="0.25">
      <c r="A173" s="3"/>
      <c r="B173" s="3"/>
      <c r="C173" s="3"/>
      <c r="D173" s="3"/>
    </row>
    <row r="174" spans="1:4" x14ac:dyDescent="0.25">
      <c r="A174" s="3"/>
      <c r="B174" s="3"/>
      <c r="C174" s="3"/>
      <c r="D174" s="3"/>
    </row>
    <row r="175" spans="1:4" x14ac:dyDescent="0.25">
      <c r="A175" s="3"/>
      <c r="B175" s="3"/>
      <c r="C175" s="3"/>
      <c r="D175" s="3"/>
    </row>
    <row r="176" spans="1:4" x14ac:dyDescent="0.25">
      <c r="A176" s="3"/>
      <c r="B176" s="3"/>
      <c r="C176" s="3"/>
      <c r="D176" s="3"/>
    </row>
    <row r="177" spans="1:4" x14ac:dyDescent="0.25">
      <c r="A177" s="167"/>
      <c r="B177" s="166"/>
      <c r="C177" s="166"/>
      <c r="D177" s="169"/>
    </row>
    <row r="178" spans="1:4" x14ac:dyDescent="0.25">
      <c r="A178" s="167"/>
      <c r="B178" s="166"/>
      <c r="C178" s="166"/>
      <c r="D178" s="169"/>
    </row>
    <row r="179" spans="1:4" x14ac:dyDescent="0.25">
      <c r="A179" s="167"/>
      <c r="B179" s="166"/>
      <c r="C179" s="166"/>
      <c r="D179" s="169"/>
    </row>
    <row r="180" spans="1:4" x14ac:dyDescent="0.25">
      <c r="A180" s="167"/>
      <c r="B180" s="166"/>
      <c r="C180" s="166"/>
      <c r="D180" s="169"/>
    </row>
    <row r="181" spans="1:4" x14ac:dyDescent="0.25">
      <c r="A181" s="167"/>
      <c r="B181" s="166"/>
      <c r="C181" s="166"/>
      <c r="D181" s="169"/>
    </row>
    <row r="182" spans="1:4" x14ac:dyDescent="0.25">
      <c r="A182" s="167"/>
      <c r="B182" s="166"/>
      <c r="C182" s="166"/>
      <c r="D182" s="169"/>
    </row>
    <row r="183" spans="1:4" x14ac:dyDescent="0.25">
      <c r="A183" s="167"/>
      <c r="B183" s="166"/>
      <c r="C183" s="166"/>
      <c r="D183" s="169"/>
    </row>
    <row r="184" spans="1:4" x14ac:dyDescent="0.25">
      <c r="A184" s="167"/>
      <c r="B184" s="166"/>
      <c r="C184" s="166"/>
      <c r="D184" s="169"/>
    </row>
    <row r="185" spans="1:4" x14ac:dyDescent="0.25">
      <c r="A185" s="167"/>
      <c r="B185" s="166"/>
      <c r="C185" s="166"/>
      <c r="D185" s="169"/>
    </row>
    <row r="186" spans="1:4" x14ac:dyDescent="0.25">
      <c r="A186" s="167"/>
      <c r="B186" s="166"/>
      <c r="C186" s="166"/>
      <c r="D186" s="169"/>
    </row>
    <row r="187" spans="1:4" x14ac:dyDescent="0.25">
      <c r="A187" s="167"/>
      <c r="B187" s="166"/>
      <c r="C187" s="166"/>
      <c r="D187" s="169"/>
    </row>
    <row r="188" spans="1:4" x14ac:dyDescent="0.25">
      <c r="A188" s="167"/>
      <c r="B188" s="166"/>
      <c r="C188" s="166"/>
      <c r="D188" s="169"/>
    </row>
    <row r="189" spans="1:4" x14ac:dyDescent="0.25">
      <c r="A189" s="167"/>
      <c r="B189" s="166"/>
      <c r="C189" s="166"/>
      <c r="D189" s="169"/>
    </row>
    <row r="190" spans="1:4" x14ac:dyDescent="0.25">
      <c r="A190" s="167"/>
      <c r="B190" s="166"/>
      <c r="C190" s="166"/>
      <c r="D190" s="169"/>
    </row>
    <row r="191" spans="1:4" x14ac:dyDescent="0.25">
      <c r="A191" s="167"/>
      <c r="B191" s="166"/>
      <c r="C191" s="166"/>
      <c r="D191" s="169"/>
    </row>
    <row r="192" spans="1:4" x14ac:dyDescent="0.25">
      <c r="A192" s="167"/>
      <c r="B192" s="166"/>
      <c r="C192" s="166"/>
      <c r="D192" s="169"/>
    </row>
    <row r="193" spans="1:4" x14ac:dyDescent="0.25">
      <c r="A193" s="167"/>
      <c r="B193" s="166"/>
      <c r="C193" s="166"/>
      <c r="D193" s="169"/>
    </row>
    <row r="194" spans="1:4" x14ac:dyDescent="0.25">
      <c r="A194" s="167"/>
      <c r="B194" s="166"/>
      <c r="C194" s="166"/>
      <c r="D194" s="169"/>
    </row>
    <row r="195" spans="1:4" x14ac:dyDescent="0.25">
      <c r="A195" s="167"/>
      <c r="B195" s="166"/>
      <c r="C195" s="166"/>
      <c r="D195" s="169"/>
    </row>
    <row r="196" spans="1:4" x14ac:dyDescent="0.25">
      <c r="A196" s="167"/>
      <c r="B196" s="166"/>
      <c r="C196" s="166"/>
      <c r="D196" s="169"/>
    </row>
    <row r="197" spans="1:4" x14ac:dyDescent="0.25">
      <c r="A197" s="167"/>
      <c r="B197" s="166"/>
      <c r="C197" s="166"/>
      <c r="D197" s="169"/>
    </row>
    <row r="198" spans="1:4" x14ac:dyDescent="0.25">
      <c r="A198" s="167"/>
      <c r="B198" s="166"/>
      <c r="C198" s="166"/>
      <c r="D198" s="169"/>
    </row>
    <row r="199" spans="1:4" x14ac:dyDescent="0.25">
      <c r="A199" s="167"/>
      <c r="B199" s="166"/>
      <c r="C199" s="166"/>
      <c r="D199" s="169"/>
    </row>
    <row r="200" spans="1:4" x14ac:dyDescent="0.25">
      <c r="A200" s="167"/>
      <c r="B200" s="166"/>
      <c r="C200" s="166"/>
      <c r="D200" s="169"/>
    </row>
    <row r="201" spans="1:4" x14ac:dyDescent="0.25">
      <c r="A201" s="167"/>
      <c r="B201" s="166"/>
      <c r="C201" s="166"/>
      <c r="D201" s="169"/>
    </row>
    <row r="202" spans="1:4" x14ac:dyDescent="0.25">
      <c r="A202" s="167"/>
      <c r="B202" s="166"/>
      <c r="C202" s="166"/>
      <c r="D202" s="169"/>
    </row>
    <row r="203" spans="1:4" x14ac:dyDescent="0.25">
      <c r="A203" s="167"/>
      <c r="B203" s="166"/>
      <c r="C203" s="166"/>
      <c r="D203" s="169"/>
    </row>
    <row r="204" spans="1:4" x14ac:dyDescent="0.25">
      <c r="A204" s="167"/>
      <c r="B204" s="166"/>
      <c r="C204" s="166"/>
      <c r="D204" s="169"/>
    </row>
    <row r="205" spans="1:4" x14ac:dyDescent="0.25">
      <c r="A205" s="167"/>
      <c r="B205" s="166"/>
      <c r="C205" s="166"/>
      <c r="D205" s="169"/>
    </row>
    <row r="206" spans="1:4" x14ac:dyDescent="0.25">
      <c r="A206" s="167"/>
      <c r="B206" s="166"/>
      <c r="C206" s="166"/>
      <c r="D206" s="169"/>
    </row>
    <row r="207" spans="1:4" x14ac:dyDescent="0.25">
      <c r="A207" s="167"/>
      <c r="B207" s="166"/>
      <c r="C207" s="166"/>
      <c r="D207" s="169"/>
    </row>
    <row r="208" spans="1:4" x14ac:dyDescent="0.25">
      <c r="A208" s="167"/>
      <c r="B208" s="166"/>
      <c r="C208" s="166"/>
      <c r="D208" s="169"/>
    </row>
    <row r="209" spans="1:4" x14ac:dyDescent="0.25">
      <c r="A209" s="167"/>
      <c r="B209" s="166"/>
      <c r="C209" s="166"/>
      <c r="D209" s="169"/>
    </row>
    <row r="210" spans="1:4" x14ac:dyDescent="0.25">
      <c r="A210" s="167"/>
      <c r="B210" s="166"/>
      <c r="C210" s="166"/>
      <c r="D210" s="169"/>
    </row>
    <row r="211" spans="1:4" x14ac:dyDescent="0.25">
      <c r="A211" s="167"/>
      <c r="B211" s="166"/>
      <c r="C211" s="166"/>
      <c r="D211" s="169"/>
    </row>
    <row r="212" spans="1:4" x14ac:dyDescent="0.25">
      <c r="A212" s="167"/>
      <c r="B212" s="166"/>
      <c r="C212" s="166"/>
      <c r="D212" s="169"/>
    </row>
    <row r="213" spans="1:4" x14ac:dyDescent="0.25">
      <c r="A213" s="167"/>
      <c r="B213" s="166"/>
      <c r="C213" s="166"/>
      <c r="D213" s="169"/>
    </row>
    <row r="214" spans="1:4" x14ac:dyDescent="0.25">
      <c r="A214" s="167"/>
      <c r="B214" s="166"/>
      <c r="C214" s="166"/>
      <c r="D214" s="169"/>
    </row>
    <row r="215" spans="1:4" x14ac:dyDescent="0.25">
      <c r="A215" s="167"/>
      <c r="B215" s="166"/>
      <c r="C215" s="166"/>
      <c r="D215" s="169"/>
    </row>
    <row r="216" spans="1:4" x14ac:dyDescent="0.25">
      <c r="A216" s="167"/>
      <c r="B216" s="166"/>
      <c r="C216" s="166"/>
      <c r="D216" s="169"/>
    </row>
    <row r="217" spans="1:4" x14ac:dyDescent="0.25">
      <c r="A217" s="167"/>
      <c r="B217" s="166"/>
      <c r="C217" s="166"/>
      <c r="D217" s="169"/>
    </row>
    <row r="218" spans="1:4" x14ac:dyDescent="0.25">
      <c r="A218" s="167"/>
      <c r="B218" s="166"/>
      <c r="C218" s="166"/>
      <c r="D218" s="169"/>
    </row>
    <row r="219" spans="1:4" x14ac:dyDescent="0.25">
      <c r="A219" s="167"/>
      <c r="B219" s="166"/>
      <c r="C219" s="166"/>
      <c r="D219" s="169"/>
    </row>
    <row r="220" spans="1:4" x14ac:dyDescent="0.25">
      <c r="A220" s="167"/>
      <c r="B220" s="166"/>
      <c r="C220" s="166"/>
      <c r="D220" s="169"/>
    </row>
    <row r="221" spans="1:4" x14ac:dyDescent="0.25">
      <c r="A221" s="167"/>
      <c r="B221" s="166"/>
      <c r="C221" s="166"/>
      <c r="D221" s="169"/>
    </row>
    <row r="222" spans="1:4" x14ac:dyDescent="0.25">
      <c r="A222" s="167"/>
      <c r="B222" s="166"/>
      <c r="C222" s="166"/>
      <c r="D222" s="169"/>
    </row>
    <row r="223" spans="1:4" x14ac:dyDescent="0.25">
      <c r="A223" s="167"/>
      <c r="B223" s="166"/>
      <c r="C223" s="166"/>
      <c r="D223" s="169"/>
    </row>
    <row r="224" spans="1:4" x14ac:dyDescent="0.25">
      <c r="A224" s="167"/>
      <c r="B224" s="166"/>
      <c r="C224" s="166"/>
      <c r="D224" s="169"/>
    </row>
    <row r="225" spans="1:4" x14ac:dyDescent="0.25">
      <c r="A225" s="167"/>
      <c r="B225" s="166"/>
      <c r="C225" s="166"/>
      <c r="D225" s="169"/>
    </row>
    <row r="226" spans="1:4" x14ac:dyDescent="0.25">
      <c r="A226" s="167"/>
      <c r="B226" s="166"/>
      <c r="C226" s="166"/>
      <c r="D226" s="169"/>
    </row>
    <row r="227" spans="1:4" x14ac:dyDescent="0.25">
      <c r="A227" s="167"/>
      <c r="B227" s="166"/>
      <c r="C227" s="166"/>
      <c r="D227" s="169"/>
    </row>
    <row r="228" spans="1:4" x14ac:dyDescent="0.25">
      <c r="A228" s="167"/>
      <c r="B228" s="166"/>
      <c r="C228" s="166"/>
      <c r="D228" s="169"/>
    </row>
    <row r="229" spans="1:4" x14ac:dyDescent="0.25">
      <c r="A229" s="167"/>
      <c r="B229" s="166"/>
      <c r="C229" s="166"/>
      <c r="D229" s="169"/>
    </row>
    <row r="230" spans="1:4" x14ac:dyDescent="0.25">
      <c r="A230" s="167"/>
      <c r="B230" s="166"/>
      <c r="C230" s="166"/>
      <c r="D230" s="169"/>
    </row>
    <row r="231" spans="1:4" x14ac:dyDescent="0.25">
      <c r="A231" s="167"/>
      <c r="B231" s="166"/>
      <c r="C231" s="166"/>
      <c r="D231" s="169"/>
    </row>
    <row r="232" spans="1:4" x14ac:dyDescent="0.25">
      <c r="A232" s="167"/>
      <c r="B232" s="166"/>
      <c r="C232" s="166"/>
      <c r="D232" s="169"/>
    </row>
    <row r="233" spans="1:4" x14ac:dyDescent="0.25">
      <c r="A233" s="167"/>
      <c r="B233" s="166"/>
      <c r="C233" s="166"/>
      <c r="D233" s="169"/>
    </row>
    <row r="234" spans="1:4" x14ac:dyDescent="0.25">
      <c r="A234" s="167"/>
      <c r="B234" s="166"/>
      <c r="C234" s="166"/>
      <c r="D234" s="169"/>
    </row>
    <row r="235" spans="1:4" x14ac:dyDescent="0.25">
      <c r="A235" s="167"/>
      <c r="B235" s="166"/>
      <c r="C235" s="166"/>
      <c r="D235" s="169"/>
    </row>
    <row r="236" spans="1:4" x14ac:dyDescent="0.25">
      <c r="A236" s="167"/>
      <c r="B236" s="166"/>
      <c r="C236" s="166"/>
      <c r="D236" s="169"/>
    </row>
    <row r="237" spans="1:4" x14ac:dyDescent="0.25">
      <c r="A237" s="167"/>
      <c r="B237" s="166"/>
      <c r="C237" s="166"/>
      <c r="D237" s="169"/>
    </row>
    <row r="238" spans="1:4" x14ac:dyDescent="0.25">
      <c r="A238" s="167"/>
      <c r="B238" s="166"/>
      <c r="C238" s="166"/>
      <c r="D238" s="169"/>
    </row>
    <row r="239" spans="1:4" x14ac:dyDescent="0.25">
      <c r="A239" s="167"/>
      <c r="B239" s="166"/>
      <c r="C239" s="166"/>
      <c r="D239" s="169"/>
    </row>
    <row r="240" spans="1:4" x14ac:dyDescent="0.25">
      <c r="A240" s="167"/>
      <c r="B240" s="166"/>
      <c r="C240" s="166"/>
      <c r="D240" s="169"/>
    </row>
    <row r="241" spans="1:4" x14ac:dyDescent="0.25">
      <c r="A241" s="167"/>
      <c r="B241" s="166"/>
      <c r="C241" s="166"/>
      <c r="D241" s="169"/>
    </row>
    <row r="242" spans="1:4" x14ac:dyDescent="0.25">
      <c r="A242" s="167"/>
      <c r="B242" s="166"/>
      <c r="C242" s="166"/>
      <c r="D242" s="169"/>
    </row>
    <row r="243" spans="1:4" x14ac:dyDescent="0.25">
      <c r="A243" s="167"/>
      <c r="B243" s="166"/>
      <c r="C243" s="166"/>
      <c r="D243" s="169"/>
    </row>
    <row r="244" spans="1:4" x14ac:dyDescent="0.25">
      <c r="A244" s="167"/>
      <c r="B244" s="166"/>
      <c r="C244" s="166"/>
      <c r="D244" s="169"/>
    </row>
    <row r="245" spans="1:4" x14ac:dyDescent="0.25">
      <c r="A245" s="167"/>
      <c r="B245" s="166"/>
      <c r="C245" s="166"/>
      <c r="D245" s="169"/>
    </row>
    <row r="246" spans="1:4" x14ac:dyDescent="0.25">
      <c r="A246" s="167"/>
      <c r="B246" s="166"/>
      <c r="C246" s="166"/>
      <c r="D246" s="169"/>
    </row>
    <row r="247" spans="1:4" x14ac:dyDescent="0.25">
      <c r="A247" s="167"/>
      <c r="B247" s="166"/>
      <c r="C247" s="166"/>
      <c r="D247" s="169"/>
    </row>
    <row r="248" spans="1:4" x14ac:dyDescent="0.25">
      <c r="A248" s="167"/>
      <c r="B248" s="166"/>
      <c r="C248" s="166"/>
      <c r="D248" s="169"/>
    </row>
    <row r="249" spans="1:4" x14ac:dyDescent="0.25">
      <c r="A249" s="167"/>
      <c r="B249" s="166"/>
      <c r="C249" s="166"/>
      <c r="D249" s="169"/>
    </row>
    <row r="250" spans="1:4" x14ac:dyDescent="0.25">
      <c r="A250" s="167"/>
      <c r="B250" s="166"/>
      <c r="C250" s="166"/>
      <c r="D250" s="169"/>
    </row>
    <row r="251" spans="1:4" x14ac:dyDescent="0.25">
      <c r="A251" s="167"/>
      <c r="B251" s="166"/>
      <c r="C251" s="166"/>
      <c r="D251" s="169"/>
    </row>
    <row r="252" spans="1:4" x14ac:dyDescent="0.25">
      <c r="A252" s="167"/>
      <c r="B252" s="166"/>
      <c r="C252" s="166"/>
      <c r="D252" s="169"/>
    </row>
    <row r="253" spans="1:4" x14ac:dyDescent="0.25">
      <c r="A253" s="167"/>
      <c r="B253" s="166"/>
      <c r="C253" s="166"/>
      <c r="D253" s="169"/>
    </row>
    <row r="254" spans="1:4" x14ac:dyDescent="0.25">
      <c r="A254" s="167"/>
      <c r="B254" s="166"/>
      <c r="C254" s="166"/>
      <c r="D254" s="169"/>
    </row>
    <row r="255" spans="1:4" x14ac:dyDescent="0.25">
      <c r="A255" s="167"/>
      <c r="B255" s="166"/>
      <c r="C255" s="166"/>
      <c r="D255" s="169"/>
    </row>
    <row r="256" spans="1:4" x14ac:dyDescent="0.25">
      <c r="A256" s="167"/>
      <c r="B256" s="166"/>
      <c r="C256" s="166"/>
      <c r="D256" s="169"/>
    </row>
    <row r="257" spans="1:4" x14ac:dyDescent="0.25">
      <c r="A257" s="167"/>
      <c r="B257" s="166"/>
      <c r="C257" s="166"/>
      <c r="D257" s="169"/>
    </row>
    <row r="258" spans="1:4" x14ac:dyDescent="0.25">
      <c r="A258" s="167"/>
      <c r="B258" s="166"/>
      <c r="C258" s="166"/>
      <c r="D258" s="169"/>
    </row>
    <row r="259" spans="1:4" x14ac:dyDescent="0.25">
      <c r="A259" s="167"/>
      <c r="B259" s="166"/>
      <c r="C259" s="166"/>
      <c r="D259" s="169"/>
    </row>
    <row r="260" spans="1:4" x14ac:dyDescent="0.25">
      <c r="A260" s="167"/>
      <c r="B260" s="166"/>
      <c r="C260" s="166"/>
      <c r="D260" s="169"/>
    </row>
    <row r="261" spans="1:4" x14ac:dyDescent="0.25">
      <c r="A261" s="167"/>
      <c r="B261" s="166"/>
      <c r="C261" s="166"/>
      <c r="D261" s="169"/>
    </row>
    <row r="262" spans="1:4" x14ac:dyDescent="0.25">
      <c r="A262" s="167"/>
      <c r="B262" s="166"/>
      <c r="C262" s="166"/>
      <c r="D262" s="169"/>
    </row>
    <row r="263" spans="1:4" x14ac:dyDescent="0.25">
      <c r="A263" s="167"/>
      <c r="B263" s="166"/>
      <c r="C263" s="166"/>
      <c r="D263" s="169"/>
    </row>
    <row r="264" spans="1:4" x14ac:dyDescent="0.25">
      <c r="A264" s="167"/>
      <c r="B264" s="166"/>
      <c r="C264" s="166"/>
      <c r="D264" s="169"/>
    </row>
    <row r="265" spans="1:4" x14ac:dyDescent="0.25">
      <c r="A265" s="167"/>
      <c r="B265" s="166"/>
      <c r="C265" s="166"/>
      <c r="D265" s="169"/>
    </row>
    <row r="266" spans="1:4" x14ac:dyDescent="0.25">
      <c r="A266" s="167"/>
      <c r="B266" s="166"/>
      <c r="C266" s="166"/>
      <c r="D266" s="169"/>
    </row>
    <row r="267" spans="1:4" x14ac:dyDescent="0.25">
      <c r="A267" s="167"/>
      <c r="B267" s="166"/>
      <c r="C267" s="166"/>
      <c r="D267" s="169"/>
    </row>
    <row r="268" spans="1:4" x14ac:dyDescent="0.25">
      <c r="A268" s="167"/>
      <c r="B268" s="166"/>
      <c r="C268" s="166"/>
      <c r="D268" s="169"/>
    </row>
    <row r="269" spans="1:4" x14ac:dyDescent="0.25">
      <c r="A269" s="167"/>
      <c r="B269" s="166"/>
      <c r="C269" s="166"/>
      <c r="D269" s="169"/>
    </row>
    <row r="270" spans="1:4" x14ac:dyDescent="0.25">
      <c r="A270" s="167"/>
      <c r="B270" s="166"/>
      <c r="C270" s="166"/>
      <c r="D270" s="169"/>
    </row>
    <row r="271" spans="1:4" x14ac:dyDescent="0.25">
      <c r="A271" s="167"/>
      <c r="B271" s="166"/>
      <c r="C271" s="166"/>
      <c r="D271" s="169"/>
    </row>
    <row r="272" spans="1:4" x14ac:dyDescent="0.25">
      <c r="A272" s="167"/>
      <c r="B272" s="166"/>
      <c r="C272" s="166"/>
      <c r="D272" s="169"/>
    </row>
    <row r="273" spans="1:4" x14ac:dyDescent="0.25">
      <c r="A273" s="167"/>
      <c r="B273" s="166"/>
      <c r="C273" s="166"/>
      <c r="D273" s="169"/>
    </row>
    <row r="274" spans="1:4" x14ac:dyDescent="0.25">
      <c r="A274" s="167"/>
      <c r="B274" s="166"/>
      <c r="C274" s="166"/>
      <c r="D274" s="169"/>
    </row>
    <row r="275" spans="1:4" x14ac:dyDescent="0.25">
      <c r="A275" s="167"/>
      <c r="B275" s="166"/>
      <c r="C275" s="166"/>
      <c r="D275" s="169"/>
    </row>
    <row r="276" spans="1:4" x14ac:dyDescent="0.25">
      <c r="A276" s="167"/>
      <c r="B276" s="166"/>
      <c r="C276" s="166"/>
      <c r="D276" s="169"/>
    </row>
    <row r="277" spans="1:4" x14ac:dyDescent="0.25">
      <c r="A277" s="167"/>
      <c r="B277" s="166"/>
      <c r="C277" s="166"/>
      <c r="D277" s="169"/>
    </row>
    <row r="278" spans="1:4" x14ac:dyDescent="0.25">
      <c r="A278" s="167"/>
      <c r="B278" s="166"/>
      <c r="C278" s="166"/>
      <c r="D278" s="169"/>
    </row>
    <row r="279" spans="1:4" x14ac:dyDescent="0.25">
      <c r="A279" s="167"/>
      <c r="B279" s="166"/>
      <c r="C279" s="166"/>
      <c r="D279" s="169"/>
    </row>
    <row r="280" spans="1:4" x14ac:dyDescent="0.25">
      <c r="A280" s="167"/>
      <c r="B280" s="166"/>
      <c r="C280" s="166"/>
      <c r="D280" s="169"/>
    </row>
    <row r="281" spans="1:4" x14ac:dyDescent="0.25">
      <c r="A281" s="167"/>
      <c r="B281" s="166"/>
      <c r="C281" s="166"/>
      <c r="D281" s="169"/>
    </row>
    <row r="282" spans="1:4" x14ac:dyDescent="0.25">
      <c r="A282" s="167"/>
      <c r="B282" s="166"/>
      <c r="C282" s="166"/>
      <c r="D282" s="169"/>
    </row>
    <row r="283" spans="1:4" x14ac:dyDescent="0.25">
      <c r="A283" s="167"/>
      <c r="B283" s="166"/>
      <c r="C283" s="166"/>
      <c r="D283" s="169"/>
    </row>
    <row r="284" spans="1:4" x14ac:dyDescent="0.25">
      <c r="A284" s="167"/>
      <c r="B284" s="166"/>
      <c r="C284" s="166"/>
      <c r="D284" s="169"/>
    </row>
    <row r="285" spans="1:4" x14ac:dyDescent="0.25">
      <c r="A285" s="167"/>
      <c r="B285" s="166"/>
      <c r="C285" s="166"/>
      <c r="D285" s="169"/>
    </row>
    <row r="286" spans="1:4" x14ac:dyDescent="0.25">
      <c r="A286" s="167"/>
      <c r="B286" s="166"/>
      <c r="C286" s="166"/>
      <c r="D286" s="169"/>
    </row>
    <row r="287" spans="1:4" x14ac:dyDescent="0.25">
      <c r="A287" s="167"/>
      <c r="B287" s="166"/>
      <c r="C287" s="166"/>
      <c r="D287" s="169"/>
    </row>
    <row r="288" spans="1:4" x14ac:dyDescent="0.25">
      <c r="A288" s="167"/>
      <c r="B288" s="166"/>
      <c r="C288" s="166"/>
      <c r="D288" s="169"/>
    </row>
    <row r="289" spans="1:4" x14ac:dyDescent="0.25">
      <c r="A289" s="167"/>
      <c r="B289" s="166"/>
      <c r="C289" s="166"/>
      <c r="D289" s="169"/>
    </row>
    <row r="290" spans="1:4" x14ac:dyDescent="0.25">
      <c r="A290" s="167"/>
      <c r="B290" s="166"/>
      <c r="C290" s="166"/>
      <c r="D290" s="169"/>
    </row>
    <row r="291" spans="1:4" x14ac:dyDescent="0.25">
      <c r="A291" s="167"/>
      <c r="B291" s="166"/>
      <c r="C291" s="166"/>
      <c r="D291" s="169"/>
    </row>
    <row r="292" spans="1:4" x14ac:dyDescent="0.25">
      <c r="A292" s="167"/>
      <c r="B292" s="166"/>
      <c r="C292" s="166"/>
      <c r="D292" s="169"/>
    </row>
    <row r="293" spans="1:4" x14ac:dyDescent="0.25">
      <c r="A293" s="167"/>
      <c r="B293" s="166"/>
      <c r="C293" s="166"/>
      <c r="D293" s="169"/>
    </row>
    <row r="294" spans="1:4" x14ac:dyDescent="0.25">
      <c r="A294" s="167"/>
      <c r="B294" s="166"/>
      <c r="C294" s="166"/>
      <c r="D294" s="169"/>
    </row>
    <row r="295" spans="1:4" x14ac:dyDescent="0.25">
      <c r="A295" s="167"/>
      <c r="B295" s="166"/>
      <c r="C295" s="166"/>
      <c r="D295" s="169"/>
    </row>
    <row r="296" spans="1:4" x14ac:dyDescent="0.25">
      <c r="A296" s="167"/>
      <c r="B296" s="166"/>
      <c r="C296" s="166"/>
      <c r="D296" s="169"/>
    </row>
    <row r="297" spans="1:4" x14ac:dyDescent="0.25">
      <c r="A297" s="167"/>
      <c r="B297" s="166"/>
      <c r="C297" s="166"/>
      <c r="D297" s="169"/>
    </row>
    <row r="298" spans="1:4" x14ac:dyDescent="0.25">
      <c r="A298" s="167"/>
      <c r="B298" s="166"/>
      <c r="C298" s="166"/>
      <c r="D298" s="169"/>
    </row>
    <row r="299" spans="1:4" x14ac:dyDescent="0.25">
      <c r="A299" s="167"/>
      <c r="B299" s="166"/>
      <c r="C299" s="166"/>
      <c r="D299" s="169"/>
    </row>
    <row r="300" spans="1:4" x14ac:dyDescent="0.25">
      <c r="A300" s="167"/>
      <c r="B300" s="166"/>
      <c r="C300" s="166"/>
      <c r="D300" s="169"/>
    </row>
    <row r="301" spans="1:4" x14ac:dyDescent="0.25">
      <c r="A301" s="167"/>
      <c r="B301" s="166"/>
      <c r="C301" s="166"/>
      <c r="D301" s="169"/>
    </row>
    <row r="302" spans="1:4" x14ac:dyDescent="0.25">
      <c r="A302" s="167"/>
      <c r="B302" s="166"/>
      <c r="C302" s="166"/>
      <c r="D302" s="169"/>
    </row>
    <row r="303" spans="1:4" x14ac:dyDescent="0.25">
      <c r="A303" s="167"/>
      <c r="B303" s="166"/>
      <c r="C303" s="166"/>
      <c r="D303" s="169"/>
    </row>
    <row r="304" spans="1:4" x14ac:dyDescent="0.25">
      <c r="A304" s="167"/>
      <c r="B304" s="166"/>
      <c r="C304" s="166"/>
      <c r="D304" s="169"/>
    </row>
    <row r="305" spans="1:4" x14ac:dyDescent="0.25">
      <c r="A305" s="167"/>
      <c r="B305" s="166"/>
      <c r="C305" s="166"/>
      <c r="D305" s="169"/>
    </row>
    <row r="306" spans="1:4" x14ac:dyDescent="0.25">
      <c r="A306" s="167"/>
      <c r="B306" s="166"/>
      <c r="C306" s="166"/>
      <c r="D306" s="169"/>
    </row>
    <row r="307" spans="1:4" x14ac:dyDescent="0.25">
      <c r="A307" s="167"/>
      <c r="B307" s="166"/>
      <c r="C307" s="166"/>
      <c r="D307" s="169"/>
    </row>
    <row r="308" spans="1:4" x14ac:dyDescent="0.25">
      <c r="A308" s="167"/>
      <c r="B308" s="166"/>
      <c r="C308" s="166"/>
      <c r="D308" s="169"/>
    </row>
    <row r="309" spans="1:4" x14ac:dyDescent="0.25">
      <c r="A309" s="167"/>
      <c r="B309" s="166"/>
      <c r="C309" s="166"/>
      <c r="D309" s="169"/>
    </row>
    <row r="310" spans="1:4" x14ac:dyDescent="0.25">
      <c r="A310" s="167"/>
      <c r="B310" s="166"/>
      <c r="C310" s="166"/>
      <c r="D310" s="169"/>
    </row>
    <row r="311" spans="1:4" x14ac:dyDescent="0.25">
      <c r="A311" s="167"/>
      <c r="B311" s="166"/>
      <c r="C311" s="166"/>
      <c r="D311" s="169"/>
    </row>
    <row r="312" spans="1:4" x14ac:dyDescent="0.25">
      <c r="A312" s="167"/>
      <c r="B312" s="166"/>
      <c r="C312" s="166"/>
      <c r="D312" s="169"/>
    </row>
    <row r="313" spans="1:4" x14ac:dyDescent="0.25">
      <c r="A313" s="167"/>
      <c r="B313" s="166"/>
      <c r="C313" s="166"/>
      <c r="D313" s="169"/>
    </row>
    <row r="314" spans="1:4" x14ac:dyDescent="0.25">
      <c r="A314" s="167"/>
      <c r="B314" s="166"/>
      <c r="C314" s="166"/>
      <c r="D314" s="169"/>
    </row>
    <row r="315" spans="1:4" x14ac:dyDescent="0.25">
      <c r="A315" s="167"/>
      <c r="B315" s="166"/>
      <c r="C315" s="166"/>
      <c r="D315" s="169"/>
    </row>
    <row r="316" spans="1:4" x14ac:dyDescent="0.25">
      <c r="A316" s="167"/>
      <c r="B316" s="166"/>
      <c r="C316" s="166"/>
      <c r="D316" s="169"/>
    </row>
    <row r="317" spans="1:4" x14ac:dyDescent="0.25">
      <c r="A317" s="167"/>
      <c r="B317" s="166"/>
      <c r="C317" s="166"/>
      <c r="D317" s="169"/>
    </row>
    <row r="318" spans="1:4" x14ac:dyDescent="0.25">
      <c r="A318" s="167"/>
      <c r="B318" s="166"/>
      <c r="C318" s="166"/>
      <c r="D318" s="169"/>
    </row>
    <row r="319" spans="1:4" x14ac:dyDescent="0.25">
      <c r="A319" s="167"/>
      <c r="B319" s="166"/>
      <c r="C319" s="166"/>
      <c r="D319" s="169"/>
    </row>
    <row r="320" spans="1:4" x14ac:dyDescent="0.25">
      <c r="A320" s="167"/>
      <c r="B320" s="166"/>
      <c r="C320" s="166"/>
      <c r="D320" s="169"/>
    </row>
    <row r="321" spans="1:4" x14ac:dyDescent="0.25">
      <c r="A321" s="167"/>
      <c r="B321" s="166"/>
      <c r="C321" s="166"/>
      <c r="D321" s="169"/>
    </row>
    <row r="322" spans="1:4" x14ac:dyDescent="0.25">
      <c r="A322" s="167"/>
      <c r="B322" s="166"/>
      <c r="C322" s="166"/>
      <c r="D322" s="169"/>
    </row>
    <row r="323" spans="1:4" x14ac:dyDescent="0.25">
      <c r="A323" s="167"/>
      <c r="B323" s="166"/>
      <c r="C323" s="166"/>
      <c r="D323" s="169"/>
    </row>
    <row r="324" spans="1:4" x14ac:dyDescent="0.25">
      <c r="A324" s="167"/>
      <c r="B324" s="166"/>
      <c r="C324" s="166"/>
      <c r="D324" s="169"/>
    </row>
    <row r="325" spans="1:4" x14ac:dyDescent="0.25">
      <c r="A325" s="167"/>
      <c r="B325" s="166"/>
      <c r="C325" s="166"/>
      <c r="D325" s="169"/>
    </row>
    <row r="326" spans="1:4" x14ac:dyDescent="0.25">
      <c r="A326" s="167"/>
      <c r="B326" s="166"/>
      <c r="C326" s="166"/>
      <c r="D326" s="169"/>
    </row>
    <row r="327" spans="1:4" x14ac:dyDescent="0.25">
      <c r="A327" s="167"/>
      <c r="B327" s="166"/>
      <c r="C327" s="166"/>
      <c r="D327" s="169"/>
    </row>
    <row r="328" spans="1:4" x14ac:dyDescent="0.25">
      <c r="A328" s="167"/>
      <c r="B328" s="166"/>
      <c r="C328" s="166"/>
      <c r="D328" s="169"/>
    </row>
    <row r="329" spans="1:4" x14ac:dyDescent="0.25">
      <c r="A329" s="167"/>
      <c r="B329" s="166"/>
      <c r="C329" s="166"/>
      <c r="D329" s="169"/>
    </row>
    <row r="330" spans="1:4" x14ac:dyDescent="0.25">
      <c r="A330" s="167"/>
      <c r="B330" s="166"/>
      <c r="C330" s="166"/>
      <c r="D330" s="169"/>
    </row>
    <row r="331" spans="1:4" x14ac:dyDescent="0.25">
      <c r="A331" s="167"/>
      <c r="B331" s="166"/>
      <c r="C331" s="166"/>
      <c r="D331" s="169"/>
    </row>
    <row r="332" spans="1:4" x14ac:dyDescent="0.25">
      <c r="A332" s="167"/>
      <c r="B332" s="166"/>
      <c r="C332" s="166"/>
      <c r="D332" s="169"/>
    </row>
    <row r="333" spans="1:4" x14ac:dyDescent="0.25">
      <c r="A333" s="167"/>
      <c r="B333" s="166"/>
      <c r="C333" s="166"/>
      <c r="D333" s="169"/>
    </row>
    <row r="334" spans="1:4" x14ac:dyDescent="0.25">
      <c r="A334" s="167"/>
      <c r="B334" s="166"/>
      <c r="C334" s="166"/>
      <c r="D334" s="169"/>
    </row>
    <row r="335" spans="1:4" x14ac:dyDescent="0.25">
      <c r="A335" s="167"/>
      <c r="B335" s="166"/>
      <c r="C335" s="166"/>
      <c r="D335" s="169"/>
    </row>
    <row r="336" spans="1:4" x14ac:dyDescent="0.25">
      <c r="A336" s="167"/>
      <c r="B336" s="166"/>
      <c r="C336" s="166"/>
      <c r="D336" s="169"/>
    </row>
    <row r="337" spans="1:4" x14ac:dyDescent="0.25">
      <c r="A337" s="167"/>
      <c r="B337" s="166"/>
      <c r="C337" s="166"/>
      <c r="D337" s="169"/>
    </row>
    <row r="338" spans="1:4" x14ac:dyDescent="0.25">
      <c r="A338" s="167"/>
      <c r="B338" s="166"/>
      <c r="C338" s="166"/>
      <c r="D338" s="169"/>
    </row>
    <row r="339" spans="1:4" x14ac:dyDescent="0.25">
      <c r="A339" s="167"/>
      <c r="B339" s="166"/>
      <c r="C339" s="166"/>
      <c r="D339" s="169"/>
    </row>
    <row r="340" spans="1:4" x14ac:dyDescent="0.25">
      <c r="A340" s="167"/>
      <c r="B340" s="166"/>
      <c r="C340" s="166"/>
      <c r="D340" s="169"/>
    </row>
    <row r="341" spans="1:4" x14ac:dyDescent="0.25">
      <c r="A341" s="167"/>
      <c r="B341" s="166"/>
      <c r="C341" s="166"/>
      <c r="D341" s="169"/>
    </row>
    <row r="342" spans="1:4" x14ac:dyDescent="0.25">
      <c r="A342" s="167"/>
      <c r="B342" s="166"/>
      <c r="C342" s="166"/>
      <c r="D342" s="169"/>
    </row>
    <row r="343" spans="1:4" x14ac:dyDescent="0.25">
      <c r="A343" s="167"/>
      <c r="B343" s="166"/>
      <c r="C343" s="166"/>
      <c r="D343" s="169"/>
    </row>
    <row r="344" spans="1:4" x14ac:dyDescent="0.25">
      <c r="A344" s="167"/>
      <c r="B344" s="166"/>
      <c r="C344" s="166"/>
      <c r="D344" s="169"/>
    </row>
    <row r="345" spans="1:4" x14ac:dyDescent="0.25">
      <c r="A345" s="167"/>
      <c r="B345" s="166"/>
      <c r="C345" s="166"/>
      <c r="D345" s="169"/>
    </row>
    <row r="346" spans="1:4" x14ac:dyDescent="0.25">
      <c r="A346" s="167"/>
      <c r="B346" s="166"/>
      <c r="C346" s="166"/>
      <c r="D346" s="169"/>
    </row>
    <row r="347" spans="1:4" x14ac:dyDescent="0.25">
      <c r="A347" s="167"/>
      <c r="B347" s="166"/>
      <c r="C347" s="166"/>
      <c r="D347" s="169"/>
    </row>
    <row r="348" spans="1:4" x14ac:dyDescent="0.25">
      <c r="A348" s="167"/>
      <c r="B348" s="166"/>
      <c r="C348" s="166"/>
      <c r="D348" s="169"/>
    </row>
    <row r="349" spans="1:4" x14ac:dyDescent="0.25">
      <c r="A349" s="167"/>
      <c r="B349" s="166"/>
      <c r="C349" s="166"/>
      <c r="D349" s="169"/>
    </row>
    <row r="350" spans="1:4" x14ac:dyDescent="0.25">
      <c r="A350" s="167"/>
      <c r="B350" s="166"/>
      <c r="C350" s="166"/>
      <c r="D350" s="169"/>
    </row>
    <row r="351" spans="1:4" x14ac:dyDescent="0.25">
      <c r="A351" s="167"/>
      <c r="B351" s="166"/>
      <c r="C351" s="166"/>
      <c r="D351" s="169"/>
    </row>
    <row r="352" spans="1:4" x14ac:dyDescent="0.25">
      <c r="A352" s="167"/>
      <c r="B352" s="166"/>
      <c r="C352" s="166"/>
      <c r="D352" s="169"/>
    </row>
    <row r="353" spans="1:4" x14ac:dyDescent="0.25">
      <c r="A353" s="167"/>
      <c r="B353" s="166"/>
      <c r="C353" s="166"/>
      <c r="D353" s="169"/>
    </row>
    <row r="354" spans="1:4" x14ac:dyDescent="0.25">
      <c r="A354" s="167"/>
      <c r="B354" s="166"/>
      <c r="C354" s="166"/>
      <c r="D354" s="169"/>
    </row>
    <row r="355" spans="1:4" x14ac:dyDescent="0.25">
      <c r="A355" s="167"/>
      <c r="B355" s="166"/>
      <c r="C355" s="166"/>
      <c r="D355" s="169"/>
    </row>
    <row r="356" spans="1:4" x14ac:dyDescent="0.25">
      <c r="A356" s="167"/>
      <c r="B356" s="166"/>
      <c r="C356" s="166"/>
      <c r="D356" s="169"/>
    </row>
    <row r="357" spans="1:4" x14ac:dyDescent="0.25">
      <c r="A357" s="167"/>
      <c r="B357" s="166"/>
      <c r="C357" s="166"/>
      <c r="D357" s="169"/>
    </row>
    <row r="358" spans="1:4" x14ac:dyDescent="0.25">
      <c r="A358" s="167"/>
      <c r="B358" s="166"/>
      <c r="C358" s="166"/>
      <c r="D358" s="169"/>
    </row>
    <row r="359" spans="1:4" x14ac:dyDescent="0.25">
      <c r="A359" s="167"/>
      <c r="B359" s="166"/>
      <c r="C359" s="166"/>
      <c r="D359" s="169"/>
    </row>
    <row r="360" spans="1:4" x14ac:dyDescent="0.25">
      <c r="A360" s="167"/>
      <c r="B360" s="166"/>
      <c r="C360" s="166"/>
      <c r="D360" s="169"/>
    </row>
    <row r="361" spans="1:4" x14ac:dyDescent="0.25">
      <c r="A361" s="167"/>
      <c r="B361" s="166"/>
      <c r="C361" s="166"/>
      <c r="D361" s="169"/>
    </row>
    <row r="362" spans="1:4" x14ac:dyDescent="0.25">
      <c r="A362" s="167"/>
      <c r="B362" s="166"/>
      <c r="C362" s="166"/>
      <c r="D362" s="169"/>
    </row>
    <row r="363" spans="1:4" x14ac:dyDescent="0.25">
      <c r="A363" s="167"/>
      <c r="B363" s="166"/>
      <c r="C363" s="166"/>
      <c r="D363" s="169"/>
    </row>
    <row r="364" spans="1:4" x14ac:dyDescent="0.25">
      <c r="A364" s="167"/>
      <c r="B364" s="166"/>
      <c r="C364" s="166"/>
      <c r="D364" s="169"/>
    </row>
    <row r="365" spans="1:4" x14ac:dyDescent="0.25">
      <c r="A365" s="167"/>
      <c r="B365" s="166"/>
      <c r="C365" s="166"/>
      <c r="D365" s="169"/>
    </row>
    <row r="366" spans="1:4" x14ac:dyDescent="0.25">
      <c r="A366" s="167"/>
      <c r="B366" s="166"/>
      <c r="C366" s="166"/>
      <c r="D366" s="169"/>
    </row>
    <row r="367" spans="1:4" x14ac:dyDescent="0.25">
      <c r="A367" s="167"/>
      <c r="B367" s="166"/>
      <c r="C367" s="166"/>
      <c r="D367" s="169"/>
    </row>
    <row r="368" spans="1:4" x14ac:dyDescent="0.25">
      <c r="A368" s="167"/>
      <c r="B368" s="166"/>
      <c r="C368" s="166"/>
      <c r="D368" s="169"/>
    </row>
    <row r="369" spans="1:4" x14ac:dyDescent="0.25">
      <c r="A369" s="167"/>
      <c r="B369" s="166"/>
      <c r="C369" s="166"/>
      <c r="D369" s="169"/>
    </row>
    <row r="370" spans="1:4" x14ac:dyDescent="0.25">
      <c r="A370" s="167"/>
      <c r="B370" s="166"/>
      <c r="C370" s="166"/>
      <c r="D370" s="169"/>
    </row>
    <row r="371" spans="1:4" x14ac:dyDescent="0.25">
      <c r="A371" s="167"/>
      <c r="B371" s="166"/>
      <c r="C371" s="166"/>
      <c r="D371" s="169"/>
    </row>
    <row r="372" spans="1:4" x14ac:dyDescent="0.25">
      <c r="A372" s="167"/>
      <c r="B372" s="166"/>
      <c r="C372" s="166"/>
      <c r="D372" s="169"/>
    </row>
    <row r="373" spans="1:4" x14ac:dyDescent="0.25">
      <c r="A373" s="167"/>
      <c r="B373" s="166"/>
      <c r="C373" s="166"/>
      <c r="D373" s="169"/>
    </row>
    <row r="374" spans="1:4" x14ac:dyDescent="0.25">
      <c r="A374" s="167"/>
      <c r="B374" s="166"/>
      <c r="C374" s="166"/>
      <c r="D374" s="169"/>
    </row>
    <row r="375" spans="1:4" x14ac:dyDescent="0.25">
      <c r="A375" s="167"/>
      <c r="B375" s="166"/>
      <c r="C375" s="166"/>
      <c r="D375" s="169"/>
    </row>
    <row r="376" spans="1:4" x14ac:dyDescent="0.25">
      <c r="A376" s="167"/>
      <c r="B376" s="166"/>
      <c r="C376" s="166"/>
      <c r="D376" s="169"/>
    </row>
    <row r="377" spans="1:4" x14ac:dyDescent="0.25">
      <c r="A377" s="167"/>
      <c r="B377" s="166"/>
      <c r="C377" s="166"/>
      <c r="D377" s="169"/>
    </row>
    <row r="378" spans="1:4" x14ac:dyDescent="0.25">
      <c r="A378" s="167"/>
      <c r="B378" s="166"/>
      <c r="C378" s="166"/>
      <c r="D378" s="169"/>
    </row>
    <row r="379" spans="1:4" x14ac:dyDescent="0.25">
      <c r="A379" s="167"/>
      <c r="B379" s="166"/>
      <c r="C379" s="166"/>
      <c r="D379" s="169"/>
    </row>
    <row r="380" spans="1:4" x14ac:dyDescent="0.25">
      <c r="A380" s="167"/>
      <c r="B380" s="166"/>
      <c r="C380" s="166"/>
      <c r="D380" s="169"/>
    </row>
    <row r="381" spans="1:4" x14ac:dyDescent="0.25">
      <c r="A381" s="167"/>
      <c r="B381" s="166"/>
      <c r="C381" s="166"/>
      <c r="D381" s="169"/>
    </row>
    <row r="382" spans="1:4" x14ac:dyDescent="0.25">
      <c r="A382" s="167"/>
      <c r="B382" s="166"/>
      <c r="C382" s="166"/>
      <c r="D382" s="169"/>
    </row>
    <row r="383" spans="1:4" x14ac:dyDescent="0.25">
      <c r="A383" s="167"/>
      <c r="B383" s="166"/>
      <c r="C383" s="166"/>
      <c r="D383" s="169"/>
    </row>
    <row r="384" spans="1:4" x14ac:dyDescent="0.25">
      <c r="A384" s="167"/>
      <c r="B384" s="166"/>
      <c r="C384" s="166"/>
      <c r="D384" s="169"/>
    </row>
    <row r="385" spans="1:4" x14ac:dyDescent="0.25">
      <c r="A385" s="167"/>
      <c r="B385" s="166"/>
      <c r="C385" s="166"/>
      <c r="D385" s="169"/>
    </row>
    <row r="386" spans="1:4" x14ac:dyDescent="0.25">
      <c r="A386" s="167"/>
      <c r="B386" s="166"/>
      <c r="C386" s="166"/>
      <c r="D386" s="169"/>
    </row>
    <row r="387" spans="1:4" x14ac:dyDescent="0.25">
      <c r="A387" s="167"/>
      <c r="B387" s="166"/>
      <c r="C387" s="166"/>
      <c r="D387" s="169"/>
    </row>
    <row r="388" spans="1:4" x14ac:dyDescent="0.25">
      <c r="A388" s="167"/>
      <c r="B388" s="166"/>
      <c r="C388" s="166"/>
      <c r="D388" s="169"/>
    </row>
    <row r="389" spans="1:4" x14ac:dyDescent="0.25">
      <c r="A389" s="167"/>
      <c r="B389" s="166"/>
      <c r="C389" s="166"/>
      <c r="D389" s="169"/>
    </row>
    <row r="390" spans="1:4" x14ac:dyDescent="0.25">
      <c r="A390" s="167"/>
      <c r="B390" s="166"/>
      <c r="C390" s="166"/>
      <c r="D390" s="169"/>
    </row>
    <row r="391" spans="1:4" x14ac:dyDescent="0.25">
      <c r="A391" s="167"/>
      <c r="B391" s="166"/>
      <c r="C391" s="166"/>
      <c r="D391" s="169"/>
    </row>
    <row r="392" spans="1:4" x14ac:dyDescent="0.25">
      <c r="A392" s="167"/>
      <c r="B392" s="166"/>
      <c r="C392" s="166"/>
      <c r="D392" s="169"/>
    </row>
    <row r="393" spans="1:4" x14ac:dyDescent="0.25">
      <c r="A393" s="167"/>
      <c r="B393" s="166"/>
      <c r="C393" s="166"/>
      <c r="D393" s="169"/>
    </row>
    <row r="394" spans="1:4" x14ac:dyDescent="0.25">
      <c r="A394" s="167"/>
      <c r="B394" s="166"/>
      <c r="C394" s="166"/>
      <c r="D394" s="169"/>
    </row>
    <row r="395" spans="1:4" x14ac:dyDescent="0.25">
      <c r="A395" s="167"/>
      <c r="B395" s="166"/>
      <c r="C395" s="166"/>
      <c r="D395" s="169"/>
    </row>
    <row r="396" spans="1:4" x14ac:dyDescent="0.25">
      <c r="A396" s="167"/>
      <c r="B396" s="166"/>
      <c r="C396" s="166"/>
      <c r="D396" s="169"/>
    </row>
    <row r="397" spans="1:4" x14ac:dyDescent="0.25">
      <c r="A397" s="167"/>
      <c r="B397" s="166"/>
      <c r="C397" s="166"/>
      <c r="D397" s="169"/>
    </row>
    <row r="398" spans="1:4" x14ac:dyDescent="0.25">
      <c r="A398" s="167"/>
      <c r="B398" s="166"/>
      <c r="C398" s="166"/>
      <c r="D398" s="169"/>
    </row>
    <row r="399" spans="1:4" x14ac:dyDescent="0.25">
      <c r="A399" s="167"/>
      <c r="B399" s="166"/>
      <c r="C399" s="166"/>
      <c r="D399" s="169"/>
    </row>
    <row r="400" spans="1:4" x14ac:dyDescent="0.25">
      <c r="A400" s="167"/>
      <c r="B400" s="166"/>
      <c r="C400" s="166"/>
      <c r="D400" s="169"/>
    </row>
    <row r="401" spans="1:4" x14ac:dyDescent="0.25">
      <c r="A401" s="167"/>
      <c r="B401" s="166"/>
      <c r="C401" s="166"/>
      <c r="D401" s="169"/>
    </row>
    <row r="402" spans="1:4" x14ac:dyDescent="0.25">
      <c r="A402" s="167"/>
      <c r="B402" s="166"/>
      <c r="C402" s="166"/>
      <c r="D402" s="169"/>
    </row>
    <row r="403" spans="1:4" x14ac:dyDescent="0.25">
      <c r="A403" s="167"/>
      <c r="B403" s="166"/>
      <c r="C403" s="166"/>
      <c r="D403" s="169"/>
    </row>
    <row r="404" spans="1:4" x14ac:dyDescent="0.25">
      <c r="A404" s="167"/>
      <c r="B404" s="166"/>
      <c r="C404" s="166"/>
      <c r="D404" s="169"/>
    </row>
    <row r="405" spans="1:4" x14ac:dyDescent="0.25">
      <c r="A405" s="167"/>
      <c r="B405" s="166"/>
      <c r="C405" s="166"/>
      <c r="D405" s="169"/>
    </row>
    <row r="406" spans="1:4" x14ac:dyDescent="0.25">
      <c r="A406" s="167"/>
      <c r="B406" s="166"/>
      <c r="C406" s="166"/>
      <c r="D406" s="169"/>
    </row>
    <row r="407" spans="1:4" x14ac:dyDescent="0.25">
      <c r="A407" s="167"/>
      <c r="B407" s="166"/>
      <c r="C407" s="166"/>
      <c r="D407" s="169"/>
    </row>
    <row r="408" spans="1:4" x14ac:dyDescent="0.25">
      <c r="A408" s="167"/>
      <c r="B408" s="166"/>
      <c r="C408" s="166"/>
      <c r="D408" s="169"/>
    </row>
    <row r="409" spans="1:4" x14ac:dyDescent="0.25">
      <c r="A409" s="167"/>
      <c r="B409" s="166"/>
      <c r="C409" s="166"/>
      <c r="D409" s="169"/>
    </row>
    <row r="410" spans="1:4" x14ac:dyDescent="0.25">
      <c r="A410" s="167"/>
      <c r="B410" s="166"/>
      <c r="C410" s="166"/>
      <c r="D410" s="169"/>
    </row>
    <row r="411" spans="1:4" x14ac:dyDescent="0.25">
      <c r="A411" s="167"/>
      <c r="B411" s="166"/>
      <c r="C411" s="166"/>
      <c r="D411" s="169"/>
    </row>
    <row r="412" spans="1:4" x14ac:dyDescent="0.25">
      <c r="A412" s="167"/>
      <c r="B412" s="166"/>
      <c r="C412" s="166"/>
      <c r="D412" s="169"/>
    </row>
    <row r="413" spans="1:4" x14ac:dyDescent="0.25">
      <c r="A413" s="167"/>
      <c r="B413" s="166"/>
      <c r="C413" s="166"/>
      <c r="D413" s="169"/>
    </row>
    <row r="414" spans="1:4" x14ac:dyDescent="0.25">
      <c r="A414" s="167"/>
      <c r="B414" s="166"/>
      <c r="C414" s="166"/>
      <c r="D414" s="169"/>
    </row>
    <row r="415" spans="1:4" x14ac:dyDescent="0.25">
      <c r="A415" s="167"/>
      <c r="B415" s="166"/>
      <c r="C415" s="166"/>
      <c r="D415" s="169"/>
    </row>
    <row r="416" spans="1:4" x14ac:dyDescent="0.25">
      <c r="A416" s="167"/>
      <c r="B416" s="166"/>
      <c r="C416" s="166"/>
      <c r="D416" s="169"/>
    </row>
    <row r="417" spans="1:4" x14ac:dyDescent="0.25">
      <c r="A417" s="167"/>
      <c r="B417" s="166"/>
      <c r="C417" s="166"/>
      <c r="D417" s="169"/>
    </row>
    <row r="418" spans="1:4" x14ac:dyDescent="0.25">
      <c r="A418" s="167"/>
      <c r="B418" s="166"/>
      <c r="C418" s="166"/>
      <c r="D418" s="169"/>
    </row>
    <row r="419" spans="1:4" x14ac:dyDescent="0.25">
      <c r="A419" s="167"/>
      <c r="B419" s="166"/>
      <c r="C419" s="166"/>
      <c r="D419" s="169"/>
    </row>
    <row r="420" spans="1:4" x14ac:dyDescent="0.25">
      <c r="A420" s="167"/>
      <c r="B420" s="166"/>
      <c r="C420" s="166"/>
      <c r="D420" s="169"/>
    </row>
    <row r="421" spans="1:4" x14ac:dyDescent="0.25">
      <c r="A421" s="167"/>
      <c r="B421" s="166"/>
      <c r="C421" s="166"/>
      <c r="D421" s="169"/>
    </row>
    <row r="422" spans="1:4" x14ac:dyDescent="0.25">
      <c r="A422" s="167"/>
      <c r="B422" s="166"/>
      <c r="C422" s="166"/>
      <c r="D422" s="169"/>
    </row>
    <row r="423" spans="1:4" x14ac:dyDescent="0.25">
      <c r="A423" s="167"/>
      <c r="B423" s="166"/>
      <c r="C423" s="166"/>
      <c r="D423" s="169"/>
    </row>
    <row r="424" spans="1:4" x14ac:dyDescent="0.25">
      <c r="A424" s="167"/>
      <c r="B424" s="166"/>
      <c r="C424" s="166"/>
      <c r="D424" s="169"/>
    </row>
    <row r="425" spans="1:4" x14ac:dyDescent="0.25">
      <c r="A425" s="167"/>
      <c r="B425" s="166"/>
      <c r="C425" s="166"/>
      <c r="D425" s="169"/>
    </row>
    <row r="426" spans="1:4" x14ac:dyDescent="0.25">
      <c r="A426" s="167"/>
      <c r="B426" s="166"/>
      <c r="C426" s="166"/>
      <c r="D426" s="169"/>
    </row>
    <row r="427" spans="1:4" x14ac:dyDescent="0.25">
      <c r="A427" s="167"/>
      <c r="B427" s="166"/>
      <c r="C427" s="166"/>
      <c r="D427" s="169"/>
    </row>
    <row r="428" spans="1:4" x14ac:dyDescent="0.25">
      <c r="A428" s="167"/>
      <c r="B428" s="166"/>
      <c r="C428" s="166"/>
      <c r="D428" s="169"/>
    </row>
    <row r="429" spans="1:4" x14ac:dyDescent="0.25">
      <c r="A429" s="167"/>
      <c r="B429" s="166"/>
      <c r="C429" s="166"/>
      <c r="D429" s="169"/>
    </row>
    <row r="430" spans="1:4" x14ac:dyDescent="0.25">
      <c r="A430" s="167"/>
      <c r="B430" s="166"/>
      <c r="C430" s="166"/>
      <c r="D430" s="169"/>
    </row>
    <row r="431" spans="1:4" x14ac:dyDescent="0.25">
      <c r="A431" s="167"/>
      <c r="B431" s="166"/>
      <c r="C431" s="166"/>
      <c r="D431" s="169"/>
    </row>
    <row r="432" spans="1:4" x14ac:dyDescent="0.25">
      <c r="A432" s="167"/>
      <c r="B432" s="166"/>
      <c r="C432" s="166"/>
      <c r="D432" s="169"/>
    </row>
    <row r="433" spans="1:4" x14ac:dyDescent="0.25">
      <c r="A433" s="167"/>
      <c r="B433" s="166"/>
      <c r="C433" s="166"/>
      <c r="D433" s="169"/>
    </row>
    <row r="434" spans="1:4" x14ac:dyDescent="0.25">
      <c r="A434" s="167"/>
      <c r="B434" s="166"/>
      <c r="C434" s="166"/>
      <c r="D434" s="169"/>
    </row>
    <row r="435" spans="1:4" x14ac:dyDescent="0.25">
      <c r="A435" s="167"/>
      <c r="B435" s="166"/>
      <c r="C435" s="166"/>
      <c r="D435" s="169"/>
    </row>
    <row r="436" spans="1:4" x14ac:dyDescent="0.25">
      <c r="A436" s="167"/>
      <c r="B436" s="166"/>
      <c r="C436" s="166"/>
      <c r="D436" s="169"/>
    </row>
    <row r="437" spans="1:4" x14ac:dyDescent="0.25">
      <c r="A437" s="167"/>
      <c r="B437" s="166"/>
      <c r="C437" s="166"/>
      <c r="D437" s="169"/>
    </row>
    <row r="438" spans="1:4" x14ac:dyDescent="0.25">
      <c r="A438" s="167"/>
      <c r="B438" s="166"/>
      <c r="C438" s="166"/>
      <c r="D438" s="169"/>
    </row>
    <row r="439" spans="1:4" x14ac:dyDescent="0.25">
      <c r="A439" s="167"/>
      <c r="B439" s="166"/>
      <c r="C439" s="166"/>
      <c r="D439" s="169"/>
    </row>
    <row r="440" spans="1:4" x14ac:dyDescent="0.25">
      <c r="A440" s="167"/>
      <c r="B440" s="166"/>
      <c r="C440" s="166"/>
      <c r="D440" s="169"/>
    </row>
    <row r="441" spans="1:4" x14ac:dyDescent="0.25">
      <c r="A441" s="167"/>
      <c r="B441" s="166"/>
      <c r="C441" s="166"/>
      <c r="D441" s="169"/>
    </row>
    <row r="442" spans="1:4" x14ac:dyDescent="0.25">
      <c r="A442" s="167"/>
      <c r="B442" s="166"/>
      <c r="C442" s="166"/>
      <c r="D442" s="169"/>
    </row>
    <row r="443" spans="1:4" x14ac:dyDescent="0.25">
      <c r="A443" s="167"/>
      <c r="B443" s="166"/>
      <c r="C443" s="166"/>
      <c r="D443" s="169"/>
    </row>
    <row r="444" spans="1:4" x14ac:dyDescent="0.25">
      <c r="A444" s="167"/>
      <c r="B444" s="166"/>
      <c r="C444" s="166"/>
      <c r="D444" s="169"/>
    </row>
    <row r="445" spans="1:4" x14ac:dyDescent="0.25">
      <c r="A445" s="167"/>
      <c r="B445" s="166"/>
      <c r="C445" s="166"/>
      <c r="D445" s="169"/>
    </row>
    <row r="446" spans="1:4" x14ac:dyDescent="0.25">
      <c r="A446" s="167"/>
      <c r="B446" s="166"/>
      <c r="C446" s="166"/>
      <c r="D446" s="169"/>
    </row>
    <row r="447" spans="1:4" x14ac:dyDescent="0.25">
      <c r="A447" s="167"/>
      <c r="B447" s="166"/>
      <c r="C447" s="166"/>
      <c r="D447" s="169"/>
    </row>
    <row r="448" spans="1:4" x14ac:dyDescent="0.25">
      <c r="A448" s="167"/>
      <c r="B448" s="166"/>
      <c r="C448" s="166"/>
      <c r="D448" s="169"/>
    </row>
    <row r="449" spans="1:4" x14ac:dyDescent="0.25">
      <c r="A449" s="167"/>
      <c r="B449" s="166"/>
      <c r="C449" s="166"/>
      <c r="D449" s="169"/>
    </row>
    <row r="450" spans="1:4" x14ac:dyDescent="0.25">
      <c r="A450" s="167"/>
      <c r="B450" s="166"/>
      <c r="C450" s="166"/>
      <c r="D450" s="169"/>
    </row>
    <row r="451" spans="1:4" x14ac:dyDescent="0.25">
      <c r="A451" s="167"/>
      <c r="B451" s="166"/>
      <c r="C451" s="166"/>
      <c r="D451" s="169"/>
    </row>
    <row r="452" spans="1:4" x14ac:dyDescent="0.25">
      <c r="A452" s="167"/>
      <c r="B452" s="166"/>
      <c r="C452" s="166"/>
      <c r="D452" s="169"/>
    </row>
    <row r="453" spans="1:4" x14ac:dyDescent="0.25">
      <c r="A453" s="167"/>
      <c r="B453" s="166"/>
      <c r="C453" s="166"/>
      <c r="D453" s="169"/>
    </row>
    <row r="454" spans="1:4" x14ac:dyDescent="0.25">
      <c r="A454" s="167"/>
      <c r="B454" s="166"/>
      <c r="C454" s="166"/>
      <c r="D454" s="169"/>
    </row>
    <row r="455" spans="1:4" x14ac:dyDescent="0.25">
      <c r="A455" s="167"/>
      <c r="B455" s="166"/>
      <c r="C455" s="166"/>
      <c r="D455" s="169"/>
    </row>
    <row r="456" spans="1:4" x14ac:dyDescent="0.25">
      <c r="A456" s="167"/>
      <c r="B456" s="166"/>
      <c r="C456" s="166"/>
      <c r="D456" s="169"/>
    </row>
    <row r="457" spans="1:4" x14ac:dyDescent="0.25">
      <c r="A457" s="167"/>
      <c r="B457" s="166"/>
      <c r="C457" s="166"/>
      <c r="D457" s="169"/>
    </row>
    <row r="458" spans="1:4" x14ac:dyDescent="0.25">
      <c r="A458" s="167"/>
      <c r="B458" s="166"/>
      <c r="C458" s="166"/>
      <c r="D458" s="169"/>
    </row>
    <row r="459" spans="1:4" x14ac:dyDescent="0.25">
      <c r="A459" s="167"/>
      <c r="B459" s="166"/>
      <c r="C459" s="166"/>
      <c r="D459" s="169"/>
    </row>
    <row r="460" spans="1:4" x14ac:dyDescent="0.25">
      <c r="A460" s="167"/>
      <c r="B460" s="166"/>
      <c r="C460" s="166"/>
      <c r="D460" s="169"/>
    </row>
    <row r="461" spans="1:4" x14ac:dyDescent="0.25">
      <c r="A461" s="167"/>
      <c r="B461" s="166"/>
      <c r="C461" s="166"/>
      <c r="D461" s="169"/>
    </row>
    <row r="462" spans="1:4" x14ac:dyDescent="0.25">
      <c r="A462" s="167"/>
      <c r="B462" s="166"/>
      <c r="C462" s="166"/>
      <c r="D462" s="169"/>
    </row>
    <row r="463" spans="1:4" x14ac:dyDescent="0.25">
      <c r="A463" s="167"/>
      <c r="B463" s="166"/>
      <c r="C463" s="166"/>
      <c r="D463" s="169"/>
    </row>
    <row r="464" spans="1:4" x14ac:dyDescent="0.25">
      <c r="A464" s="167"/>
      <c r="B464" s="166"/>
      <c r="C464" s="166"/>
      <c r="D464" s="169"/>
    </row>
    <row r="465" spans="1:4" x14ac:dyDescent="0.25">
      <c r="A465" s="167"/>
      <c r="B465" s="166"/>
      <c r="C465" s="166"/>
      <c r="D465" s="169"/>
    </row>
    <row r="466" spans="1:4" x14ac:dyDescent="0.25">
      <c r="A466" s="167"/>
      <c r="B466" s="166"/>
      <c r="C466" s="166"/>
      <c r="D466" s="169"/>
    </row>
    <row r="467" spans="1:4" x14ac:dyDescent="0.25">
      <c r="A467" s="167"/>
      <c r="B467" s="166"/>
      <c r="C467" s="166"/>
      <c r="D467" s="169"/>
    </row>
    <row r="468" spans="1:4" x14ac:dyDescent="0.25">
      <c r="A468" s="167"/>
      <c r="B468" s="166"/>
      <c r="C468" s="166"/>
      <c r="D468" s="169"/>
    </row>
    <row r="469" spans="1:4" x14ac:dyDescent="0.25">
      <c r="A469" s="167"/>
      <c r="B469" s="166"/>
      <c r="C469" s="166"/>
      <c r="D469" s="169"/>
    </row>
    <row r="470" spans="1:4" x14ac:dyDescent="0.25">
      <c r="A470" s="167"/>
      <c r="B470" s="166"/>
      <c r="C470" s="166"/>
      <c r="D470" s="169"/>
    </row>
    <row r="471" spans="1:4" x14ac:dyDescent="0.25">
      <c r="A471" s="167"/>
      <c r="B471" s="166"/>
      <c r="C471" s="166"/>
      <c r="D471" s="169"/>
    </row>
    <row r="472" spans="1:4" x14ac:dyDescent="0.25">
      <c r="A472" s="167"/>
      <c r="B472" s="166"/>
      <c r="C472" s="166"/>
      <c r="D472" s="169"/>
    </row>
    <row r="473" spans="1:4" x14ac:dyDescent="0.25">
      <c r="A473" s="167"/>
      <c r="B473" s="166"/>
      <c r="C473" s="166"/>
      <c r="D473" s="169"/>
    </row>
    <row r="474" spans="1:4" x14ac:dyDescent="0.25">
      <c r="A474" s="167"/>
      <c r="B474" s="166"/>
      <c r="C474" s="166"/>
      <c r="D474" s="169"/>
    </row>
    <row r="475" spans="1:4" x14ac:dyDescent="0.25">
      <c r="A475" s="167"/>
      <c r="B475" s="166"/>
      <c r="C475" s="166"/>
      <c r="D475" s="169"/>
    </row>
    <row r="476" spans="1:4" x14ac:dyDescent="0.25">
      <c r="A476" s="167"/>
      <c r="B476" s="166"/>
      <c r="C476" s="166"/>
      <c r="D476" s="169"/>
    </row>
    <row r="477" spans="1:4" x14ac:dyDescent="0.25">
      <c r="A477" s="167"/>
      <c r="B477" s="166"/>
      <c r="C477" s="166"/>
      <c r="D477" s="169"/>
    </row>
    <row r="478" spans="1:4" x14ac:dyDescent="0.25">
      <c r="A478" s="167"/>
      <c r="B478" s="166"/>
      <c r="C478" s="166"/>
      <c r="D478" s="169"/>
    </row>
    <row r="479" spans="1:4" x14ac:dyDescent="0.25">
      <c r="A479" s="167"/>
      <c r="B479" s="166"/>
      <c r="C479" s="166"/>
      <c r="D479" s="169"/>
    </row>
    <row r="480" spans="1:4" x14ac:dyDescent="0.25">
      <c r="A480" s="167"/>
      <c r="B480" s="166"/>
      <c r="C480" s="166"/>
      <c r="D480" s="169"/>
    </row>
    <row r="481" spans="1:4" x14ac:dyDescent="0.25">
      <c r="A481" s="167"/>
      <c r="B481" s="166"/>
      <c r="C481" s="166"/>
      <c r="D481" s="169"/>
    </row>
    <row r="482" spans="1:4" x14ac:dyDescent="0.25">
      <c r="A482" s="167"/>
      <c r="B482" s="166"/>
      <c r="C482" s="166"/>
      <c r="D482" s="169"/>
    </row>
    <row r="483" spans="1:4" x14ac:dyDescent="0.25">
      <c r="A483" s="167"/>
      <c r="B483" s="166"/>
      <c r="C483" s="166"/>
      <c r="D483" s="169"/>
    </row>
    <row r="484" spans="1:4" x14ac:dyDescent="0.25">
      <c r="A484" s="167"/>
      <c r="B484" s="166"/>
      <c r="C484" s="166"/>
      <c r="D484" s="169"/>
    </row>
    <row r="485" spans="1:4" x14ac:dyDescent="0.25">
      <c r="A485" s="167"/>
      <c r="B485" s="166"/>
      <c r="C485" s="166"/>
      <c r="D485" s="169"/>
    </row>
    <row r="486" spans="1:4" x14ac:dyDescent="0.25">
      <c r="A486" s="167"/>
      <c r="B486" s="166"/>
      <c r="C486" s="166"/>
      <c r="D486" s="169"/>
    </row>
    <row r="487" spans="1:4" x14ac:dyDescent="0.25">
      <c r="A487" s="167"/>
      <c r="B487" s="166"/>
      <c r="C487" s="166"/>
      <c r="D487" s="169"/>
    </row>
    <row r="488" spans="1:4" x14ac:dyDescent="0.25">
      <c r="A488" s="167"/>
      <c r="B488" s="166"/>
      <c r="C488" s="166"/>
      <c r="D488" s="169"/>
    </row>
    <row r="489" spans="1:4" x14ac:dyDescent="0.25">
      <c r="A489" s="167"/>
      <c r="B489" s="166"/>
      <c r="C489" s="166"/>
      <c r="D489" s="169"/>
    </row>
    <row r="490" spans="1:4" x14ac:dyDescent="0.25">
      <c r="A490" s="167"/>
      <c r="B490" s="166"/>
      <c r="C490" s="166"/>
      <c r="D490" s="169"/>
    </row>
    <row r="491" spans="1:4" x14ac:dyDescent="0.25">
      <c r="A491" s="167"/>
      <c r="B491" s="166"/>
      <c r="C491" s="166"/>
      <c r="D491" s="169"/>
    </row>
    <row r="492" spans="1:4" x14ac:dyDescent="0.25">
      <c r="A492" s="167"/>
      <c r="B492" s="166"/>
      <c r="C492" s="166"/>
      <c r="D492" s="169"/>
    </row>
    <row r="493" spans="1:4" x14ac:dyDescent="0.25">
      <c r="A493" s="167"/>
      <c r="B493" s="166"/>
      <c r="C493" s="166"/>
      <c r="D493" s="169"/>
    </row>
    <row r="494" spans="1:4" x14ac:dyDescent="0.25">
      <c r="A494" s="167"/>
      <c r="B494" s="166"/>
      <c r="C494" s="166"/>
      <c r="D494" s="169"/>
    </row>
    <row r="495" spans="1:4" x14ac:dyDescent="0.25">
      <c r="A495" s="167"/>
      <c r="B495" s="166"/>
      <c r="C495" s="166"/>
      <c r="D495" s="169"/>
    </row>
    <row r="496" spans="1:4" x14ac:dyDescent="0.25">
      <c r="A496" s="167"/>
      <c r="B496" s="166"/>
      <c r="C496" s="166"/>
      <c r="D496" s="169"/>
    </row>
    <row r="497" spans="1:4" x14ac:dyDescent="0.25">
      <c r="A497" s="167"/>
      <c r="B497" s="166"/>
      <c r="C497" s="166"/>
      <c r="D497" s="169"/>
    </row>
    <row r="498" spans="1:4" x14ac:dyDescent="0.25">
      <c r="A498" s="167"/>
      <c r="B498" s="166"/>
      <c r="C498" s="166"/>
      <c r="D498" s="169"/>
    </row>
    <row r="499" spans="1:4" x14ac:dyDescent="0.25">
      <c r="A499" s="167"/>
      <c r="B499" s="166"/>
      <c r="C499" s="166"/>
      <c r="D499" s="169"/>
    </row>
    <row r="500" spans="1:4" x14ac:dyDescent="0.25">
      <c r="A500" s="167"/>
      <c r="B500" s="166"/>
      <c r="C500" s="166"/>
      <c r="D500" s="169"/>
    </row>
    <row r="501" spans="1:4" x14ac:dyDescent="0.25">
      <c r="A501" s="167"/>
      <c r="B501" s="166"/>
      <c r="C501" s="166"/>
      <c r="D501" s="169"/>
    </row>
    <row r="502" spans="1:4" x14ac:dyDescent="0.25">
      <c r="A502" s="167"/>
      <c r="B502" s="166"/>
      <c r="C502" s="166"/>
      <c r="D502" s="169"/>
    </row>
    <row r="503" spans="1:4" x14ac:dyDescent="0.25">
      <c r="A503" s="167"/>
      <c r="B503" s="166"/>
      <c r="C503" s="166"/>
      <c r="D503" s="169"/>
    </row>
    <row r="504" spans="1:4" x14ac:dyDescent="0.25">
      <c r="A504" s="167"/>
      <c r="B504" s="166"/>
      <c r="C504" s="166"/>
      <c r="D504" s="169"/>
    </row>
    <row r="505" spans="1:4" x14ac:dyDescent="0.25">
      <c r="A505" s="167"/>
      <c r="B505" s="166"/>
      <c r="C505" s="166"/>
      <c r="D505" s="169"/>
    </row>
    <row r="506" spans="1:4" x14ac:dyDescent="0.25">
      <c r="A506" s="167"/>
      <c r="B506" s="166"/>
      <c r="C506" s="166"/>
      <c r="D506" s="169"/>
    </row>
    <row r="507" spans="1:4" x14ac:dyDescent="0.25">
      <c r="A507" s="167"/>
      <c r="B507" s="166"/>
      <c r="C507" s="166"/>
      <c r="D507" s="169"/>
    </row>
    <row r="508" spans="1:4" x14ac:dyDescent="0.25">
      <c r="A508" s="167"/>
      <c r="B508" s="166"/>
      <c r="C508" s="166"/>
      <c r="D508" s="169"/>
    </row>
    <row r="509" spans="1:4" x14ac:dyDescent="0.25">
      <c r="A509" s="167"/>
      <c r="B509" s="166"/>
      <c r="C509" s="166"/>
      <c r="D509" s="169"/>
    </row>
    <row r="510" spans="1:4" x14ac:dyDescent="0.25">
      <c r="A510" s="167"/>
      <c r="B510" s="166"/>
      <c r="C510" s="166"/>
      <c r="D510" s="169"/>
    </row>
    <row r="511" spans="1:4" x14ac:dyDescent="0.25">
      <c r="A511" s="167"/>
      <c r="B511" s="166"/>
      <c r="C511" s="166"/>
      <c r="D511" s="169"/>
    </row>
    <row r="512" spans="1:4" x14ac:dyDescent="0.25">
      <c r="A512" s="167"/>
      <c r="B512" s="166"/>
      <c r="C512" s="166"/>
      <c r="D512" s="169"/>
    </row>
    <row r="513" spans="1:4" x14ac:dyDescent="0.25">
      <c r="A513" s="167"/>
      <c r="B513" s="166"/>
      <c r="C513" s="166"/>
      <c r="D513" s="169"/>
    </row>
    <row r="514" spans="1:4" x14ac:dyDescent="0.25">
      <c r="A514" s="167"/>
      <c r="B514" s="166"/>
      <c r="C514" s="166"/>
      <c r="D514" s="169"/>
    </row>
    <row r="515" spans="1:4" x14ac:dyDescent="0.25">
      <c r="A515" s="167"/>
      <c r="B515" s="166"/>
      <c r="C515" s="166"/>
      <c r="D515" s="169"/>
    </row>
    <row r="516" spans="1:4" x14ac:dyDescent="0.25">
      <c r="A516" s="167"/>
      <c r="B516" s="166"/>
      <c r="C516" s="166"/>
      <c r="D516" s="169"/>
    </row>
    <row r="517" spans="1:4" x14ac:dyDescent="0.25">
      <c r="A517" s="167"/>
      <c r="B517" s="166"/>
      <c r="C517" s="166"/>
      <c r="D517" s="169"/>
    </row>
    <row r="518" spans="1:4" x14ac:dyDescent="0.25">
      <c r="A518" s="167"/>
      <c r="B518" s="166"/>
      <c r="C518" s="166"/>
      <c r="D518" s="169"/>
    </row>
    <row r="519" spans="1:4" x14ac:dyDescent="0.25">
      <c r="A519" s="167"/>
      <c r="B519" s="166"/>
      <c r="C519" s="166"/>
      <c r="D519" s="169"/>
    </row>
    <row r="520" spans="1:4" x14ac:dyDescent="0.25">
      <c r="A520" s="167"/>
      <c r="B520" s="166"/>
      <c r="C520" s="166"/>
      <c r="D520" s="169"/>
    </row>
    <row r="521" spans="1:4" x14ac:dyDescent="0.25">
      <c r="A521" s="167"/>
      <c r="B521" s="166"/>
      <c r="C521" s="166"/>
      <c r="D521" s="169"/>
    </row>
    <row r="522" spans="1:4" x14ac:dyDescent="0.25">
      <c r="A522" s="167"/>
      <c r="B522" s="166"/>
      <c r="C522" s="166"/>
      <c r="D522" s="169"/>
    </row>
    <row r="523" spans="1:4" x14ac:dyDescent="0.25">
      <c r="A523" s="167"/>
      <c r="B523" s="166"/>
      <c r="C523" s="166"/>
      <c r="D523" s="169"/>
    </row>
    <row r="524" spans="1:4" x14ac:dyDescent="0.25">
      <c r="A524" s="167"/>
      <c r="B524" s="166"/>
      <c r="C524" s="166"/>
      <c r="D524" s="169"/>
    </row>
    <row r="525" spans="1:4" x14ac:dyDescent="0.25">
      <c r="A525" s="167"/>
      <c r="B525" s="166"/>
      <c r="C525" s="166"/>
      <c r="D525" s="169"/>
    </row>
    <row r="526" spans="1:4" x14ac:dyDescent="0.25">
      <c r="A526" s="167"/>
      <c r="B526" s="166"/>
      <c r="C526" s="166"/>
      <c r="D526" s="169"/>
    </row>
    <row r="527" spans="1:4" x14ac:dyDescent="0.25">
      <c r="A527" s="167"/>
      <c r="B527" s="166"/>
      <c r="C527" s="166"/>
      <c r="D527" s="169"/>
    </row>
    <row r="528" spans="1:4" x14ac:dyDescent="0.25">
      <c r="A528" s="167"/>
      <c r="B528" s="166"/>
      <c r="C528" s="166"/>
      <c r="D528" s="169"/>
    </row>
    <row r="529" spans="1:4" x14ac:dyDescent="0.25">
      <c r="A529" s="167"/>
      <c r="B529" s="166"/>
      <c r="C529" s="166"/>
      <c r="D529" s="169"/>
    </row>
    <row r="530" spans="1:4" x14ac:dyDescent="0.25">
      <c r="A530" s="167"/>
      <c r="B530" s="166"/>
      <c r="C530" s="166"/>
      <c r="D530" s="169"/>
    </row>
    <row r="531" spans="1:4" x14ac:dyDescent="0.25">
      <c r="A531" s="167"/>
      <c r="B531" s="166"/>
      <c r="C531" s="166"/>
      <c r="D531" s="169"/>
    </row>
    <row r="532" spans="1:4" x14ac:dyDescent="0.25">
      <c r="A532" s="167"/>
      <c r="B532" s="166"/>
      <c r="C532" s="166"/>
      <c r="D532" s="169"/>
    </row>
    <row r="533" spans="1:4" x14ac:dyDescent="0.25">
      <c r="A533" s="167"/>
      <c r="B533" s="166"/>
      <c r="C533" s="166"/>
      <c r="D533" s="169"/>
    </row>
    <row r="534" spans="1:4" x14ac:dyDescent="0.25">
      <c r="A534" s="167"/>
      <c r="B534" s="166"/>
      <c r="C534" s="166"/>
      <c r="D534" s="169"/>
    </row>
    <row r="535" spans="1:4" x14ac:dyDescent="0.25">
      <c r="A535" s="167"/>
      <c r="B535" s="166"/>
      <c r="C535" s="166"/>
      <c r="D535" s="169"/>
    </row>
    <row r="536" spans="1:4" x14ac:dyDescent="0.25">
      <c r="A536" s="167"/>
      <c r="B536" s="166"/>
      <c r="C536" s="166"/>
      <c r="D536" s="169"/>
    </row>
    <row r="537" spans="1:4" x14ac:dyDescent="0.25">
      <c r="A537" s="167"/>
      <c r="B537" s="166"/>
      <c r="C537" s="166"/>
      <c r="D537" s="169"/>
    </row>
    <row r="538" spans="1:4" x14ac:dyDescent="0.25">
      <c r="A538" s="167"/>
      <c r="B538" s="166"/>
      <c r="C538" s="166"/>
      <c r="D538" s="169"/>
    </row>
    <row r="539" spans="1:4" x14ac:dyDescent="0.25">
      <c r="A539" s="167"/>
      <c r="B539" s="166"/>
      <c r="C539" s="166"/>
      <c r="D539" s="169"/>
    </row>
    <row r="540" spans="1:4" x14ac:dyDescent="0.25">
      <c r="A540" s="167"/>
      <c r="B540" s="166"/>
      <c r="C540" s="166"/>
      <c r="D540" s="169"/>
    </row>
    <row r="541" spans="1:4" x14ac:dyDescent="0.25">
      <c r="A541" s="167"/>
      <c r="B541" s="166"/>
      <c r="C541" s="166"/>
      <c r="D541" s="169"/>
    </row>
    <row r="542" spans="1:4" x14ac:dyDescent="0.25">
      <c r="A542" s="167"/>
      <c r="B542" s="166"/>
      <c r="C542" s="166"/>
      <c r="D542" s="169"/>
    </row>
    <row r="543" spans="1:4" x14ac:dyDescent="0.25">
      <c r="A543" s="167"/>
      <c r="B543" s="166"/>
      <c r="C543" s="166"/>
      <c r="D543" s="169"/>
    </row>
    <row r="544" spans="1:4" x14ac:dyDescent="0.25">
      <c r="A544" s="167"/>
      <c r="B544" s="166"/>
      <c r="C544" s="166"/>
      <c r="D544" s="169"/>
    </row>
    <row r="545" spans="1:4" x14ac:dyDescent="0.25">
      <c r="A545" s="167"/>
      <c r="B545" s="166"/>
      <c r="C545" s="166"/>
      <c r="D545" s="169"/>
    </row>
    <row r="546" spans="1:4" x14ac:dyDescent="0.25">
      <c r="A546" s="167"/>
      <c r="B546" s="166"/>
      <c r="C546" s="166"/>
      <c r="D546" s="169"/>
    </row>
    <row r="547" spans="1:4" x14ac:dyDescent="0.25">
      <c r="A547" s="167"/>
      <c r="B547" s="166"/>
      <c r="C547" s="166"/>
      <c r="D547" s="169"/>
    </row>
    <row r="548" spans="1:4" x14ac:dyDescent="0.25">
      <c r="A548" s="167"/>
      <c r="B548" s="166"/>
      <c r="C548" s="166"/>
      <c r="D548" s="169"/>
    </row>
    <row r="549" spans="1:4" x14ac:dyDescent="0.25">
      <c r="A549" s="167"/>
      <c r="B549" s="166"/>
      <c r="C549" s="166"/>
      <c r="D549" s="169"/>
    </row>
    <row r="550" spans="1:4" x14ac:dyDescent="0.25">
      <c r="A550" s="167"/>
      <c r="B550" s="166"/>
      <c r="C550" s="166"/>
      <c r="D550" s="169"/>
    </row>
    <row r="551" spans="1:4" x14ac:dyDescent="0.25">
      <c r="A551" s="167"/>
      <c r="B551" s="166"/>
      <c r="C551" s="166"/>
      <c r="D551" s="169"/>
    </row>
    <row r="552" spans="1:4" x14ac:dyDescent="0.25">
      <c r="A552" s="167"/>
      <c r="B552" s="166"/>
      <c r="C552" s="166"/>
      <c r="D552" s="169"/>
    </row>
    <row r="553" spans="1:4" x14ac:dyDescent="0.25">
      <c r="A553" s="167"/>
      <c r="B553" s="166"/>
      <c r="C553" s="166"/>
      <c r="D553" s="169"/>
    </row>
    <row r="554" spans="1:4" x14ac:dyDescent="0.25">
      <c r="A554" s="167"/>
      <c r="B554" s="166"/>
      <c r="C554" s="166"/>
      <c r="D554" s="169"/>
    </row>
    <row r="555" spans="1:4" x14ac:dyDescent="0.25">
      <c r="A555" s="167"/>
      <c r="B555" s="166"/>
      <c r="C555" s="166"/>
      <c r="D555" s="169"/>
    </row>
    <row r="556" spans="1:4" x14ac:dyDescent="0.25">
      <c r="A556" s="167"/>
      <c r="B556" s="166"/>
      <c r="C556" s="166"/>
      <c r="D556" s="169"/>
    </row>
    <row r="557" spans="1:4" x14ac:dyDescent="0.25">
      <c r="A557" s="167"/>
      <c r="B557" s="166"/>
      <c r="C557" s="166"/>
      <c r="D557" s="169"/>
    </row>
    <row r="558" spans="1:4" x14ac:dyDescent="0.25">
      <c r="A558" s="167"/>
      <c r="B558" s="166"/>
      <c r="C558" s="166"/>
      <c r="D558" s="169"/>
    </row>
    <row r="559" spans="1:4" x14ac:dyDescent="0.25">
      <c r="A559" s="167"/>
      <c r="B559" s="166"/>
      <c r="C559" s="166"/>
      <c r="D559" s="169"/>
    </row>
    <row r="560" spans="1:4" x14ac:dyDescent="0.25">
      <c r="A560" s="167"/>
      <c r="B560" s="166"/>
      <c r="C560" s="166"/>
      <c r="D560" s="169"/>
    </row>
    <row r="561" spans="1:4" x14ac:dyDescent="0.25">
      <c r="A561" s="167"/>
      <c r="B561" s="166"/>
      <c r="C561" s="166"/>
      <c r="D561" s="169"/>
    </row>
    <row r="562" spans="1:4" x14ac:dyDescent="0.25">
      <c r="A562" s="167"/>
      <c r="B562" s="166"/>
      <c r="C562" s="166"/>
      <c r="D562" s="169"/>
    </row>
    <row r="563" spans="1:4" x14ac:dyDescent="0.25">
      <c r="A563" s="167"/>
      <c r="B563" s="166"/>
      <c r="C563" s="166"/>
      <c r="D563" s="169"/>
    </row>
    <row r="564" spans="1:4" x14ac:dyDescent="0.25">
      <c r="A564" s="167"/>
      <c r="B564" s="166"/>
      <c r="C564" s="166"/>
      <c r="D564" s="169"/>
    </row>
    <row r="565" spans="1:4" x14ac:dyDescent="0.25">
      <c r="A565" s="167"/>
      <c r="B565" s="166"/>
      <c r="C565" s="166"/>
      <c r="D565" s="169"/>
    </row>
    <row r="566" spans="1:4" x14ac:dyDescent="0.25">
      <c r="A566" s="167"/>
      <c r="B566" s="166"/>
      <c r="C566" s="166"/>
      <c r="D566" s="169"/>
    </row>
    <row r="567" spans="1:4" x14ac:dyDescent="0.25">
      <c r="A567" s="167"/>
      <c r="B567" s="166"/>
      <c r="C567" s="166"/>
      <c r="D567" s="169"/>
    </row>
    <row r="568" spans="1:4" x14ac:dyDescent="0.25">
      <c r="A568" s="167"/>
      <c r="B568" s="166"/>
      <c r="C568" s="166"/>
      <c r="D568" s="169"/>
    </row>
    <row r="569" spans="1:4" x14ac:dyDescent="0.25">
      <c r="A569" s="167"/>
      <c r="B569" s="166"/>
      <c r="C569" s="166"/>
      <c r="D569" s="169"/>
    </row>
    <row r="570" spans="1:4" x14ac:dyDescent="0.25">
      <c r="A570" s="167"/>
      <c r="B570" s="166"/>
      <c r="C570" s="166"/>
      <c r="D570" s="169"/>
    </row>
    <row r="571" spans="1:4" x14ac:dyDescent="0.25">
      <c r="A571" s="167"/>
      <c r="B571" s="166"/>
      <c r="C571" s="166"/>
      <c r="D571" s="169"/>
    </row>
    <row r="572" spans="1:4" x14ac:dyDescent="0.25">
      <c r="A572" s="167"/>
      <c r="B572" s="166"/>
      <c r="C572" s="166"/>
      <c r="D572" s="169"/>
    </row>
    <row r="573" spans="1:4" x14ac:dyDescent="0.25">
      <c r="A573" s="167"/>
      <c r="B573" s="166"/>
      <c r="C573" s="166"/>
      <c r="D573" s="169"/>
    </row>
    <row r="574" spans="1:4" x14ac:dyDescent="0.25">
      <c r="A574" s="167"/>
      <c r="B574" s="166"/>
      <c r="C574" s="166"/>
      <c r="D574" s="169"/>
    </row>
    <row r="575" spans="1:4" x14ac:dyDescent="0.25">
      <c r="A575" s="167"/>
      <c r="B575" s="166"/>
      <c r="C575" s="166"/>
      <c r="D575" s="169"/>
    </row>
    <row r="576" spans="1:4" x14ac:dyDescent="0.25">
      <c r="A576" s="167"/>
      <c r="B576" s="166"/>
      <c r="C576" s="166"/>
      <c r="D576" s="169"/>
    </row>
    <row r="577" spans="1:4" x14ac:dyDescent="0.25">
      <c r="A577" s="167"/>
      <c r="B577" s="166"/>
      <c r="C577" s="166"/>
      <c r="D577" s="169"/>
    </row>
    <row r="578" spans="1:4" x14ac:dyDescent="0.25">
      <c r="A578" s="167"/>
      <c r="B578" s="166"/>
      <c r="C578" s="166"/>
      <c r="D578" s="169"/>
    </row>
    <row r="579" spans="1:4" x14ac:dyDescent="0.25">
      <c r="A579" s="167"/>
      <c r="B579" s="166"/>
      <c r="C579" s="166"/>
      <c r="D579" s="169"/>
    </row>
    <row r="580" spans="1:4" x14ac:dyDescent="0.25">
      <c r="A580" s="167"/>
      <c r="B580" s="166"/>
      <c r="C580" s="166"/>
      <c r="D580" s="169"/>
    </row>
    <row r="581" spans="1:4" x14ac:dyDescent="0.25">
      <c r="A581" s="167"/>
      <c r="B581" s="166"/>
      <c r="C581" s="166"/>
      <c r="D581" s="169"/>
    </row>
    <row r="582" spans="1:4" x14ac:dyDescent="0.25">
      <c r="A582" s="167"/>
      <c r="B582" s="166"/>
      <c r="C582" s="166"/>
      <c r="D582" s="169"/>
    </row>
    <row r="583" spans="1:4" x14ac:dyDescent="0.25">
      <c r="A583" s="167"/>
      <c r="B583" s="166"/>
      <c r="C583" s="166"/>
      <c r="D583" s="169"/>
    </row>
    <row r="584" spans="1:4" x14ac:dyDescent="0.25">
      <c r="A584" s="167"/>
      <c r="B584" s="166"/>
      <c r="C584" s="166"/>
      <c r="D584" s="169"/>
    </row>
    <row r="585" spans="1:4" x14ac:dyDescent="0.25">
      <c r="A585" s="167"/>
      <c r="B585" s="166"/>
      <c r="C585" s="166"/>
      <c r="D585" s="169"/>
    </row>
    <row r="586" spans="1:4" x14ac:dyDescent="0.25">
      <c r="A586" s="167"/>
      <c r="B586" s="166"/>
      <c r="C586" s="166"/>
      <c r="D586" s="169"/>
    </row>
    <row r="587" spans="1:4" x14ac:dyDescent="0.25">
      <c r="A587" s="167"/>
      <c r="B587" s="166"/>
      <c r="C587" s="166"/>
      <c r="D587" s="169"/>
    </row>
    <row r="588" spans="1:4" x14ac:dyDescent="0.25">
      <c r="A588" s="167"/>
      <c r="B588" s="166"/>
      <c r="C588" s="166"/>
      <c r="D588" s="169"/>
    </row>
    <row r="589" spans="1:4" x14ac:dyDescent="0.25">
      <c r="A589" s="167"/>
      <c r="B589" s="166"/>
      <c r="C589" s="166"/>
      <c r="D589" s="169"/>
    </row>
    <row r="590" spans="1:4" x14ac:dyDescent="0.25">
      <c r="A590" s="167"/>
      <c r="B590" s="166"/>
      <c r="C590" s="166"/>
      <c r="D590" s="169"/>
    </row>
    <row r="591" spans="1:4" x14ac:dyDescent="0.25">
      <c r="A591" s="167"/>
      <c r="B591" s="166"/>
      <c r="C591" s="166"/>
      <c r="D591" s="169"/>
    </row>
    <row r="592" spans="1:4" x14ac:dyDescent="0.25">
      <c r="A592" s="167"/>
      <c r="B592" s="166"/>
      <c r="C592" s="166"/>
      <c r="D592" s="169"/>
    </row>
    <row r="593" spans="1:4" x14ac:dyDescent="0.25">
      <c r="A593" s="167"/>
      <c r="B593" s="166"/>
      <c r="C593" s="166"/>
      <c r="D593" s="169"/>
    </row>
    <row r="594" spans="1:4" x14ac:dyDescent="0.25">
      <c r="A594" s="167"/>
      <c r="B594" s="166"/>
      <c r="C594" s="166"/>
      <c r="D594" s="169"/>
    </row>
    <row r="595" spans="1:4" x14ac:dyDescent="0.25">
      <c r="A595" s="167"/>
      <c r="B595" s="166"/>
      <c r="C595" s="166"/>
      <c r="D595" s="169"/>
    </row>
    <row r="596" spans="1:4" x14ac:dyDescent="0.25">
      <c r="A596" s="167"/>
      <c r="B596" s="166"/>
      <c r="C596" s="166"/>
      <c r="D596" s="169"/>
    </row>
    <row r="597" spans="1:4" x14ac:dyDescent="0.25">
      <c r="A597" s="167"/>
      <c r="B597" s="166"/>
      <c r="C597" s="166"/>
      <c r="D597" s="169"/>
    </row>
    <row r="598" spans="1:4" x14ac:dyDescent="0.25">
      <c r="A598" s="167"/>
      <c r="B598" s="166"/>
      <c r="C598" s="166"/>
      <c r="D598" s="169"/>
    </row>
    <row r="599" spans="1:4" x14ac:dyDescent="0.25">
      <c r="A599" s="167"/>
      <c r="B599" s="166"/>
      <c r="C599" s="166"/>
      <c r="D599" s="169"/>
    </row>
    <row r="600" spans="1:4" x14ac:dyDescent="0.25">
      <c r="A600" s="167"/>
      <c r="B600" s="166"/>
      <c r="C600" s="166"/>
      <c r="D600" s="169"/>
    </row>
    <row r="601" spans="1:4" x14ac:dyDescent="0.25">
      <c r="A601" s="167"/>
      <c r="B601" s="166"/>
      <c r="C601" s="166"/>
      <c r="D601" s="169"/>
    </row>
    <row r="602" spans="1:4" x14ac:dyDescent="0.25">
      <c r="A602" s="167"/>
      <c r="B602" s="166"/>
      <c r="C602" s="166"/>
      <c r="D602" s="169"/>
    </row>
    <row r="603" spans="1:4" x14ac:dyDescent="0.25">
      <c r="A603" s="167"/>
      <c r="B603" s="166"/>
      <c r="C603" s="166"/>
      <c r="D603" s="169"/>
    </row>
    <row r="604" spans="1:4" x14ac:dyDescent="0.25">
      <c r="A604" s="167"/>
      <c r="B604" s="166"/>
      <c r="C604" s="166"/>
      <c r="D604" s="169"/>
    </row>
    <row r="605" spans="1:4" x14ac:dyDescent="0.25">
      <c r="A605" s="167"/>
      <c r="B605" s="166"/>
      <c r="C605" s="166"/>
      <c r="D605" s="169"/>
    </row>
    <row r="606" spans="1:4" x14ac:dyDescent="0.25">
      <c r="A606" s="167"/>
      <c r="B606" s="166"/>
      <c r="C606" s="166"/>
      <c r="D606" s="169"/>
    </row>
    <row r="607" spans="1:4" x14ac:dyDescent="0.25">
      <c r="A607" s="167"/>
      <c r="B607" s="166"/>
      <c r="C607" s="166"/>
      <c r="D607" s="169"/>
    </row>
    <row r="608" spans="1:4" x14ac:dyDescent="0.25">
      <c r="A608" s="167"/>
      <c r="B608" s="166"/>
      <c r="C608" s="166"/>
      <c r="D608" s="169"/>
    </row>
    <row r="609" spans="1:4" x14ac:dyDescent="0.25">
      <c r="A609" s="167"/>
      <c r="B609" s="166"/>
      <c r="C609" s="166"/>
      <c r="D609" s="169"/>
    </row>
    <row r="610" spans="1:4" x14ac:dyDescent="0.25">
      <c r="A610" s="167"/>
      <c r="B610" s="166"/>
      <c r="C610" s="166"/>
      <c r="D610" s="169"/>
    </row>
    <row r="611" spans="1:4" x14ac:dyDescent="0.25">
      <c r="A611" s="167"/>
      <c r="B611" s="166"/>
      <c r="C611" s="166"/>
      <c r="D611" s="169"/>
    </row>
    <row r="612" spans="1:4" x14ac:dyDescent="0.25">
      <c r="A612" s="167"/>
      <c r="B612" s="166"/>
      <c r="C612" s="166"/>
      <c r="D612" s="169"/>
    </row>
    <row r="613" spans="1:4" x14ac:dyDescent="0.25">
      <c r="A613" s="167"/>
      <c r="B613" s="166"/>
      <c r="C613" s="166"/>
      <c r="D613" s="169"/>
    </row>
    <row r="614" spans="1:4" x14ac:dyDescent="0.25">
      <c r="A614" s="167"/>
      <c r="B614" s="166"/>
      <c r="C614" s="166"/>
      <c r="D614" s="169"/>
    </row>
    <row r="615" spans="1:4" x14ac:dyDescent="0.25">
      <c r="A615" s="167"/>
      <c r="B615" s="166"/>
      <c r="C615" s="166"/>
      <c r="D615" s="169"/>
    </row>
    <row r="616" spans="1:4" x14ac:dyDescent="0.25">
      <c r="A616" s="167"/>
      <c r="B616" s="166"/>
      <c r="C616" s="166"/>
      <c r="D616" s="169"/>
    </row>
    <row r="617" spans="1:4" x14ac:dyDescent="0.25">
      <c r="A617" s="167"/>
      <c r="B617" s="166"/>
      <c r="C617" s="166"/>
      <c r="D617" s="169"/>
    </row>
    <row r="618" spans="1:4" x14ac:dyDescent="0.25">
      <c r="A618" s="167"/>
      <c r="B618" s="166"/>
      <c r="C618" s="166"/>
      <c r="D618" s="169"/>
    </row>
    <row r="619" spans="1:4" x14ac:dyDescent="0.25">
      <c r="A619" s="167"/>
      <c r="B619" s="166"/>
      <c r="C619" s="166"/>
      <c r="D619" s="169"/>
    </row>
    <row r="620" spans="1:4" x14ac:dyDescent="0.25">
      <c r="A620" s="167"/>
      <c r="B620" s="166"/>
      <c r="C620" s="166"/>
      <c r="D620" s="169"/>
    </row>
    <row r="621" spans="1:4" x14ac:dyDescent="0.25">
      <c r="A621" s="167"/>
      <c r="B621" s="166"/>
      <c r="C621" s="166"/>
      <c r="D621" s="169"/>
    </row>
    <row r="622" spans="1:4" x14ac:dyDescent="0.25">
      <c r="A622" s="167"/>
      <c r="B622" s="166"/>
      <c r="C622" s="166"/>
      <c r="D622" s="169"/>
    </row>
    <row r="623" spans="1:4" x14ac:dyDescent="0.25">
      <c r="A623" s="167"/>
      <c r="B623" s="166"/>
      <c r="C623" s="166"/>
      <c r="D623" s="169"/>
    </row>
    <row r="624" spans="1:4" x14ac:dyDescent="0.25">
      <c r="A624" s="167"/>
      <c r="B624" s="166"/>
      <c r="C624" s="166"/>
      <c r="D624" s="169"/>
    </row>
    <row r="625" spans="1:4" x14ac:dyDescent="0.25">
      <c r="A625" s="167"/>
      <c r="B625" s="166"/>
      <c r="C625" s="166"/>
      <c r="D625" s="169"/>
    </row>
    <row r="626" spans="1:4" x14ac:dyDescent="0.25">
      <c r="A626" s="167"/>
      <c r="B626" s="166"/>
      <c r="C626" s="166"/>
      <c r="D626" s="169"/>
    </row>
    <row r="627" spans="1:4" x14ac:dyDescent="0.25">
      <c r="A627" s="167"/>
      <c r="B627" s="166"/>
      <c r="C627" s="166"/>
      <c r="D627" s="169"/>
    </row>
    <row r="628" spans="1:4" x14ac:dyDescent="0.25">
      <c r="A628" s="167"/>
      <c r="B628" s="166"/>
      <c r="C628" s="166"/>
      <c r="D628" s="169"/>
    </row>
    <row r="629" spans="1:4" x14ac:dyDescent="0.25">
      <c r="A629" s="167"/>
      <c r="B629" s="166"/>
      <c r="C629" s="166"/>
      <c r="D629" s="169"/>
    </row>
    <row r="630" spans="1:4" x14ac:dyDescent="0.25">
      <c r="A630" s="167"/>
      <c r="B630" s="166"/>
      <c r="C630" s="166"/>
      <c r="D630" s="169"/>
    </row>
    <row r="631" spans="1:4" x14ac:dyDescent="0.25">
      <c r="A631" s="167"/>
      <c r="B631" s="166"/>
      <c r="C631" s="166"/>
      <c r="D631" s="169"/>
    </row>
    <row r="632" spans="1:4" x14ac:dyDescent="0.25">
      <c r="A632" s="167"/>
      <c r="B632" s="166"/>
      <c r="C632" s="166"/>
      <c r="D632" s="169"/>
    </row>
    <row r="633" spans="1:4" x14ac:dyDescent="0.25">
      <c r="A633" s="167"/>
      <c r="B633" s="166"/>
      <c r="C633" s="166"/>
      <c r="D633" s="169"/>
    </row>
    <row r="634" spans="1:4" x14ac:dyDescent="0.25">
      <c r="A634" s="167"/>
      <c r="B634" s="166"/>
      <c r="C634" s="166"/>
      <c r="D634" s="169"/>
    </row>
    <row r="635" spans="1:4" x14ac:dyDescent="0.25">
      <c r="A635" s="167"/>
      <c r="B635" s="166"/>
      <c r="C635" s="166"/>
      <c r="D635" s="169"/>
    </row>
    <row r="636" spans="1:4" x14ac:dyDescent="0.25">
      <c r="A636" s="167"/>
      <c r="B636" s="166"/>
      <c r="C636" s="166"/>
      <c r="D636" s="169"/>
    </row>
    <row r="637" spans="1:4" x14ac:dyDescent="0.25">
      <c r="A637" s="167"/>
      <c r="B637" s="166"/>
      <c r="C637" s="166"/>
      <c r="D637" s="169"/>
    </row>
    <row r="638" spans="1:4" x14ac:dyDescent="0.25">
      <c r="A638" s="167"/>
      <c r="B638" s="166"/>
      <c r="C638" s="166"/>
      <c r="D638" s="169"/>
    </row>
    <row r="639" spans="1:4" x14ac:dyDescent="0.25">
      <c r="A639" s="167"/>
      <c r="B639" s="166"/>
      <c r="C639" s="166"/>
      <c r="D639" s="169"/>
    </row>
    <row r="640" spans="1:4" x14ac:dyDescent="0.25">
      <c r="A640" s="167"/>
      <c r="B640" s="166"/>
      <c r="C640" s="166"/>
      <c r="D640" s="166"/>
    </row>
    <row r="641" spans="1:4" x14ac:dyDescent="0.25">
      <c r="A641" s="167"/>
      <c r="B641" s="166"/>
      <c r="C641" s="166"/>
      <c r="D641" s="166"/>
    </row>
    <row r="642" spans="1:4" x14ac:dyDescent="0.25">
      <c r="A642" s="167"/>
      <c r="B642" s="166"/>
      <c r="C642" s="166"/>
      <c r="D642" s="166"/>
    </row>
    <row r="643" spans="1:4" x14ac:dyDescent="0.25">
      <c r="A643" s="167"/>
      <c r="B643" s="166"/>
      <c r="C643" s="166"/>
      <c r="D643" s="166"/>
    </row>
    <row r="644" spans="1:4" x14ac:dyDescent="0.25">
      <c r="A644" s="167"/>
      <c r="B644" s="166"/>
      <c r="C644" s="166"/>
      <c r="D644" s="166"/>
    </row>
    <row r="645" spans="1:4" x14ac:dyDescent="0.25">
      <c r="A645" s="167"/>
      <c r="B645" s="166"/>
      <c r="C645" s="166"/>
      <c r="D645" s="166"/>
    </row>
    <row r="646" spans="1:4" x14ac:dyDescent="0.25">
      <c r="A646" s="167"/>
      <c r="B646" s="166"/>
      <c r="C646" s="166"/>
      <c r="D646" s="166"/>
    </row>
    <row r="647" spans="1:4" x14ac:dyDescent="0.25">
      <c r="A647" s="167"/>
      <c r="B647" s="166"/>
      <c r="C647" s="166"/>
      <c r="D647" s="166"/>
    </row>
    <row r="648" spans="1:4" x14ac:dyDescent="0.25">
      <c r="A648" s="167"/>
      <c r="B648" s="166"/>
      <c r="C648" s="166"/>
      <c r="D648" s="166"/>
    </row>
    <row r="649" spans="1:4" x14ac:dyDescent="0.25">
      <c r="A649" s="167"/>
      <c r="B649" s="166"/>
      <c r="C649" s="166"/>
      <c r="D649" s="166"/>
    </row>
    <row r="650" spans="1:4" x14ac:dyDescent="0.25">
      <c r="A650" s="167"/>
      <c r="B650" s="166"/>
      <c r="C650" s="166"/>
      <c r="D650" s="166"/>
    </row>
    <row r="651" spans="1:4" x14ac:dyDescent="0.25">
      <c r="A651" s="167"/>
      <c r="B651" s="166"/>
      <c r="C651" s="166"/>
      <c r="D651" s="166"/>
    </row>
    <row r="652" spans="1:4" x14ac:dyDescent="0.25">
      <c r="A652" s="167"/>
      <c r="B652" s="166"/>
      <c r="C652" s="166"/>
      <c r="D652" s="166"/>
    </row>
    <row r="653" spans="1:4" x14ac:dyDescent="0.25">
      <c r="A653" s="167"/>
      <c r="B653" s="166"/>
      <c r="C653" s="166"/>
      <c r="D653" s="166"/>
    </row>
    <row r="654" spans="1:4" x14ac:dyDescent="0.25">
      <c r="A654" s="167"/>
      <c r="B654" s="166"/>
      <c r="C654" s="166"/>
      <c r="D654" s="166"/>
    </row>
    <row r="655" spans="1:4" x14ac:dyDescent="0.25">
      <c r="A655" s="167"/>
      <c r="B655" s="166"/>
      <c r="C655" s="166"/>
      <c r="D655" s="166"/>
    </row>
    <row r="656" spans="1:4" x14ac:dyDescent="0.25">
      <c r="A656" s="167"/>
      <c r="B656" s="166"/>
      <c r="C656" s="166"/>
      <c r="D656" s="166"/>
    </row>
    <row r="657" spans="1:4" x14ac:dyDescent="0.25">
      <c r="A657" s="167"/>
      <c r="B657" s="166"/>
      <c r="C657" s="166"/>
      <c r="D657" s="166"/>
    </row>
    <row r="658" spans="1:4" x14ac:dyDescent="0.25">
      <c r="A658" s="167"/>
      <c r="B658" s="166"/>
      <c r="C658" s="166"/>
      <c r="D658" s="166"/>
    </row>
    <row r="659" spans="1:4" x14ac:dyDescent="0.25">
      <c r="A659" s="167"/>
      <c r="B659" s="166"/>
      <c r="C659" s="166"/>
      <c r="D659" s="166"/>
    </row>
    <row r="660" spans="1:4" x14ac:dyDescent="0.25">
      <c r="A660" s="167"/>
      <c r="B660" s="166"/>
      <c r="C660" s="166"/>
      <c r="D660" s="166"/>
    </row>
    <row r="661" spans="1:4" x14ac:dyDescent="0.25">
      <c r="A661" s="167"/>
      <c r="B661" s="166"/>
      <c r="C661" s="166"/>
      <c r="D661" s="166"/>
    </row>
    <row r="662" spans="1:4" x14ac:dyDescent="0.25">
      <c r="A662" s="167"/>
      <c r="B662" s="166"/>
      <c r="C662" s="166"/>
      <c r="D662" s="166"/>
    </row>
    <row r="663" spans="1:4" x14ac:dyDescent="0.25">
      <c r="A663" s="167"/>
      <c r="B663" s="166"/>
      <c r="C663" s="166"/>
      <c r="D663" s="166"/>
    </row>
    <row r="664" spans="1:4" x14ac:dyDescent="0.25">
      <c r="A664" s="167"/>
      <c r="B664" s="166"/>
      <c r="C664" s="166"/>
      <c r="D664" s="166"/>
    </row>
    <row r="665" spans="1:4" x14ac:dyDescent="0.25">
      <c r="A665" s="167"/>
      <c r="B665" s="166"/>
      <c r="C665" s="166"/>
      <c r="D665" s="166"/>
    </row>
    <row r="666" spans="1:4" x14ac:dyDescent="0.25">
      <c r="A666" s="167"/>
      <c r="B666" s="166"/>
      <c r="C666" s="166"/>
      <c r="D666" s="166"/>
    </row>
    <row r="667" spans="1:4" x14ac:dyDescent="0.25">
      <c r="A667" s="167"/>
      <c r="B667" s="166"/>
      <c r="C667" s="166"/>
      <c r="D667" s="166"/>
    </row>
    <row r="668" spans="1:4" x14ac:dyDescent="0.25">
      <c r="A668" s="167"/>
      <c r="B668" s="166"/>
      <c r="C668" s="166"/>
      <c r="D668" s="166"/>
    </row>
    <row r="669" spans="1:4" x14ac:dyDescent="0.25">
      <c r="A669" s="167"/>
      <c r="B669" s="166"/>
      <c r="C669" s="166"/>
      <c r="D669" s="166"/>
    </row>
    <row r="670" spans="1:4" x14ac:dyDescent="0.25">
      <c r="A670" s="167"/>
      <c r="B670" s="166"/>
      <c r="C670" s="166"/>
      <c r="D670" s="166"/>
    </row>
    <row r="671" spans="1:4" x14ac:dyDescent="0.25">
      <c r="A671" s="167"/>
      <c r="B671" s="166"/>
      <c r="C671" s="166"/>
      <c r="D671" s="166"/>
    </row>
    <row r="672" spans="1:4" x14ac:dyDescent="0.25">
      <c r="A672" s="167"/>
      <c r="B672" s="166"/>
      <c r="C672" s="166"/>
      <c r="D672" s="166"/>
    </row>
    <row r="673" spans="1:4" x14ac:dyDescent="0.25">
      <c r="A673" s="167"/>
      <c r="B673" s="166"/>
      <c r="C673" s="166"/>
      <c r="D673" s="166"/>
    </row>
    <row r="674" spans="1:4" x14ac:dyDescent="0.25">
      <c r="A674" s="167"/>
      <c r="B674" s="166"/>
      <c r="C674" s="166"/>
      <c r="D674" s="166"/>
    </row>
    <row r="675" spans="1:4" x14ac:dyDescent="0.25">
      <c r="A675" s="167"/>
      <c r="B675" s="166"/>
      <c r="C675" s="166"/>
      <c r="D675" s="166"/>
    </row>
    <row r="676" spans="1:4" x14ac:dyDescent="0.25">
      <c r="A676" s="167"/>
      <c r="B676" s="166"/>
      <c r="C676" s="166"/>
      <c r="D676" s="166"/>
    </row>
    <row r="677" spans="1:4" x14ac:dyDescent="0.25">
      <c r="A677" s="167"/>
      <c r="B677" s="166"/>
      <c r="C677" s="166"/>
      <c r="D677" s="166"/>
    </row>
    <row r="678" spans="1:4" x14ac:dyDescent="0.25">
      <c r="A678" s="167"/>
      <c r="B678" s="166"/>
      <c r="C678" s="166"/>
      <c r="D678" s="166"/>
    </row>
    <row r="679" spans="1:4" x14ac:dyDescent="0.25">
      <c r="A679" s="167"/>
      <c r="B679" s="166"/>
      <c r="C679" s="166"/>
      <c r="D679" s="166"/>
    </row>
    <row r="680" spans="1:4" x14ac:dyDescent="0.25">
      <c r="A680" s="167"/>
      <c r="B680" s="166"/>
      <c r="C680" s="166"/>
      <c r="D680" s="166"/>
    </row>
    <row r="681" spans="1:4" x14ac:dyDescent="0.25">
      <c r="A681" s="167"/>
      <c r="B681" s="166"/>
      <c r="C681" s="166"/>
      <c r="D681" s="166"/>
    </row>
    <row r="682" spans="1:4" x14ac:dyDescent="0.25">
      <c r="A682" s="167"/>
      <c r="B682" s="166"/>
      <c r="C682" s="166"/>
      <c r="D682" s="166"/>
    </row>
    <row r="683" spans="1:4" x14ac:dyDescent="0.25">
      <c r="A683" s="167"/>
      <c r="B683" s="166"/>
      <c r="C683" s="166"/>
      <c r="D683" s="166"/>
    </row>
    <row r="684" spans="1:4" x14ac:dyDescent="0.25">
      <c r="A684" s="167"/>
      <c r="B684" s="166"/>
      <c r="C684" s="166"/>
      <c r="D684" s="166"/>
    </row>
    <row r="685" spans="1:4" x14ac:dyDescent="0.25">
      <c r="A685" s="167"/>
      <c r="B685" s="166"/>
      <c r="C685" s="166"/>
      <c r="D685" s="166"/>
    </row>
    <row r="686" spans="1:4" x14ac:dyDescent="0.25">
      <c r="A686" s="167"/>
      <c r="B686" s="166"/>
      <c r="C686" s="166"/>
      <c r="D686" s="166"/>
    </row>
    <row r="687" spans="1:4" x14ac:dyDescent="0.25">
      <c r="A687" s="167"/>
      <c r="B687" s="166"/>
      <c r="C687" s="166"/>
      <c r="D687" s="166"/>
    </row>
    <row r="688" spans="1:4" x14ac:dyDescent="0.25">
      <c r="A688" s="167"/>
      <c r="B688" s="166"/>
      <c r="C688" s="166"/>
      <c r="D688" s="166"/>
    </row>
    <row r="689" spans="1:4" x14ac:dyDescent="0.25">
      <c r="A689" s="167"/>
      <c r="B689" s="166"/>
      <c r="C689" s="166"/>
      <c r="D689" s="166"/>
    </row>
    <row r="690" spans="1:4" x14ac:dyDescent="0.25">
      <c r="A690" s="167"/>
      <c r="B690" s="166"/>
      <c r="C690" s="166"/>
      <c r="D690" s="166"/>
    </row>
    <row r="691" spans="1:4" x14ac:dyDescent="0.25">
      <c r="A691" s="167"/>
      <c r="B691" s="166"/>
      <c r="C691" s="166"/>
      <c r="D691" s="166"/>
    </row>
    <row r="692" spans="1:4" x14ac:dyDescent="0.25">
      <c r="A692" s="167"/>
      <c r="B692" s="166"/>
      <c r="C692" s="166"/>
      <c r="D692" s="166"/>
    </row>
    <row r="693" spans="1:4" x14ac:dyDescent="0.25">
      <c r="A693" s="167"/>
      <c r="B693" s="166"/>
      <c r="C693" s="166"/>
      <c r="D693" s="166"/>
    </row>
    <row r="694" spans="1:4" x14ac:dyDescent="0.25">
      <c r="A694" s="167"/>
      <c r="B694" s="166"/>
      <c r="C694" s="166"/>
      <c r="D694" s="166"/>
    </row>
    <row r="695" spans="1:4" x14ac:dyDescent="0.25">
      <c r="A695" s="167"/>
      <c r="B695" s="166"/>
      <c r="C695" s="166"/>
      <c r="D695" s="166"/>
    </row>
    <row r="696" spans="1:4" x14ac:dyDescent="0.25">
      <c r="A696" s="167"/>
      <c r="B696" s="166"/>
      <c r="C696" s="166"/>
      <c r="D696" s="166"/>
    </row>
    <row r="697" spans="1:4" x14ac:dyDescent="0.25">
      <c r="A697" s="167"/>
      <c r="B697" s="166"/>
      <c r="C697" s="166"/>
      <c r="D697" s="166"/>
    </row>
    <row r="698" spans="1:4" x14ac:dyDescent="0.25">
      <c r="A698" s="167"/>
      <c r="B698" s="166"/>
      <c r="C698" s="166"/>
      <c r="D698" s="166"/>
    </row>
    <row r="699" spans="1:4" x14ac:dyDescent="0.25">
      <c r="A699" s="167"/>
      <c r="B699" s="166"/>
      <c r="C699" s="166"/>
      <c r="D699" s="166"/>
    </row>
    <row r="700" spans="1:4" x14ac:dyDescent="0.25">
      <c r="A700" s="167"/>
      <c r="B700" s="166"/>
      <c r="C700" s="166"/>
      <c r="D700" s="166"/>
    </row>
    <row r="701" spans="1:4" x14ac:dyDescent="0.25">
      <c r="A701" s="167"/>
      <c r="B701" s="166"/>
      <c r="C701" s="166"/>
      <c r="D701" s="166"/>
    </row>
    <row r="702" spans="1:4" x14ac:dyDescent="0.25">
      <c r="A702" s="167"/>
      <c r="B702" s="166"/>
      <c r="C702" s="166"/>
      <c r="D702" s="166"/>
    </row>
    <row r="703" spans="1:4" x14ac:dyDescent="0.25">
      <c r="A703" s="167"/>
      <c r="B703" s="166"/>
      <c r="C703" s="166"/>
      <c r="D703" s="166"/>
    </row>
    <row r="704" spans="1:4" x14ac:dyDescent="0.25">
      <c r="A704" s="167"/>
      <c r="B704" s="166"/>
      <c r="C704" s="166"/>
      <c r="D704" s="166"/>
    </row>
    <row r="705" spans="1:4" x14ac:dyDescent="0.25">
      <c r="A705" s="167"/>
      <c r="B705" s="166"/>
      <c r="C705" s="166"/>
      <c r="D705" s="166"/>
    </row>
    <row r="706" spans="1:4" x14ac:dyDescent="0.25">
      <c r="A706" s="167"/>
      <c r="B706" s="166"/>
      <c r="C706" s="166"/>
      <c r="D706" s="166"/>
    </row>
    <row r="707" spans="1:4" x14ac:dyDescent="0.25">
      <c r="A707" s="167"/>
      <c r="B707" s="166"/>
      <c r="C707" s="166"/>
      <c r="D707" s="166"/>
    </row>
    <row r="708" spans="1:4" x14ac:dyDescent="0.25">
      <c r="A708" s="167"/>
      <c r="B708" s="166"/>
      <c r="C708" s="166"/>
      <c r="D708" s="166"/>
    </row>
    <row r="709" spans="1:4" x14ac:dyDescent="0.25">
      <c r="A709" s="167"/>
      <c r="B709" s="166"/>
      <c r="C709" s="166"/>
      <c r="D709" s="166"/>
    </row>
    <row r="710" spans="1:4" x14ac:dyDescent="0.25">
      <c r="A710" s="167"/>
      <c r="B710" s="166"/>
      <c r="C710" s="166"/>
      <c r="D710" s="166"/>
    </row>
    <row r="711" spans="1:4" x14ac:dyDescent="0.25">
      <c r="A711" s="167"/>
      <c r="B711" s="166"/>
      <c r="C711" s="166"/>
      <c r="D711" s="166"/>
    </row>
    <row r="712" spans="1:4" x14ac:dyDescent="0.25">
      <c r="A712" s="167"/>
      <c r="B712" s="166"/>
      <c r="C712" s="166"/>
      <c r="D712" s="166"/>
    </row>
    <row r="713" spans="1:4" x14ac:dyDescent="0.25">
      <c r="A713" s="167"/>
      <c r="B713" s="166"/>
      <c r="C713" s="166"/>
      <c r="D713" s="166"/>
    </row>
    <row r="714" spans="1:4" x14ac:dyDescent="0.25">
      <c r="A714" s="167"/>
      <c r="B714" s="166"/>
      <c r="C714" s="166"/>
      <c r="D714" s="166"/>
    </row>
    <row r="715" spans="1:4" x14ac:dyDescent="0.25">
      <c r="A715" s="167"/>
      <c r="B715" s="166"/>
      <c r="C715" s="166"/>
      <c r="D715" s="166"/>
    </row>
    <row r="716" spans="1:4" x14ac:dyDescent="0.25">
      <c r="A716" s="167"/>
      <c r="B716" s="166"/>
      <c r="C716" s="166"/>
      <c r="D716" s="166"/>
    </row>
    <row r="717" spans="1:4" x14ac:dyDescent="0.25">
      <c r="A717" s="167"/>
      <c r="B717" s="166"/>
      <c r="C717" s="166"/>
      <c r="D717" s="166"/>
    </row>
    <row r="718" spans="1:4" x14ac:dyDescent="0.25">
      <c r="A718" s="167"/>
      <c r="B718" s="166"/>
      <c r="C718" s="166"/>
      <c r="D718" s="166"/>
    </row>
    <row r="719" spans="1:4" x14ac:dyDescent="0.25">
      <c r="A719" s="167"/>
      <c r="B719" s="166"/>
      <c r="C719" s="166"/>
      <c r="D719" s="166"/>
    </row>
    <row r="720" spans="1:4" x14ac:dyDescent="0.25">
      <c r="A720" s="167"/>
      <c r="B720" s="166"/>
      <c r="C720" s="166"/>
      <c r="D720" s="166"/>
    </row>
    <row r="721" spans="1:4" x14ac:dyDescent="0.25">
      <c r="A721" s="167"/>
      <c r="B721" s="166"/>
      <c r="C721" s="166"/>
      <c r="D721" s="166"/>
    </row>
    <row r="722" spans="1:4" x14ac:dyDescent="0.25">
      <c r="A722" s="167"/>
      <c r="B722" s="166"/>
      <c r="C722" s="166"/>
      <c r="D722" s="166"/>
    </row>
    <row r="723" spans="1:4" x14ac:dyDescent="0.25">
      <c r="A723" s="167"/>
      <c r="B723" s="166"/>
      <c r="C723" s="166"/>
      <c r="D723" s="166"/>
    </row>
    <row r="724" spans="1:4" x14ac:dyDescent="0.25">
      <c r="A724" s="167"/>
      <c r="B724" s="166"/>
      <c r="C724" s="166"/>
      <c r="D724" s="166"/>
    </row>
    <row r="725" spans="1:4" x14ac:dyDescent="0.25">
      <c r="A725" s="167"/>
      <c r="B725" s="166"/>
      <c r="C725" s="166"/>
      <c r="D725" s="166"/>
    </row>
    <row r="726" spans="1:4" x14ac:dyDescent="0.25">
      <c r="A726" s="167"/>
      <c r="B726" s="166"/>
      <c r="C726" s="166"/>
      <c r="D726" s="166"/>
    </row>
    <row r="727" spans="1:4" x14ac:dyDescent="0.25">
      <c r="A727" s="167"/>
      <c r="B727" s="166"/>
      <c r="C727" s="166"/>
      <c r="D727" s="166"/>
    </row>
    <row r="728" spans="1:4" x14ac:dyDescent="0.25">
      <c r="A728" s="167"/>
      <c r="B728" s="166"/>
      <c r="C728" s="166"/>
      <c r="D728" s="166"/>
    </row>
    <row r="729" spans="1:4" x14ac:dyDescent="0.25">
      <c r="A729" s="167"/>
      <c r="B729" s="166"/>
      <c r="C729" s="166"/>
      <c r="D729" s="166"/>
    </row>
    <row r="730" spans="1:4" x14ac:dyDescent="0.25">
      <c r="A730" s="167"/>
      <c r="B730" s="166"/>
      <c r="C730" s="166"/>
      <c r="D730" s="166"/>
    </row>
    <row r="731" spans="1:4" x14ac:dyDescent="0.25">
      <c r="A731" s="167"/>
      <c r="B731" s="166"/>
      <c r="C731" s="166"/>
      <c r="D731" s="166"/>
    </row>
    <row r="732" spans="1:4" x14ac:dyDescent="0.25">
      <c r="A732" s="167"/>
      <c r="B732" s="166"/>
      <c r="C732" s="166"/>
      <c r="D732" s="166"/>
    </row>
    <row r="733" spans="1:4" x14ac:dyDescent="0.25">
      <c r="A733" s="167"/>
      <c r="B733" s="166"/>
      <c r="C733" s="166"/>
      <c r="D733" s="166"/>
    </row>
    <row r="734" spans="1:4" x14ac:dyDescent="0.25">
      <c r="A734" s="167"/>
      <c r="B734" s="166"/>
      <c r="C734" s="166"/>
      <c r="D734" s="166"/>
    </row>
    <row r="735" spans="1:4" x14ac:dyDescent="0.25">
      <c r="A735" s="167"/>
      <c r="B735" s="166"/>
      <c r="C735" s="166"/>
      <c r="D735" s="166"/>
    </row>
    <row r="736" spans="1:4" x14ac:dyDescent="0.25">
      <c r="A736" s="167"/>
      <c r="B736" s="166"/>
      <c r="C736" s="166"/>
      <c r="D736" s="166"/>
    </row>
    <row r="737" spans="1:4" x14ac:dyDescent="0.25">
      <c r="A737" s="167"/>
      <c r="B737" s="166"/>
      <c r="C737" s="166"/>
      <c r="D737" s="166"/>
    </row>
    <row r="738" spans="1:4" x14ac:dyDescent="0.25">
      <c r="A738" s="167"/>
      <c r="B738" s="166"/>
      <c r="C738" s="166"/>
      <c r="D738" s="166"/>
    </row>
    <row r="739" spans="1:4" x14ac:dyDescent="0.25">
      <c r="A739" s="167"/>
      <c r="B739" s="166"/>
      <c r="C739" s="166"/>
      <c r="D739" s="166"/>
    </row>
    <row r="740" spans="1:4" x14ac:dyDescent="0.25">
      <c r="A740" s="167"/>
      <c r="B740" s="166"/>
      <c r="C740" s="166"/>
      <c r="D740" s="166"/>
    </row>
    <row r="741" spans="1:4" x14ac:dyDescent="0.25">
      <c r="A741" s="167"/>
      <c r="B741" s="166"/>
      <c r="C741" s="166"/>
      <c r="D741" s="166"/>
    </row>
    <row r="742" spans="1:4" x14ac:dyDescent="0.25">
      <c r="A742" s="167"/>
      <c r="B742" s="166"/>
      <c r="C742" s="166"/>
      <c r="D742" s="166"/>
    </row>
    <row r="743" spans="1:4" x14ac:dyDescent="0.25">
      <c r="A743" s="167"/>
      <c r="B743" s="166"/>
      <c r="C743" s="166"/>
      <c r="D743" s="166"/>
    </row>
    <row r="744" spans="1:4" x14ac:dyDescent="0.25">
      <c r="A744" s="167"/>
      <c r="B744" s="166"/>
      <c r="C744" s="166"/>
      <c r="D744" s="166"/>
    </row>
    <row r="745" spans="1:4" x14ac:dyDescent="0.25">
      <c r="A745" s="167"/>
      <c r="B745" s="166"/>
      <c r="C745" s="166"/>
      <c r="D745" s="166"/>
    </row>
    <row r="746" spans="1:4" x14ac:dyDescent="0.25">
      <c r="A746" s="167"/>
      <c r="B746" s="166"/>
      <c r="C746" s="166"/>
      <c r="D746" s="166"/>
    </row>
    <row r="747" spans="1:4" x14ac:dyDescent="0.25">
      <c r="A747" s="167"/>
      <c r="B747" s="166"/>
      <c r="C747" s="166"/>
      <c r="D747" s="166"/>
    </row>
    <row r="748" spans="1:4" x14ac:dyDescent="0.25">
      <c r="A748" s="167"/>
      <c r="B748" s="166"/>
      <c r="C748" s="166"/>
      <c r="D748" s="166"/>
    </row>
    <row r="749" spans="1:4" x14ac:dyDescent="0.25">
      <c r="A749" s="167"/>
      <c r="B749" s="166"/>
      <c r="C749" s="166"/>
      <c r="D749" s="166"/>
    </row>
    <row r="750" spans="1:4" x14ac:dyDescent="0.25">
      <c r="A750" s="167"/>
      <c r="B750" s="166"/>
      <c r="C750" s="166"/>
      <c r="D750" s="166"/>
    </row>
    <row r="751" spans="1:4" x14ac:dyDescent="0.25">
      <c r="A751" s="167"/>
      <c r="B751" s="166"/>
      <c r="C751" s="166"/>
      <c r="D751" s="166"/>
    </row>
    <row r="752" spans="1:4" x14ac:dyDescent="0.25">
      <c r="A752" s="167"/>
      <c r="B752" s="166"/>
      <c r="C752" s="166"/>
      <c r="D752" s="166"/>
    </row>
    <row r="753" spans="1:4" x14ac:dyDescent="0.25">
      <c r="A753" s="167"/>
      <c r="B753" s="166"/>
      <c r="C753" s="166"/>
      <c r="D753" s="166"/>
    </row>
    <row r="754" spans="1:4" x14ac:dyDescent="0.25">
      <c r="A754" s="167"/>
      <c r="B754" s="166"/>
      <c r="C754" s="166"/>
      <c r="D754" s="166"/>
    </row>
    <row r="755" spans="1:4" x14ac:dyDescent="0.25">
      <c r="A755" s="167"/>
      <c r="B755" s="166"/>
      <c r="C755" s="166"/>
      <c r="D755" s="166"/>
    </row>
    <row r="756" spans="1:4" x14ac:dyDescent="0.25">
      <c r="A756" s="167"/>
      <c r="B756" s="166"/>
      <c r="C756" s="166"/>
      <c r="D756" s="166"/>
    </row>
    <row r="757" spans="1:4" x14ac:dyDescent="0.25">
      <c r="A757" s="167"/>
      <c r="B757" s="166"/>
      <c r="C757" s="166"/>
      <c r="D757" s="166"/>
    </row>
    <row r="758" spans="1:4" x14ac:dyDescent="0.25">
      <c r="A758" s="167"/>
      <c r="B758" s="166"/>
      <c r="C758" s="166"/>
      <c r="D758" s="166"/>
    </row>
    <row r="759" spans="1:4" x14ac:dyDescent="0.25">
      <c r="A759" s="167"/>
      <c r="B759" s="166"/>
      <c r="C759" s="166"/>
      <c r="D759" s="166"/>
    </row>
    <row r="760" spans="1:4" x14ac:dyDescent="0.25">
      <c r="A760" s="167"/>
      <c r="B760" s="166"/>
      <c r="C760" s="166"/>
      <c r="D760" s="166"/>
    </row>
    <row r="761" spans="1:4" x14ac:dyDescent="0.25">
      <c r="A761" s="167"/>
      <c r="B761" s="166"/>
      <c r="C761" s="166"/>
      <c r="D761" s="166"/>
    </row>
    <row r="762" spans="1:4" x14ac:dyDescent="0.25">
      <c r="A762" s="167"/>
      <c r="B762" s="166"/>
      <c r="C762" s="166"/>
      <c r="D762" s="166"/>
    </row>
    <row r="763" spans="1:4" x14ac:dyDescent="0.25">
      <c r="A763" s="167"/>
      <c r="B763" s="166"/>
      <c r="C763" s="166"/>
      <c r="D763" s="166"/>
    </row>
    <row r="764" spans="1:4" x14ac:dyDescent="0.25">
      <c r="A764" s="167"/>
      <c r="B764" s="166"/>
      <c r="C764" s="166"/>
      <c r="D764" s="166"/>
    </row>
    <row r="765" spans="1:4" x14ac:dyDescent="0.25">
      <c r="A765" s="167"/>
      <c r="B765" s="166"/>
      <c r="C765" s="166"/>
      <c r="D765" s="166"/>
    </row>
    <row r="766" spans="1:4" x14ac:dyDescent="0.25">
      <c r="A766" s="167"/>
      <c r="B766" s="166"/>
      <c r="C766" s="166"/>
      <c r="D766" s="166"/>
    </row>
    <row r="767" spans="1:4" x14ac:dyDescent="0.25">
      <c r="A767" s="167"/>
      <c r="B767" s="166"/>
      <c r="C767" s="166"/>
      <c r="D767" s="166"/>
    </row>
    <row r="768" spans="1:4" x14ac:dyDescent="0.25">
      <c r="A768" s="167"/>
      <c r="B768" s="166"/>
      <c r="C768" s="166"/>
      <c r="D768" s="166"/>
    </row>
    <row r="769" spans="1:4" x14ac:dyDescent="0.25">
      <c r="A769" s="167"/>
      <c r="B769" s="166"/>
      <c r="C769" s="166"/>
      <c r="D769" s="166"/>
    </row>
    <row r="770" spans="1:4" x14ac:dyDescent="0.25">
      <c r="A770" s="167"/>
      <c r="B770" s="166"/>
      <c r="C770" s="166"/>
      <c r="D770" s="166"/>
    </row>
    <row r="771" spans="1:4" x14ac:dyDescent="0.25">
      <c r="A771" s="167"/>
      <c r="B771" s="166"/>
      <c r="C771" s="166"/>
      <c r="D771" s="166"/>
    </row>
    <row r="772" spans="1:4" x14ac:dyDescent="0.25">
      <c r="A772" s="167"/>
      <c r="B772" s="166"/>
      <c r="C772" s="166"/>
      <c r="D772" s="166"/>
    </row>
    <row r="773" spans="1:4" x14ac:dyDescent="0.25">
      <c r="A773" s="167"/>
      <c r="B773" s="166"/>
      <c r="C773" s="166"/>
      <c r="D773" s="166"/>
    </row>
    <row r="774" spans="1:4" x14ac:dyDescent="0.25">
      <c r="A774" s="167"/>
      <c r="B774" s="166"/>
      <c r="C774" s="166"/>
      <c r="D774" s="166"/>
    </row>
    <row r="775" spans="1:4" x14ac:dyDescent="0.25">
      <c r="A775" s="167"/>
      <c r="B775" s="166"/>
      <c r="C775" s="166"/>
      <c r="D775" s="166"/>
    </row>
    <row r="776" spans="1:4" x14ac:dyDescent="0.25">
      <c r="A776" s="167"/>
      <c r="B776" s="166"/>
      <c r="C776" s="166"/>
      <c r="D776" s="166"/>
    </row>
    <row r="777" spans="1:4" x14ac:dyDescent="0.25">
      <c r="A777" s="167"/>
      <c r="B777" s="166"/>
      <c r="C777" s="166"/>
      <c r="D777" s="166"/>
    </row>
    <row r="778" spans="1:4" x14ac:dyDescent="0.25">
      <c r="A778" s="167"/>
      <c r="B778" s="166"/>
      <c r="C778" s="166"/>
      <c r="D778" s="166"/>
    </row>
    <row r="779" spans="1:4" x14ac:dyDescent="0.25">
      <c r="A779" s="167"/>
      <c r="B779" s="166"/>
      <c r="C779" s="166"/>
      <c r="D779" s="166"/>
    </row>
    <row r="780" spans="1:4" x14ac:dyDescent="0.25">
      <c r="A780" s="167"/>
      <c r="B780" s="166"/>
      <c r="C780" s="166"/>
      <c r="D780" s="166"/>
    </row>
    <row r="781" spans="1:4" x14ac:dyDescent="0.25">
      <c r="A781" s="167"/>
      <c r="B781" s="166"/>
      <c r="C781" s="166"/>
      <c r="D781" s="166"/>
    </row>
    <row r="782" spans="1:4" x14ac:dyDescent="0.25">
      <c r="A782" s="167"/>
      <c r="B782" s="166"/>
      <c r="C782" s="166"/>
      <c r="D782" s="166"/>
    </row>
    <row r="783" spans="1:4" x14ac:dyDescent="0.25">
      <c r="A783" s="167"/>
      <c r="B783" s="166"/>
      <c r="C783" s="166"/>
      <c r="D783" s="166"/>
    </row>
    <row r="784" spans="1:4" x14ac:dyDescent="0.25">
      <c r="A784" s="167"/>
      <c r="B784" s="166"/>
      <c r="C784" s="166"/>
      <c r="D784" s="166"/>
    </row>
    <row r="785" spans="1:4" x14ac:dyDescent="0.25">
      <c r="A785" s="167"/>
      <c r="B785" s="166"/>
      <c r="C785" s="166"/>
      <c r="D785" s="166"/>
    </row>
    <row r="786" spans="1:4" x14ac:dyDescent="0.25">
      <c r="A786" s="167"/>
      <c r="B786" s="166"/>
      <c r="C786" s="166"/>
      <c r="D786" s="166"/>
    </row>
    <row r="787" spans="1:4" x14ac:dyDescent="0.25">
      <c r="A787" s="167"/>
      <c r="B787" s="166"/>
      <c r="C787" s="166"/>
      <c r="D787" s="166"/>
    </row>
    <row r="788" spans="1:4" x14ac:dyDescent="0.25">
      <c r="A788" s="167"/>
      <c r="B788" s="166"/>
      <c r="C788" s="166"/>
      <c r="D788" s="166"/>
    </row>
    <row r="789" spans="1:4" x14ac:dyDescent="0.25">
      <c r="A789" s="167"/>
      <c r="B789" s="166"/>
      <c r="C789" s="166"/>
      <c r="D789" s="166"/>
    </row>
    <row r="790" spans="1:4" x14ac:dyDescent="0.25">
      <c r="A790" s="167"/>
      <c r="B790" s="166"/>
      <c r="C790" s="166"/>
      <c r="D790" s="166"/>
    </row>
    <row r="791" spans="1:4" x14ac:dyDescent="0.25">
      <c r="A791" s="167"/>
      <c r="B791" s="166"/>
      <c r="C791" s="166"/>
      <c r="D791" s="166"/>
    </row>
    <row r="792" spans="1:4" x14ac:dyDescent="0.25">
      <c r="A792" s="167"/>
      <c r="B792" s="166"/>
      <c r="C792" s="166"/>
      <c r="D792" s="166"/>
    </row>
    <row r="793" spans="1:4" x14ac:dyDescent="0.25">
      <c r="A793" s="167"/>
      <c r="B793" s="166"/>
      <c r="C793" s="166"/>
      <c r="D793" s="166"/>
    </row>
    <row r="794" spans="1:4" x14ac:dyDescent="0.25">
      <c r="A794" s="167"/>
      <c r="B794" s="166"/>
      <c r="C794" s="166"/>
      <c r="D794" s="166"/>
    </row>
    <row r="795" spans="1:4" x14ac:dyDescent="0.25">
      <c r="A795" s="167"/>
      <c r="B795" s="166"/>
      <c r="C795" s="166"/>
      <c r="D795" s="166"/>
    </row>
    <row r="796" spans="1:4" x14ac:dyDescent="0.25">
      <c r="A796" s="167"/>
      <c r="B796" s="166"/>
      <c r="C796" s="166"/>
      <c r="D796" s="166"/>
    </row>
    <row r="797" spans="1:4" x14ac:dyDescent="0.25">
      <c r="A797" s="167"/>
      <c r="B797" s="166"/>
      <c r="C797" s="166"/>
      <c r="D797" s="166"/>
    </row>
    <row r="798" spans="1:4" x14ac:dyDescent="0.25">
      <c r="A798" s="167"/>
      <c r="B798" s="166"/>
      <c r="C798" s="166"/>
      <c r="D798" s="166"/>
    </row>
    <row r="799" spans="1:4" x14ac:dyDescent="0.25">
      <c r="A799" s="167"/>
      <c r="B799" s="166"/>
      <c r="C799" s="166"/>
      <c r="D799" s="166"/>
    </row>
    <row r="800" spans="1:4" x14ac:dyDescent="0.25">
      <c r="A800" s="167"/>
      <c r="B800" s="166"/>
      <c r="C800" s="166"/>
      <c r="D800" s="166"/>
    </row>
    <row r="801" spans="1:4" x14ac:dyDescent="0.25">
      <c r="A801" s="167"/>
      <c r="B801" s="166"/>
      <c r="C801" s="166"/>
      <c r="D801" s="166"/>
    </row>
    <row r="802" spans="1:4" x14ac:dyDescent="0.25">
      <c r="A802" s="167"/>
      <c r="B802" s="166"/>
      <c r="C802" s="166"/>
      <c r="D802" s="166"/>
    </row>
    <row r="803" spans="1:4" x14ac:dyDescent="0.25">
      <c r="A803" s="167"/>
      <c r="B803" s="166"/>
      <c r="C803" s="166"/>
      <c r="D803" s="166"/>
    </row>
    <row r="804" spans="1:4" x14ac:dyDescent="0.25">
      <c r="A804" s="167"/>
      <c r="B804" s="166"/>
      <c r="C804" s="166"/>
      <c r="D804" s="166"/>
    </row>
    <row r="805" spans="1:4" x14ac:dyDescent="0.25">
      <c r="A805" s="167"/>
      <c r="B805" s="166"/>
      <c r="C805" s="166"/>
      <c r="D805" s="166"/>
    </row>
    <row r="806" spans="1:4" x14ac:dyDescent="0.25">
      <c r="A806" s="167"/>
      <c r="B806" s="166"/>
      <c r="C806" s="166"/>
      <c r="D806" s="166"/>
    </row>
    <row r="807" spans="1:4" x14ac:dyDescent="0.25">
      <c r="A807" s="167"/>
      <c r="B807" s="166"/>
      <c r="C807" s="166"/>
      <c r="D807" s="166"/>
    </row>
    <row r="808" spans="1:4" x14ac:dyDescent="0.25">
      <c r="A808" s="167"/>
      <c r="B808" s="166"/>
      <c r="C808" s="166"/>
      <c r="D808" s="166"/>
    </row>
    <row r="809" spans="1:4" x14ac:dyDescent="0.25">
      <c r="A809" s="167"/>
      <c r="B809" s="166"/>
      <c r="C809" s="166"/>
      <c r="D809" s="166"/>
    </row>
    <row r="810" spans="1:4" x14ac:dyDescent="0.25">
      <c r="A810" s="167"/>
      <c r="B810" s="166"/>
      <c r="C810" s="166"/>
      <c r="D810" s="166"/>
    </row>
    <row r="811" spans="1:4" x14ac:dyDescent="0.25">
      <c r="A811" s="167"/>
      <c r="B811" s="166"/>
      <c r="C811" s="166"/>
      <c r="D811" s="166"/>
    </row>
    <row r="812" spans="1:4" x14ac:dyDescent="0.25">
      <c r="A812" s="167"/>
      <c r="B812" s="166"/>
      <c r="C812" s="166"/>
      <c r="D812" s="166"/>
    </row>
    <row r="813" spans="1:4" x14ac:dyDescent="0.25">
      <c r="A813" s="167"/>
      <c r="B813" s="166"/>
      <c r="C813" s="166"/>
      <c r="D813" s="166"/>
    </row>
    <row r="814" spans="1:4" x14ac:dyDescent="0.25">
      <c r="A814" s="167"/>
      <c r="B814" s="166"/>
      <c r="C814" s="166"/>
      <c r="D814" s="166"/>
    </row>
    <row r="815" spans="1:4" x14ac:dyDescent="0.25">
      <c r="A815" s="167"/>
      <c r="B815" s="166"/>
      <c r="C815" s="166"/>
      <c r="D815" s="166"/>
    </row>
    <row r="816" spans="1:4" x14ac:dyDescent="0.25">
      <c r="A816" s="167"/>
      <c r="B816" s="166"/>
      <c r="C816" s="166"/>
      <c r="D816" s="166"/>
    </row>
    <row r="817" spans="1:4" x14ac:dyDescent="0.25">
      <c r="A817" s="167"/>
      <c r="B817" s="166"/>
      <c r="C817" s="166"/>
      <c r="D817" s="166"/>
    </row>
    <row r="818" spans="1:4" x14ac:dyDescent="0.25">
      <c r="A818" s="167"/>
      <c r="B818" s="166"/>
      <c r="C818" s="166"/>
      <c r="D818" s="166"/>
    </row>
    <row r="819" spans="1:4" x14ac:dyDescent="0.25">
      <c r="A819" s="167"/>
      <c r="B819" s="166"/>
      <c r="C819" s="166"/>
      <c r="D819" s="166"/>
    </row>
    <row r="820" spans="1:4" x14ac:dyDescent="0.25">
      <c r="A820" s="167"/>
      <c r="B820" s="166"/>
      <c r="C820" s="166"/>
      <c r="D820" s="166"/>
    </row>
    <row r="821" spans="1:4" x14ac:dyDescent="0.25">
      <c r="A821" s="167"/>
      <c r="B821" s="166"/>
      <c r="C821" s="166"/>
      <c r="D821" s="166"/>
    </row>
    <row r="822" spans="1:4" x14ac:dyDescent="0.25">
      <c r="A822" s="167"/>
      <c r="B822" s="166"/>
      <c r="C822" s="166"/>
      <c r="D822" s="166"/>
    </row>
    <row r="823" spans="1:4" x14ac:dyDescent="0.25">
      <c r="A823" s="167"/>
      <c r="B823" s="166"/>
      <c r="C823" s="166"/>
      <c r="D823" s="166"/>
    </row>
    <row r="824" spans="1:4" x14ac:dyDescent="0.25">
      <c r="A824" s="167"/>
      <c r="B824" s="166"/>
      <c r="C824" s="166"/>
      <c r="D824" s="166"/>
    </row>
    <row r="825" spans="1:4" x14ac:dyDescent="0.25">
      <c r="A825" s="167"/>
      <c r="B825" s="166"/>
      <c r="C825" s="166"/>
      <c r="D825" s="166"/>
    </row>
    <row r="826" spans="1:4" x14ac:dyDescent="0.25">
      <c r="A826" s="167"/>
      <c r="B826" s="166"/>
      <c r="C826" s="166"/>
      <c r="D826" s="166"/>
    </row>
    <row r="827" spans="1:4" x14ac:dyDescent="0.25">
      <c r="A827" s="167"/>
      <c r="B827" s="166"/>
      <c r="C827" s="166"/>
      <c r="D827" s="166"/>
    </row>
    <row r="828" spans="1:4" x14ac:dyDescent="0.25">
      <c r="A828" s="167"/>
      <c r="B828" s="166"/>
      <c r="C828" s="166"/>
      <c r="D828" s="166"/>
    </row>
    <row r="829" spans="1:4" x14ac:dyDescent="0.25">
      <c r="A829" s="167"/>
      <c r="B829" s="166"/>
      <c r="C829" s="166"/>
      <c r="D829" s="166"/>
    </row>
    <row r="830" spans="1:4" x14ac:dyDescent="0.25">
      <c r="A830" s="167"/>
      <c r="B830" s="166"/>
      <c r="C830" s="166"/>
      <c r="D830" s="166"/>
    </row>
    <row r="831" spans="1:4" x14ac:dyDescent="0.25">
      <c r="A831" s="167"/>
      <c r="B831" s="166"/>
      <c r="C831" s="166"/>
      <c r="D831" s="166"/>
    </row>
    <row r="832" spans="1:4" x14ac:dyDescent="0.25">
      <c r="A832" s="167"/>
      <c r="B832" s="166"/>
      <c r="C832" s="166"/>
      <c r="D832" s="166"/>
    </row>
    <row r="833" spans="1:4" x14ac:dyDescent="0.25">
      <c r="A833" s="167"/>
      <c r="B833" s="166"/>
      <c r="C833" s="166"/>
      <c r="D833" s="166"/>
    </row>
    <row r="834" spans="1:4" x14ac:dyDescent="0.25">
      <c r="A834" s="167"/>
      <c r="B834" s="166"/>
      <c r="C834" s="166"/>
      <c r="D834" s="166"/>
    </row>
    <row r="835" spans="1:4" x14ac:dyDescent="0.25">
      <c r="A835" s="167"/>
      <c r="B835" s="166"/>
      <c r="C835" s="166"/>
      <c r="D835" s="166"/>
    </row>
    <row r="836" spans="1:4" x14ac:dyDescent="0.25">
      <c r="A836" s="167"/>
      <c r="B836" s="166"/>
      <c r="C836" s="166"/>
      <c r="D836" s="166"/>
    </row>
    <row r="837" spans="1:4" x14ac:dyDescent="0.25">
      <c r="A837" s="167"/>
      <c r="B837" s="166"/>
      <c r="C837" s="166"/>
      <c r="D837" s="166"/>
    </row>
    <row r="838" spans="1:4" x14ac:dyDescent="0.25">
      <c r="A838" s="167"/>
      <c r="B838" s="166"/>
      <c r="C838" s="166"/>
      <c r="D838" s="166"/>
    </row>
    <row r="839" spans="1:4" x14ac:dyDescent="0.25">
      <c r="A839" s="167"/>
      <c r="B839" s="166"/>
      <c r="C839" s="166"/>
      <c r="D839" s="166"/>
    </row>
    <row r="840" spans="1:4" x14ac:dyDescent="0.25">
      <c r="A840" s="167"/>
      <c r="B840" s="166"/>
      <c r="C840" s="166"/>
      <c r="D840" s="166"/>
    </row>
    <row r="841" spans="1:4" x14ac:dyDescent="0.25">
      <c r="A841" s="167"/>
      <c r="B841" s="166"/>
      <c r="C841" s="166"/>
      <c r="D841" s="166"/>
    </row>
    <row r="842" spans="1:4" x14ac:dyDescent="0.25">
      <c r="A842" s="167"/>
      <c r="B842" s="166"/>
      <c r="C842" s="166"/>
      <c r="D842" s="166"/>
    </row>
    <row r="843" spans="1:4" x14ac:dyDescent="0.25">
      <c r="A843" s="167"/>
      <c r="B843" s="166"/>
      <c r="C843" s="166"/>
      <c r="D843" s="166"/>
    </row>
    <row r="844" spans="1:4" x14ac:dyDescent="0.25">
      <c r="A844" s="167"/>
      <c r="B844" s="166"/>
      <c r="C844" s="166"/>
      <c r="D844" s="166"/>
    </row>
    <row r="845" spans="1:4" x14ac:dyDescent="0.25">
      <c r="A845" s="167"/>
      <c r="B845" s="166"/>
      <c r="C845" s="166"/>
      <c r="D845" s="166"/>
    </row>
    <row r="846" spans="1:4" x14ac:dyDescent="0.25">
      <c r="A846" s="167"/>
      <c r="B846" s="166"/>
      <c r="C846" s="166"/>
      <c r="D846" s="166"/>
    </row>
    <row r="847" spans="1:4" x14ac:dyDescent="0.25">
      <c r="A847" s="167"/>
      <c r="B847" s="166"/>
      <c r="C847" s="166"/>
      <c r="D847" s="166"/>
    </row>
    <row r="848" spans="1:4" x14ac:dyDescent="0.25">
      <c r="A848" s="167"/>
      <c r="B848" s="166"/>
      <c r="C848" s="166"/>
      <c r="D848" s="166"/>
    </row>
    <row r="849" spans="1:4" x14ac:dyDescent="0.25">
      <c r="A849" s="167"/>
      <c r="B849" s="166"/>
      <c r="C849" s="166"/>
      <c r="D849" s="166"/>
    </row>
    <row r="850" spans="1:4" x14ac:dyDescent="0.25">
      <c r="A850" s="167"/>
      <c r="B850" s="166"/>
      <c r="C850" s="166"/>
      <c r="D850" s="166"/>
    </row>
    <row r="851" spans="1:4" x14ac:dyDescent="0.25">
      <c r="A851" s="167"/>
      <c r="B851" s="166"/>
      <c r="C851" s="166"/>
      <c r="D851" s="166"/>
    </row>
    <row r="852" spans="1:4" x14ac:dyDescent="0.25">
      <c r="A852" s="167"/>
      <c r="B852" s="166"/>
      <c r="C852" s="166"/>
      <c r="D852" s="166"/>
    </row>
    <row r="853" spans="1:4" x14ac:dyDescent="0.25">
      <c r="A853" s="167"/>
      <c r="B853" s="166"/>
      <c r="C853" s="166"/>
      <c r="D853" s="166"/>
    </row>
    <row r="854" spans="1:4" x14ac:dyDescent="0.25">
      <c r="A854" s="167"/>
      <c r="B854" s="166"/>
      <c r="C854" s="166"/>
      <c r="D854" s="166"/>
    </row>
    <row r="855" spans="1:4" x14ac:dyDescent="0.25">
      <c r="A855" s="167"/>
      <c r="B855" s="166"/>
      <c r="C855" s="166"/>
      <c r="D855" s="166"/>
    </row>
    <row r="856" spans="1:4" x14ac:dyDescent="0.25">
      <c r="A856" s="167"/>
      <c r="B856" s="166"/>
      <c r="C856" s="166"/>
      <c r="D856" s="166"/>
    </row>
    <row r="857" spans="1:4" x14ac:dyDescent="0.25">
      <c r="A857" s="167"/>
      <c r="B857" s="166"/>
      <c r="C857" s="166"/>
      <c r="D857" s="166"/>
    </row>
    <row r="858" spans="1:4" x14ac:dyDescent="0.25">
      <c r="A858" s="167"/>
      <c r="B858" s="166"/>
      <c r="C858" s="166"/>
      <c r="D858" s="166"/>
    </row>
    <row r="859" spans="1:4" x14ac:dyDescent="0.25">
      <c r="A859" s="167"/>
      <c r="B859" s="166"/>
      <c r="C859" s="166"/>
      <c r="D859" s="166"/>
    </row>
    <row r="860" spans="1:4" x14ac:dyDescent="0.25">
      <c r="A860" s="167"/>
      <c r="B860" s="166"/>
      <c r="C860" s="166"/>
      <c r="D860" s="166"/>
    </row>
    <row r="861" spans="1:4" x14ac:dyDescent="0.25">
      <c r="A861" s="167"/>
      <c r="B861" s="166"/>
      <c r="C861" s="166"/>
      <c r="D861" s="166"/>
    </row>
    <row r="862" spans="1:4" x14ac:dyDescent="0.25">
      <c r="A862" s="167"/>
      <c r="B862" s="166"/>
      <c r="C862" s="166"/>
      <c r="D862" s="166"/>
    </row>
    <row r="863" spans="1:4" x14ac:dyDescent="0.25">
      <c r="A863" s="167"/>
      <c r="B863" s="166"/>
      <c r="C863" s="166"/>
      <c r="D863" s="166"/>
    </row>
    <row r="864" spans="1:4" x14ac:dyDescent="0.25">
      <c r="A864" s="167"/>
      <c r="B864" s="166"/>
      <c r="C864" s="166"/>
      <c r="D864" s="166"/>
    </row>
    <row r="865" spans="1:4" x14ac:dyDescent="0.25">
      <c r="A865" s="167"/>
      <c r="B865" s="166"/>
      <c r="C865" s="166"/>
      <c r="D865" s="166"/>
    </row>
    <row r="866" spans="1:4" x14ac:dyDescent="0.25">
      <c r="A866" s="167"/>
      <c r="B866" s="166"/>
      <c r="C866" s="166"/>
      <c r="D866" s="166"/>
    </row>
    <row r="867" spans="1:4" x14ac:dyDescent="0.25">
      <c r="A867" s="167"/>
      <c r="B867" s="166"/>
      <c r="C867" s="166"/>
      <c r="D867" s="166"/>
    </row>
    <row r="868" spans="1:4" x14ac:dyDescent="0.25">
      <c r="A868" s="167"/>
      <c r="B868" s="166"/>
      <c r="C868" s="166"/>
      <c r="D868" s="166"/>
    </row>
    <row r="869" spans="1:4" x14ac:dyDescent="0.25">
      <c r="A869" s="167"/>
      <c r="B869" s="166"/>
      <c r="C869" s="166"/>
      <c r="D869" s="166"/>
    </row>
    <row r="870" spans="1:4" x14ac:dyDescent="0.25">
      <c r="A870" s="167"/>
      <c r="B870" s="166"/>
      <c r="C870" s="166"/>
      <c r="D870" s="166"/>
    </row>
    <row r="871" spans="1:4" x14ac:dyDescent="0.25">
      <c r="A871" s="167"/>
      <c r="B871" s="166"/>
      <c r="C871" s="166"/>
      <c r="D871" s="166"/>
    </row>
    <row r="872" spans="1:4" x14ac:dyDescent="0.25">
      <c r="A872" s="167"/>
      <c r="B872" s="166"/>
      <c r="C872" s="166"/>
      <c r="D872" s="166"/>
    </row>
    <row r="873" spans="1:4" x14ac:dyDescent="0.25">
      <c r="A873" s="167"/>
      <c r="B873" s="166"/>
      <c r="C873" s="166"/>
      <c r="D873" s="166"/>
    </row>
    <row r="874" spans="1:4" x14ac:dyDescent="0.25">
      <c r="A874" s="167"/>
      <c r="B874" s="166"/>
      <c r="C874" s="166"/>
      <c r="D874" s="166"/>
    </row>
    <row r="875" spans="1:4" x14ac:dyDescent="0.25">
      <c r="A875" s="167"/>
      <c r="B875" s="166"/>
      <c r="C875" s="166"/>
      <c r="D875" s="166"/>
    </row>
    <row r="876" spans="1:4" x14ac:dyDescent="0.25">
      <c r="A876" s="167"/>
      <c r="B876" s="166"/>
      <c r="C876" s="166"/>
      <c r="D876" s="166"/>
    </row>
    <row r="877" spans="1:4" x14ac:dyDescent="0.25">
      <c r="A877" s="167"/>
      <c r="B877" s="166"/>
      <c r="C877" s="166"/>
      <c r="D877" s="166"/>
    </row>
    <row r="878" spans="1:4" x14ac:dyDescent="0.25">
      <c r="A878" s="167"/>
      <c r="B878" s="166"/>
      <c r="C878" s="166"/>
      <c r="D878" s="166"/>
    </row>
    <row r="879" spans="1:4" x14ac:dyDescent="0.25">
      <c r="A879" s="167"/>
      <c r="B879" s="166"/>
      <c r="C879" s="166"/>
      <c r="D879" s="166"/>
    </row>
    <row r="880" spans="1:4" x14ac:dyDescent="0.25">
      <c r="A880" s="167"/>
      <c r="B880" s="166"/>
      <c r="C880" s="166"/>
      <c r="D880" s="166"/>
    </row>
    <row r="881" spans="1:4" x14ac:dyDescent="0.25">
      <c r="A881" s="167"/>
      <c r="B881" s="166"/>
      <c r="C881" s="166"/>
      <c r="D881" s="166"/>
    </row>
    <row r="882" spans="1:4" x14ac:dyDescent="0.25">
      <c r="A882" s="167"/>
      <c r="B882" s="166"/>
      <c r="C882" s="166"/>
      <c r="D882" s="166"/>
    </row>
    <row r="883" spans="1:4" x14ac:dyDescent="0.25">
      <c r="A883" s="167"/>
      <c r="B883" s="166"/>
      <c r="C883" s="166"/>
      <c r="D883" s="166"/>
    </row>
    <row r="884" spans="1:4" x14ac:dyDescent="0.25">
      <c r="A884" s="167"/>
      <c r="B884" s="166"/>
      <c r="C884" s="166"/>
      <c r="D884" s="166"/>
    </row>
    <row r="885" spans="1:4" x14ac:dyDescent="0.25">
      <c r="A885" s="167"/>
      <c r="B885" s="166"/>
      <c r="C885" s="166"/>
      <c r="D885" s="166"/>
    </row>
    <row r="886" spans="1:4" x14ac:dyDescent="0.25">
      <c r="A886" s="167"/>
      <c r="B886" s="166"/>
      <c r="C886" s="166"/>
      <c r="D886" s="166"/>
    </row>
    <row r="887" spans="1:4" x14ac:dyDescent="0.25">
      <c r="A887" s="167"/>
      <c r="B887" s="166"/>
      <c r="C887" s="166"/>
      <c r="D887" s="166"/>
    </row>
    <row r="888" spans="1:4" x14ac:dyDescent="0.25">
      <c r="A888" s="167"/>
      <c r="B888" s="166"/>
      <c r="C888" s="166"/>
      <c r="D888" s="166"/>
    </row>
    <row r="889" spans="1:4" x14ac:dyDescent="0.25">
      <c r="A889" s="167"/>
      <c r="B889" s="166"/>
      <c r="C889" s="166"/>
      <c r="D889" s="166"/>
    </row>
    <row r="890" spans="1:4" x14ac:dyDescent="0.25">
      <c r="A890" s="167"/>
      <c r="B890" s="166"/>
      <c r="C890" s="166"/>
      <c r="D890" s="166"/>
    </row>
    <row r="891" spans="1:4" x14ac:dyDescent="0.25">
      <c r="A891" s="167"/>
      <c r="B891" s="166"/>
      <c r="C891" s="166"/>
      <c r="D891" s="166"/>
    </row>
    <row r="892" spans="1:4" x14ac:dyDescent="0.25">
      <c r="A892" s="167"/>
      <c r="B892" s="166"/>
      <c r="C892" s="166"/>
      <c r="D892" s="166"/>
    </row>
    <row r="893" spans="1:4" x14ac:dyDescent="0.25">
      <c r="A893" s="167"/>
      <c r="B893" s="166"/>
      <c r="C893" s="166"/>
      <c r="D893" s="166"/>
    </row>
    <row r="894" spans="1:4" x14ac:dyDescent="0.25">
      <c r="A894" s="167"/>
      <c r="B894" s="166"/>
      <c r="C894" s="166"/>
      <c r="D894" s="166"/>
    </row>
    <row r="895" spans="1:4" x14ac:dyDescent="0.25">
      <c r="A895" s="167"/>
      <c r="B895" s="166"/>
      <c r="C895" s="166"/>
      <c r="D895" s="166"/>
    </row>
    <row r="896" spans="1:4" x14ac:dyDescent="0.25">
      <c r="A896" s="167"/>
      <c r="B896" s="166"/>
      <c r="C896" s="166"/>
      <c r="D896" s="166"/>
    </row>
    <row r="897" spans="1:4" x14ac:dyDescent="0.25">
      <c r="A897" s="167"/>
      <c r="B897" s="166"/>
      <c r="C897" s="166"/>
      <c r="D897" s="166"/>
    </row>
    <row r="898" spans="1:4" x14ac:dyDescent="0.25">
      <c r="A898" s="167"/>
      <c r="B898" s="166"/>
      <c r="C898" s="166"/>
      <c r="D898" s="166"/>
    </row>
    <row r="899" spans="1:4" x14ac:dyDescent="0.25">
      <c r="A899" s="167"/>
      <c r="B899" s="166"/>
      <c r="C899" s="166"/>
      <c r="D899" s="166"/>
    </row>
    <row r="900" spans="1:4" x14ac:dyDescent="0.25">
      <c r="A900" s="167"/>
      <c r="B900" s="166"/>
      <c r="C900" s="166"/>
      <c r="D900" s="166"/>
    </row>
    <row r="901" spans="1:4" x14ac:dyDescent="0.25">
      <c r="A901" s="167"/>
      <c r="B901" s="166"/>
      <c r="C901" s="166"/>
      <c r="D901" s="166"/>
    </row>
    <row r="902" spans="1:4" x14ac:dyDescent="0.25">
      <c r="A902" s="167"/>
      <c r="B902" s="166"/>
      <c r="C902" s="166"/>
      <c r="D902" s="166"/>
    </row>
    <row r="903" spans="1:4" x14ac:dyDescent="0.25">
      <c r="A903" s="167"/>
      <c r="B903" s="166"/>
      <c r="C903" s="166"/>
      <c r="D903" s="166"/>
    </row>
    <row r="904" spans="1:4" x14ac:dyDescent="0.25">
      <c r="A904" s="167"/>
      <c r="B904" s="166"/>
      <c r="C904" s="166"/>
      <c r="D904" s="166"/>
    </row>
    <row r="905" spans="1:4" x14ac:dyDescent="0.25">
      <c r="A905" s="167"/>
      <c r="B905" s="166"/>
      <c r="C905" s="166"/>
      <c r="D905" s="166"/>
    </row>
    <row r="906" spans="1:4" x14ac:dyDescent="0.25">
      <c r="A906" s="167"/>
      <c r="B906" s="166"/>
      <c r="C906" s="166"/>
      <c r="D906" s="166"/>
    </row>
    <row r="907" spans="1:4" x14ac:dyDescent="0.25">
      <c r="A907" s="167"/>
      <c r="B907" s="166"/>
      <c r="C907" s="166"/>
      <c r="D907" s="166"/>
    </row>
    <row r="908" spans="1:4" x14ac:dyDescent="0.25">
      <c r="A908" s="167"/>
      <c r="B908" s="166"/>
      <c r="C908" s="166"/>
      <c r="D908" s="166"/>
    </row>
    <row r="909" spans="1:4" x14ac:dyDescent="0.25">
      <c r="A909" s="167"/>
      <c r="B909" s="166"/>
      <c r="C909" s="166"/>
      <c r="D909" s="166"/>
    </row>
    <row r="910" spans="1:4" x14ac:dyDescent="0.25">
      <c r="A910" s="167"/>
      <c r="B910" s="166"/>
      <c r="C910" s="166"/>
      <c r="D910" s="166"/>
    </row>
    <row r="911" spans="1:4" x14ac:dyDescent="0.25">
      <c r="A911" s="167"/>
      <c r="B911" s="166"/>
      <c r="C911" s="166"/>
      <c r="D911" s="166"/>
    </row>
    <row r="912" spans="1:4" x14ac:dyDescent="0.25">
      <c r="A912" s="167"/>
      <c r="B912" s="166"/>
      <c r="C912" s="166"/>
      <c r="D912" s="166"/>
    </row>
    <row r="913" spans="1:4" x14ac:dyDescent="0.25">
      <c r="A913" s="167"/>
      <c r="B913" s="166"/>
      <c r="C913" s="166"/>
      <c r="D913" s="166"/>
    </row>
    <row r="914" spans="1:4" x14ac:dyDescent="0.25">
      <c r="A914" s="167"/>
      <c r="B914" s="166"/>
      <c r="C914" s="166"/>
      <c r="D914" s="166"/>
    </row>
    <row r="915" spans="1:4" x14ac:dyDescent="0.25">
      <c r="A915" s="167"/>
      <c r="B915" s="166"/>
      <c r="C915" s="166"/>
      <c r="D915" s="166"/>
    </row>
    <row r="916" spans="1:4" x14ac:dyDescent="0.25">
      <c r="A916" s="167"/>
      <c r="B916" s="166"/>
      <c r="C916" s="166"/>
      <c r="D916" s="166"/>
    </row>
    <row r="917" spans="1:4" x14ac:dyDescent="0.25">
      <c r="A917" s="167"/>
      <c r="B917" s="166"/>
      <c r="C917" s="166"/>
      <c r="D917" s="166"/>
    </row>
    <row r="918" spans="1:4" x14ac:dyDescent="0.25">
      <c r="A918" s="167"/>
      <c r="B918" s="166"/>
      <c r="C918" s="166"/>
      <c r="D918" s="166"/>
    </row>
    <row r="919" spans="1:4" x14ac:dyDescent="0.25">
      <c r="A919" s="167"/>
      <c r="B919" s="166"/>
      <c r="C919" s="166"/>
      <c r="D919" s="166"/>
    </row>
    <row r="920" spans="1:4" x14ac:dyDescent="0.25">
      <c r="A920" s="167"/>
      <c r="B920" s="166"/>
      <c r="C920" s="166"/>
      <c r="D920" s="166"/>
    </row>
    <row r="921" spans="1:4" x14ac:dyDescent="0.25">
      <c r="A921" s="167"/>
      <c r="B921" s="166"/>
      <c r="C921" s="166"/>
      <c r="D921" s="166"/>
    </row>
    <row r="922" spans="1:4" x14ac:dyDescent="0.25">
      <c r="A922" s="167"/>
      <c r="B922" s="166"/>
      <c r="C922" s="166"/>
      <c r="D922" s="166"/>
    </row>
    <row r="923" spans="1:4" x14ac:dyDescent="0.25">
      <c r="A923" s="167"/>
      <c r="B923" s="166"/>
      <c r="C923" s="166"/>
      <c r="D923" s="166"/>
    </row>
    <row r="924" spans="1:4" x14ac:dyDescent="0.25">
      <c r="A924" s="167"/>
      <c r="B924" s="166"/>
      <c r="C924" s="166"/>
      <c r="D924" s="166"/>
    </row>
    <row r="925" spans="1:4" x14ac:dyDescent="0.25">
      <c r="A925" s="167"/>
      <c r="B925" s="166"/>
      <c r="C925" s="166"/>
      <c r="D925" s="166"/>
    </row>
    <row r="926" spans="1:4" x14ac:dyDescent="0.25">
      <c r="A926" s="167"/>
      <c r="B926" s="166"/>
      <c r="C926" s="166"/>
      <c r="D926" s="166"/>
    </row>
    <row r="927" spans="1:4" x14ac:dyDescent="0.25">
      <c r="A927" s="167"/>
      <c r="B927" s="166"/>
      <c r="C927" s="166"/>
      <c r="D927" s="166"/>
    </row>
    <row r="928" spans="1:4" x14ac:dyDescent="0.25">
      <c r="A928" s="167"/>
      <c r="B928" s="166"/>
      <c r="C928" s="166"/>
      <c r="D928" s="166"/>
    </row>
    <row r="929" spans="1:4" x14ac:dyDescent="0.25">
      <c r="A929" s="167"/>
      <c r="B929" s="166"/>
      <c r="C929" s="166"/>
      <c r="D929" s="166"/>
    </row>
    <row r="930" spans="1:4" x14ac:dyDescent="0.25">
      <c r="A930" s="167"/>
      <c r="B930" s="166"/>
      <c r="C930" s="166"/>
      <c r="D930" s="166"/>
    </row>
    <row r="931" spans="1:4" x14ac:dyDescent="0.25">
      <c r="A931" s="167"/>
      <c r="B931" s="166"/>
      <c r="C931" s="166"/>
      <c r="D931" s="166"/>
    </row>
    <row r="932" spans="1:4" x14ac:dyDescent="0.25">
      <c r="A932" s="167"/>
      <c r="B932" s="166"/>
      <c r="C932" s="166"/>
      <c r="D932" s="166"/>
    </row>
    <row r="933" spans="1:4" x14ac:dyDescent="0.25">
      <c r="A933" s="167"/>
      <c r="B933" s="166"/>
      <c r="C933" s="166"/>
      <c r="D933" s="166"/>
    </row>
    <row r="934" spans="1:4" x14ac:dyDescent="0.25">
      <c r="A934" s="167"/>
      <c r="B934" s="166"/>
      <c r="C934" s="166"/>
      <c r="D934" s="166"/>
    </row>
    <row r="935" spans="1:4" x14ac:dyDescent="0.25">
      <c r="A935" s="167"/>
      <c r="B935" s="166"/>
      <c r="C935" s="166"/>
      <c r="D935" s="166"/>
    </row>
    <row r="936" spans="1:4" x14ac:dyDescent="0.25">
      <c r="A936" s="167"/>
      <c r="B936" s="166"/>
      <c r="C936" s="166"/>
      <c r="D936" s="166"/>
    </row>
    <row r="937" spans="1:4" x14ac:dyDescent="0.25">
      <c r="A937" s="167"/>
      <c r="B937" s="166"/>
      <c r="C937" s="166"/>
      <c r="D937" s="166"/>
    </row>
    <row r="938" spans="1:4" x14ac:dyDescent="0.25">
      <c r="A938" s="167"/>
      <c r="B938" s="166"/>
      <c r="C938" s="166"/>
      <c r="D938" s="166"/>
    </row>
    <row r="939" spans="1:4" x14ac:dyDescent="0.25">
      <c r="A939" s="167"/>
      <c r="B939" s="166"/>
      <c r="C939" s="166"/>
      <c r="D939" s="166"/>
    </row>
    <row r="940" spans="1:4" x14ac:dyDescent="0.25">
      <c r="A940" s="167"/>
      <c r="B940" s="166"/>
      <c r="C940" s="166"/>
      <c r="D940" s="166"/>
    </row>
    <row r="941" spans="1:4" x14ac:dyDescent="0.25">
      <c r="A941" s="167"/>
      <c r="B941" s="166"/>
      <c r="C941" s="166"/>
      <c r="D941" s="166"/>
    </row>
    <row r="942" spans="1:4" x14ac:dyDescent="0.25">
      <c r="A942" s="167"/>
      <c r="B942" s="166"/>
      <c r="C942" s="166"/>
      <c r="D942" s="166"/>
    </row>
    <row r="943" spans="1:4" x14ac:dyDescent="0.25">
      <c r="A943" s="167"/>
      <c r="B943" s="166"/>
      <c r="C943" s="166"/>
      <c r="D943" s="166"/>
    </row>
    <row r="944" spans="1:4" x14ac:dyDescent="0.25">
      <c r="A944" s="167"/>
      <c r="B944" s="166"/>
      <c r="C944" s="166"/>
      <c r="D944" s="166"/>
    </row>
    <row r="945" spans="1:4" x14ac:dyDescent="0.25">
      <c r="A945" s="167"/>
      <c r="B945" s="166"/>
      <c r="C945" s="166"/>
      <c r="D945" s="166"/>
    </row>
    <row r="946" spans="1:4" x14ac:dyDescent="0.25">
      <c r="A946" s="167"/>
      <c r="B946" s="166"/>
      <c r="C946" s="166"/>
      <c r="D946" s="166"/>
    </row>
    <row r="947" spans="1:4" x14ac:dyDescent="0.25">
      <c r="A947" s="167"/>
      <c r="B947" s="166"/>
      <c r="C947" s="166"/>
      <c r="D947" s="166"/>
    </row>
    <row r="948" spans="1:4" x14ac:dyDescent="0.25">
      <c r="A948" s="167"/>
      <c r="B948" s="166"/>
      <c r="C948" s="166"/>
      <c r="D948" s="166"/>
    </row>
    <row r="949" spans="1:4" x14ac:dyDescent="0.25">
      <c r="A949" s="167"/>
      <c r="B949" s="166"/>
      <c r="C949" s="166"/>
      <c r="D949" s="166"/>
    </row>
    <row r="950" spans="1:4" x14ac:dyDescent="0.25">
      <c r="A950" s="167"/>
      <c r="B950" s="166"/>
      <c r="C950" s="166"/>
      <c r="D950" s="166"/>
    </row>
    <row r="951" spans="1:4" x14ac:dyDescent="0.25">
      <c r="A951" s="167"/>
      <c r="B951" s="166"/>
      <c r="C951" s="166"/>
      <c r="D951" s="166"/>
    </row>
    <row r="952" spans="1:4" x14ac:dyDescent="0.25">
      <c r="A952" s="167"/>
      <c r="B952" s="166"/>
      <c r="C952" s="166"/>
      <c r="D952" s="166"/>
    </row>
    <row r="953" spans="1:4" x14ac:dyDescent="0.25">
      <c r="A953" s="167"/>
      <c r="B953" s="166"/>
      <c r="C953" s="166"/>
      <c r="D953" s="166"/>
    </row>
    <row r="954" spans="1:4" x14ac:dyDescent="0.25">
      <c r="A954" s="167"/>
      <c r="B954" s="166"/>
      <c r="C954" s="166"/>
      <c r="D954" s="166"/>
    </row>
    <row r="955" spans="1:4" x14ac:dyDescent="0.25">
      <c r="A955" s="167"/>
      <c r="B955" s="166"/>
      <c r="C955" s="166"/>
      <c r="D955" s="166"/>
    </row>
    <row r="956" spans="1:4" x14ac:dyDescent="0.25">
      <c r="A956" s="167"/>
      <c r="B956" s="166"/>
      <c r="C956" s="166"/>
      <c r="D956" s="166"/>
    </row>
    <row r="957" spans="1:4" x14ac:dyDescent="0.25">
      <c r="A957" s="167"/>
      <c r="B957" s="166"/>
      <c r="C957" s="166"/>
      <c r="D957" s="166"/>
    </row>
    <row r="958" spans="1:4" x14ac:dyDescent="0.25">
      <c r="A958" s="167"/>
      <c r="B958" s="166"/>
      <c r="C958" s="166"/>
      <c r="D958" s="166"/>
    </row>
    <row r="959" spans="1:4" x14ac:dyDescent="0.25">
      <c r="A959" s="167"/>
      <c r="B959" s="166"/>
      <c r="C959" s="166"/>
      <c r="D959" s="166"/>
    </row>
    <row r="960" spans="1:4" x14ac:dyDescent="0.25">
      <c r="A960" s="167"/>
      <c r="B960" s="166"/>
      <c r="C960" s="166"/>
      <c r="D960" s="166"/>
    </row>
    <row r="961" spans="1:4" x14ac:dyDescent="0.25">
      <c r="A961" s="167"/>
      <c r="B961" s="166"/>
      <c r="C961" s="166"/>
      <c r="D961" s="166"/>
    </row>
    <row r="962" spans="1:4" x14ac:dyDescent="0.25">
      <c r="A962" s="167"/>
      <c r="B962" s="166"/>
      <c r="C962" s="166"/>
      <c r="D962" s="166"/>
    </row>
    <row r="963" spans="1:4" x14ac:dyDescent="0.25">
      <c r="A963" s="167"/>
      <c r="B963" s="166"/>
      <c r="C963" s="166"/>
      <c r="D963" s="166"/>
    </row>
    <row r="964" spans="1:4" x14ac:dyDescent="0.25">
      <c r="A964" s="167"/>
      <c r="B964" s="166"/>
      <c r="C964" s="166"/>
      <c r="D964" s="166"/>
    </row>
    <row r="965" spans="1:4" x14ac:dyDescent="0.25">
      <c r="A965" s="167"/>
      <c r="B965" s="166"/>
      <c r="C965" s="166"/>
      <c r="D965" s="166"/>
    </row>
    <row r="966" spans="1:4" x14ac:dyDescent="0.25">
      <c r="A966" s="167"/>
      <c r="B966" s="166"/>
      <c r="C966" s="166"/>
      <c r="D966" s="166"/>
    </row>
    <row r="967" spans="1:4" x14ac:dyDescent="0.25">
      <c r="A967" s="167"/>
      <c r="B967" s="166"/>
      <c r="C967" s="166"/>
      <c r="D967" s="166"/>
    </row>
    <row r="968" spans="1:4" x14ac:dyDescent="0.25">
      <c r="A968" s="167"/>
      <c r="B968" s="166"/>
      <c r="C968" s="166"/>
      <c r="D968" s="166"/>
    </row>
    <row r="969" spans="1:4" x14ac:dyDescent="0.25">
      <c r="A969" s="167"/>
      <c r="B969" s="166"/>
      <c r="C969" s="166"/>
      <c r="D969" s="166"/>
    </row>
    <row r="970" spans="1:4" x14ac:dyDescent="0.25">
      <c r="A970" s="167"/>
      <c r="B970" s="166"/>
      <c r="C970" s="166"/>
      <c r="D970" s="166"/>
    </row>
    <row r="971" spans="1:4" x14ac:dyDescent="0.25">
      <c r="A971" s="167"/>
      <c r="B971" s="166"/>
      <c r="C971" s="166"/>
      <c r="D971" s="166"/>
    </row>
    <row r="972" spans="1:4" x14ac:dyDescent="0.25">
      <c r="A972" s="167"/>
      <c r="B972" s="166"/>
      <c r="C972" s="166"/>
      <c r="D972" s="166"/>
    </row>
    <row r="973" spans="1:4" x14ac:dyDescent="0.25">
      <c r="A973" s="167"/>
      <c r="B973" s="166"/>
      <c r="C973" s="166"/>
      <c r="D973" s="166"/>
    </row>
    <row r="974" spans="1:4" x14ac:dyDescent="0.25">
      <c r="A974" s="167"/>
      <c r="B974" s="166"/>
      <c r="C974" s="166"/>
      <c r="D974" s="166"/>
    </row>
    <row r="975" spans="1:4" x14ac:dyDescent="0.25">
      <c r="A975" s="167"/>
      <c r="B975" s="166"/>
      <c r="C975" s="166"/>
      <c r="D975" s="166"/>
    </row>
    <row r="976" spans="1:4" x14ac:dyDescent="0.25">
      <c r="A976" s="167"/>
      <c r="B976" s="166"/>
      <c r="C976" s="166"/>
      <c r="D976" s="166"/>
    </row>
    <row r="977" spans="1:4" x14ac:dyDescent="0.25">
      <c r="A977" s="167"/>
      <c r="B977" s="166"/>
      <c r="C977" s="166"/>
      <c r="D977" s="166"/>
    </row>
    <row r="978" spans="1:4" x14ac:dyDescent="0.25">
      <c r="A978" s="167"/>
      <c r="B978" s="166"/>
      <c r="C978" s="166"/>
      <c r="D978" s="166"/>
    </row>
    <row r="979" spans="1:4" x14ac:dyDescent="0.25">
      <c r="A979" s="167"/>
      <c r="B979" s="166"/>
      <c r="C979" s="166"/>
      <c r="D979" s="166"/>
    </row>
    <row r="980" spans="1:4" x14ac:dyDescent="0.25">
      <c r="A980" s="167"/>
      <c r="B980" s="166"/>
      <c r="C980" s="166"/>
      <c r="D980" s="166"/>
    </row>
    <row r="981" spans="1:4" x14ac:dyDescent="0.25">
      <c r="A981" s="167"/>
      <c r="B981" s="166"/>
      <c r="C981" s="166"/>
      <c r="D981" s="166"/>
    </row>
    <row r="982" spans="1:4" x14ac:dyDescent="0.25">
      <c r="A982" s="167"/>
      <c r="B982" s="166"/>
      <c r="C982" s="166"/>
      <c r="D982" s="166"/>
    </row>
    <row r="983" spans="1:4" x14ac:dyDescent="0.25">
      <c r="A983" s="167"/>
      <c r="B983" s="166"/>
      <c r="C983" s="166"/>
      <c r="D983" s="166"/>
    </row>
    <row r="984" spans="1:4" x14ac:dyDescent="0.25">
      <c r="A984" s="167"/>
      <c r="B984" s="166"/>
      <c r="C984" s="166"/>
      <c r="D984" s="166"/>
    </row>
    <row r="985" spans="1:4" x14ac:dyDescent="0.25">
      <c r="A985" s="167"/>
      <c r="B985" s="166"/>
      <c r="C985" s="166"/>
      <c r="D985" s="166"/>
    </row>
    <row r="986" spans="1:4" x14ac:dyDescent="0.25">
      <c r="A986" s="167"/>
      <c r="B986" s="166"/>
      <c r="C986" s="166"/>
      <c r="D986" s="166"/>
    </row>
    <row r="987" spans="1:4" x14ac:dyDescent="0.25">
      <c r="A987" s="167"/>
      <c r="B987" s="166"/>
      <c r="C987" s="166"/>
      <c r="D987" s="166"/>
    </row>
    <row r="988" spans="1:4" x14ac:dyDescent="0.25">
      <c r="A988" s="167"/>
      <c r="B988" s="166"/>
      <c r="C988" s="166"/>
      <c r="D988" s="166"/>
    </row>
    <row r="989" spans="1:4" x14ac:dyDescent="0.25">
      <c r="A989" s="167"/>
      <c r="B989" s="166"/>
      <c r="C989" s="166"/>
      <c r="D989" s="166"/>
    </row>
    <row r="990" spans="1:4" x14ac:dyDescent="0.25">
      <c r="A990" s="167"/>
      <c r="B990" s="166"/>
      <c r="C990" s="166"/>
      <c r="D990" s="166"/>
    </row>
    <row r="991" spans="1:4" x14ac:dyDescent="0.25">
      <c r="A991" s="167"/>
      <c r="B991" s="166"/>
      <c r="C991" s="166"/>
      <c r="D991" s="166"/>
    </row>
    <row r="992" spans="1:4" x14ac:dyDescent="0.25">
      <c r="A992" s="167"/>
      <c r="B992" s="166"/>
      <c r="C992" s="166"/>
      <c r="D992" s="166"/>
    </row>
    <row r="993" spans="1:4" x14ac:dyDescent="0.25">
      <c r="A993" s="167"/>
      <c r="B993" s="166"/>
      <c r="C993" s="166"/>
      <c r="D993" s="166"/>
    </row>
    <row r="994" spans="1:4" x14ac:dyDescent="0.25">
      <c r="A994" s="167"/>
      <c r="B994" s="166"/>
      <c r="C994" s="166"/>
      <c r="D994" s="166"/>
    </row>
    <row r="995" spans="1:4" x14ac:dyDescent="0.25">
      <c r="A995" s="167"/>
      <c r="B995" s="166"/>
      <c r="C995" s="166"/>
      <c r="D995" s="166"/>
    </row>
    <row r="996" spans="1:4" x14ac:dyDescent="0.25">
      <c r="A996" s="167"/>
      <c r="B996" s="166"/>
      <c r="C996" s="166"/>
      <c r="D996" s="166"/>
    </row>
    <row r="997" spans="1:4" x14ac:dyDescent="0.25">
      <c r="A997" s="167"/>
      <c r="B997" s="166"/>
      <c r="C997" s="166"/>
      <c r="D997" s="166"/>
    </row>
    <row r="998" spans="1:4" x14ac:dyDescent="0.25">
      <c r="A998" s="167"/>
      <c r="B998" s="166"/>
      <c r="C998" s="166"/>
      <c r="D998" s="166"/>
    </row>
    <row r="999" spans="1:4" x14ac:dyDescent="0.25">
      <c r="A999" s="167"/>
      <c r="B999" s="166"/>
      <c r="C999" s="166"/>
      <c r="D999" s="166"/>
    </row>
    <row r="1000" spans="1:4" x14ac:dyDescent="0.25">
      <c r="A1000" s="167"/>
      <c r="B1000" s="166"/>
      <c r="C1000" s="166"/>
      <c r="D1000" s="166"/>
    </row>
    <row r="1001" spans="1:4" x14ac:dyDescent="0.25">
      <c r="A1001" s="167"/>
      <c r="B1001" s="166"/>
      <c r="C1001" s="166"/>
      <c r="D1001" s="166"/>
    </row>
    <row r="1002" spans="1:4" x14ac:dyDescent="0.25">
      <c r="A1002" s="167"/>
      <c r="B1002" s="166"/>
      <c r="C1002" s="166"/>
      <c r="D1002" s="166"/>
    </row>
    <row r="1003" spans="1:4" x14ac:dyDescent="0.25">
      <c r="A1003" s="167"/>
      <c r="B1003" s="166"/>
      <c r="C1003" s="166"/>
      <c r="D1003" s="166"/>
    </row>
    <row r="1004" spans="1:4" x14ac:dyDescent="0.25">
      <c r="A1004" s="167"/>
      <c r="B1004" s="166"/>
      <c r="C1004" s="166"/>
      <c r="D1004" s="166"/>
    </row>
    <row r="1005" spans="1:4" x14ac:dyDescent="0.25">
      <c r="A1005" s="167"/>
      <c r="B1005" s="166"/>
      <c r="C1005" s="166"/>
      <c r="D1005" s="166"/>
    </row>
    <row r="1006" spans="1:4" x14ac:dyDescent="0.25">
      <c r="A1006" s="167"/>
      <c r="B1006" s="166"/>
      <c r="C1006" s="166"/>
      <c r="D1006" s="166"/>
    </row>
    <row r="1007" spans="1:4" x14ac:dyDescent="0.25">
      <c r="A1007" s="167"/>
      <c r="B1007" s="166"/>
      <c r="C1007" s="166"/>
      <c r="D1007" s="166"/>
    </row>
    <row r="1008" spans="1:4" x14ac:dyDescent="0.25">
      <c r="A1008" s="167"/>
      <c r="B1008" s="166"/>
      <c r="C1008" s="166"/>
      <c r="D1008" s="166"/>
    </row>
    <row r="1009" spans="1:4" x14ac:dyDescent="0.25">
      <c r="A1009" s="167"/>
      <c r="B1009" s="166"/>
      <c r="C1009" s="166"/>
      <c r="D1009" s="166"/>
    </row>
    <row r="1010" spans="1:4" x14ac:dyDescent="0.25">
      <c r="A1010" s="167"/>
      <c r="B1010" s="166"/>
      <c r="C1010" s="166"/>
      <c r="D1010" s="166"/>
    </row>
    <row r="1011" spans="1:4" x14ac:dyDescent="0.25">
      <c r="A1011" s="167"/>
      <c r="B1011" s="166"/>
      <c r="C1011" s="166"/>
      <c r="D1011" s="166"/>
    </row>
    <row r="1012" spans="1:4" x14ac:dyDescent="0.25">
      <c r="A1012" s="167"/>
      <c r="B1012" s="166"/>
      <c r="C1012" s="166"/>
      <c r="D1012" s="166"/>
    </row>
    <row r="1013" spans="1:4" x14ac:dyDescent="0.25">
      <c r="A1013" s="167"/>
      <c r="B1013" s="166"/>
      <c r="C1013" s="166"/>
      <c r="D1013" s="166"/>
    </row>
    <row r="1014" spans="1:4" x14ac:dyDescent="0.25">
      <c r="A1014" s="167"/>
      <c r="B1014" s="166"/>
      <c r="C1014" s="166"/>
      <c r="D1014" s="166"/>
    </row>
    <row r="1015" spans="1:4" x14ac:dyDescent="0.25">
      <c r="A1015" s="167"/>
      <c r="B1015" s="166"/>
      <c r="C1015" s="166"/>
      <c r="D1015" s="166"/>
    </row>
    <row r="1016" spans="1:4" x14ac:dyDescent="0.25">
      <c r="A1016" s="167"/>
      <c r="B1016" s="166"/>
      <c r="C1016" s="166"/>
      <c r="D1016" s="166"/>
    </row>
    <row r="1017" spans="1:4" x14ac:dyDescent="0.25">
      <c r="A1017" s="167"/>
      <c r="B1017" s="166"/>
      <c r="C1017" s="166"/>
      <c r="D1017" s="166"/>
    </row>
    <row r="1018" spans="1:4" x14ac:dyDescent="0.25">
      <c r="A1018" s="167"/>
      <c r="B1018" s="166"/>
      <c r="C1018" s="166"/>
      <c r="D1018" s="166"/>
    </row>
    <row r="1019" spans="1:4" x14ac:dyDescent="0.25">
      <c r="A1019" s="167"/>
      <c r="B1019" s="166"/>
      <c r="C1019" s="166"/>
      <c r="D1019" s="166"/>
    </row>
    <row r="1020" spans="1:4" x14ac:dyDescent="0.25">
      <c r="A1020" s="167"/>
      <c r="B1020" s="166"/>
      <c r="C1020" s="166"/>
      <c r="D1020" s="166"/>
    </row>
    <row r="1021" spans="1:4" x14ac:dyDescent="0.25">
      <c r="A1021" s="167"/>
      <c r="B1021" s="166"/>
      <c r="C1021" s="166"/>
      <c r="D1021" s="166"/>
    </row>
    <row r="1022" spans="1:4" x14ac:dyDescent="0.25">
      <c r="A1022" s="167"/>
      <c r="B1022" s="166"/>
      <c r="C1022" s="166"/>
      <c r="D1022" s="166"/>
    </row>
    <row r="1023" spans="1:4" x14ac:dyDescent="0.25">
      <c r="A1023" s="167"/>
      <c r="B1023" s="166"/>
      <c r="C1023" s="166"/>
      <c r="D1023" s="166"/>
    </row>
    <row r="1024" spans="1:4" x14ac:dyDescent="0.25">
      <c r="A1024" s="167"/>
      <c r="B1024" s="166"/>
      <c r="C1024" s="166"/>
      <c r="D1024" s="166"/>
    </row>
    <row r="1025" spans="1:4" x14ac:dyDescent="0.25">
      <c r="A1025" s="167"/>
      <c r="B1025" s="166"/>
      <c r="C1025" s="166"/>
      <c r="D1025" s="166"/>
    </row>
    <row r="1026" spans="1:4" x14ac:dyDescent="0.25">
      <c r="A1026" s="167"/>
      <c r="B1026" s="166"/>
      <c r="C1026" s="166"/>
      <c r="D1026" s="166"/>
    </row>
    <row r="1027" spans="1:4" x14ac:dyDescent="0.25">
      <c r="A1027" s="167"/>
      <c r="B1027" s="166"/>
      <c r="C1027" s="166"/>
      <c r="D1027" s="166"/>
    </row>
    <row r="1028" spans="1:4" x14ac:dyDescent="0.25">
      <c r="A1028" s="167"/>
      <c r="B1028" s="166"/>
      <c r="C1028" s="166"/>
      <c r="D1028" s="166"/>
    </row>
    <row r="1029" spans="1:4" x14ac:dyDescent="0.25">
      <c r="A1029" s="167"/>
      <c r="B1029" s="166"/>
      <c r="C1029" s="166"/>
      <c r="D1029" s="166"/>
    </row>
    <row r="1030" spans="1:4" x14ac:dyDescent="0.25">
      <c r="A1030" s="167"/>
      <c r="B1030" s="166"/>
      <c r="C1030" s="166"/>
      <c r="D1030" s="166"/>
    </row>
    <row r="1031" spans="1:4" x14ac:dyDescent="0.25">
      <c r="A1031" s="167"/>
      <c r="B1031" s="166"/>
      <c r="C1031" s="166"/>
      <c r="D1031" s="166"/>
    </row>
    <row r="1032" spans="1:4" x14ac:dyDescent="0.25">
      <c r="A1032" s="167"/>
      <c r="B1032" s="166"/>
      <c r="C1032" s="166"/>
      <c r="D1032" s="166"/>
    </row>
    <row r="1033" spans="1:4" x14ac:dyDescent="0.25">
      <c r="A1033" s="167"/>
      <c r="B1033" s="166"/>
      <c r="C1033" s="166"/>
      <c r="D1033" s="166"/>
    </row>
    <row r="1034" spans="1:4" x14ac:dyDescent="0.25">
      <c r="A1034" s="167"/>
      <c r="B1034" s="166"/>
      <c r="C1034" s="166"/>
      <c r="D1034" s="166"/>
    </row>
    <row r="1035" spans="1:4" x14ac:dyDescent="0.25">
      <c r="A1035" s="167"/>
      <c r="B1035" s="166"/>
      <c r="C1035" s="166"/>
      <c r="D1035" s="166"/>
    </row>
    <row r="1036" spans="1:4" x14ac:dyDescent="0.25">
      <c r="A1036" s="167"/>
      <c r="B1036" s="166"/>
      <c r="C1036" s="166"/>
      <c r="D1036" s="166"/>
    </row>
    <row r="1037" spans="1:4" x14ac:dyDescent="0.25">
      <c r="A1037" s="167"/>
      <c r="B1037" s="166"/>
      <c r="C1037" s="166"/>
      <c r="D1037" s="166"/>
    </row>
    <row r="1038" spans="1:4" x14ac:dyDescent="0.25">
      <c r="A1038" s="167"/>
      <c r="B1038" s="166"/>
      <c r="C1038" s="166"/>
      <c r="D1038" s="166"/>
    </row>
    <row r="1039" spans="1:4" x14ac:dyDescent="0.25">
      <c r="A1039" s="167"/>
      <c r="B1039" s="166"/>
      <c r="C1039" s="166"/>
      <c r="D1039" s="166"/>
    </row>
    <row r="1040" spans="1:4" x14ac:dyDescent="0.25">
      <c r="A1040" s="167"/>
      <c r="B1040" s="166"/>
      <c r="C1040" s="166"/>
      <c r="D1040" s="166"/>
    </row>
    <row r="1041" spans="1:4" x14ac:dyDescent="0.25">
      <c r="A1041" s="167"/>
      <c r="B1041" s="166"/>
      <c r="C1041" s="166"/>
      <c r="D1041" s="166"/>
    </row>
    <row r="1042" spans="1:4" x14ac:dyDescent="0.25">
      <c r="A1042" s="167"/>
      <c r="B1042" s="166"/>
      <c r="C1042" s="166"/>
      <c r="D1042" s="166"/>
    </row>
    <row r="1043" spans="1:4" x14ac:dyDescent="0.25">
      <c r="A1043" s="167"/>
      <c r="B1043" s="166"/>
      <c r="C1043" s="166"/>
      <c r="D1043" s="166"/>
    </row>
    <row r="1044" spans="1:4" x14ac:dyDescent="0.25">
      <c r="A1044" s="167"/>
      <c r="B1044" s="166"/>
      <c r="C1044" s="166"/>
      <c r="D1044" s="166"/>
    </row>
    <row r="1045" spans="1:4" x14ac:dyDescent="0.25">
      <c r="A1045" s="167"/>
      <c r="B1045" s="166"/>
      <c r="C1045" s="166"/>
      <c r="D1045" s="166"/>
    </row>
    <row r="1046" spans="1:4" x14ac:dyDescent="0.25">
      <c r="A1046" s="167"/>
      <c r="B1046" s="166"/>
      <c r="C1046" s="166"/>
      <c r="D1046" s="166"/>
    </row>
    <row r="1047" spans="1:4" x14ac:dyDescent="0.25">
      <c r="A1047" s="167"/>
      <c r="B1047" s="166"/>
      <c r="C1047" s="166"/>
      <c r="D1047" s="166"/>
    </row>
    <row r="1048" spans="1:4" x14ac:dyDescent="0.25">
      <c r="A1048" s="167"/>
      <c r="B1048" s="166"/>
      <c r="C1048" s="166"/>
      <c r="D1048" s="166"/>
    </row>
    <row r="1049" spans="1:4" x14ac:dyDescent="0.25">
      <c r="A1049" s="167"/>
      <c r="B1049" s="166"/>
      <c r="C1049" s="166"/>
      <c r="D1049" s="166"/>
    </row>
    <row r="1050" spans="1:4" x14ac:dyDescent="0.25">
      <c r="A1050" s="167"/>
      <c r="B1050" s="166"/>
      <c r="C1050" s="166"/>
      <c r="D1050" s="166"/>
    </row>
    <row r="1051" spans="1:4" x14ac:dyDescent="0.25">
      <c r="A1051" s="167"/>
      <c r="B1051" s="166"/>
      <c r="C1051" s="166"/>
      <c r="D1051" s="166"/>
    </row>
    <row r="1052" spans="1:4" x14ac:dyDescent="0.25">
      <c r="A1052" s="167"/>
      <c r="B1052" s="166"/>
      <c r="C1052" s="166"/>
      <c r="D1052" s="166"/>
    </row>
    <row r="1053" spans="1:4" x14ac:dyDescent="0.25">
      <c r="A1053" s="167"/>
      <c r="B1053" s="166"/>
      <c r="C1053" s="166"/>
      <c r="D1053" s="166"/>
    </row>
    <row r="1054" spans="1:4" x14ac:dyDescent="0.25">
      <c r="A1054" s="167"/>
      <c r="B1054" s="166"/>
      <c r="C1054" s="166"/>
      <c r="D1054" s="166"/>
    </row>
    <row r="1055" spans="1:4" x14ac:dyDescent="0.25">
      <c r="A1055" s="167"/>
      <c r="B1055" s="166"/>
      <c r="C1055" s="166"/>
      <c r="D1055" s="166"/>
    </row>
    <row r="1056" spans="1:4" x14ac:dyDescent="0.25">
      <c r="A1056" s="167"/>
      <c r="B1056" s="166"/>
      <c r="C1056" s="166"/>
      <c r="D1056" s="166"/>
    </row>
    <row r="1057" spans="1:4" x14ac:dyDescent="0.25">
      <c r="A1057" s="167"/>
      <c r="B1057" s="166"/>
      <c r="C1057" s="166"/>
      <c r="D1057" s="166"/>
    </row>
    <row r="1058" spans="1:4" x14ac:dyDescent="0.25">
      <c r="A1058" s="167"/>
      <c r="B1058" s="166"/>
      <c r="C1058" s="166"/>
      <c r="D1058" s="166"/>
    </row>
    <row r="1059" spans="1:4" x14ac:dyDescent="0.25">
      <c r="A1059" s="167"/>
      <c r="B1059" s="166"/>
      <c r="C1059" s="166"/>
      <c r="D1059" s="166"/>
    </row>
    <row r="1060" spans="1:4" x14ac:dyDescent="0.25">
      <c r="A1060" s="167"/>
      <c r="B1060" s="166"/>
      <c r="C1060" s="166"/>
      <c r="D1060" s="166"/>
    </row>
    <row r="1061" spans="1:4" x14ac:dyDescent="0.25">
      <c r="A1061" s="167"/>
      <c r="B1061" s="166"/>
      <c r="C1061" s="166"/>
      <c r="D1061" s="166"/>
    </row>
    <row r="1062" spans="1:4" x14ac:dyDescent="0.25">
      <c r="A1062" s="167"/>
      <c r="B1062" s="166"/>
      <c r="C1062" s="166"/>
      <c r="D1062" s="166"/>
    </row>
    <row r="1063" spans="1:4" x14ac:dyDescent="0.25">
      <c r="A1063" s="167"/>
      <c r="B1063" s="166"/>
      <c r="C1063" s="166"/>
      <c r="D1063" s="166"/>
    </row>
    <row r="1064" spans="1:4" x14ac:dyDescent="0.25">
      <c r="A1064" s="167"/>
      <c r="B1064" s="166"/>
      <c r="C1064" s="166"/>
      <c r="D1064" s="166"/>
    </row>
    <row r="1065" spans="1:4" x14ac:dyDescent="0.25">
      <c r="A1065" s="167"/>
      <c r="B1065" s="166"/>
      <c r="C1065" s="166"/>
      <c r="D1065" s="166"/>
    </row>
    <row r="1066" spans="1:4" x14ac:dyDescent="0.25">
      <c r="A1066" s="167"/>
      <c r="B1066" s="166"/>
      <c r="C1066" s="166"/>
      <c r="D1066" s="166"/>
    </row>
    <row r="1067" spans="1:4" x14ac:dyDescent="0.25">
      <c r="A1067" s="167"/>
      <c r="B1067" s="166"/>
      <c r="C1067" s="166"/>
      <c r="D1067" s="166"/>
    </row>
    <row r="1068" spans="1:4" x14ac:dyDescent="0.25">
      <c r="A1068" s="167"/>
      <c r="B1068" s="166"/>
      <c r="C1068" s="166"/>
      <c r="D1068" s="166"/>
    </row>
    <row r="1069" spans="1:4" x14ac:dyDescent="0.25">
      <c r="A1069" s="167"/>
      <c r="B1069" s="166"/>
      <c r="C1069" s="166"/>
      <c r="D1069" s="166"/>
    </row>
    <row r="1070" spans="1:4" x14ac:dyDescent="0.25">
      <c r="A1070" s="167"/>
      <c r="B1070" s="166"/>
      <c r="C1070" s="166"/>
      <c r="D1070" s="166"/>
    </row>
    <row r="1071" spans="1:4" x14ac:dyDescent="0.25">
      <c r="A1071" s="167"/>
      <c r="B1071" s="166"/>
      <c r="C1071" s="166"/>
      <c r="D1071" s="166"/>
    </row>
    <row r="1072" spans="1:4" x14ac:dyDescent="0.25">
      <c r="A1072" s="167"/>
      <c r="B1072" s="166"/>
      <c r="C1072" s="166"/>
      <c r="D1072" s="166"/>
    </row>
    <row r="1073" spans="1:4" x14ac:dyDescent="0.25">
      <c r="A1073" s="167"/>
      <c r="B1073" s="166"/>
      <c r="C1073" s="166"/>
      <c r="D1073" s="166"/>
    </row>
    <row r="1074" spans="1:4" x14ac:dyDescent="0.25">
      <c r="A1074" s="167"/>
      <c r="B1074" s="166"/>
      <c r="C1074" s="166"/>
      <c r="D1074" s="166"/>
    </row>
    <row r="1075" spans="1:4" x14ac:dyDescent="0.25">
      <c r="A1075" s="167"/>
      <c r="B1075" s="166"/>
      <c r="C1075" s="166"/>
      <c r="D1075" s="166"/>
    </row>
    <row r="1076" spans="1:4" x14ac:dyDescent="0.25">
      <c r="A1076" s="167"/>
      <c r="B1076" s="166"/>
      <c r="C1076" s="166"/>
      <c r="D1076" s="166"/>
    </row>
    <row r="1077" spans="1:4" x14ac:dyDescent="0.25">
      <c r="A1077" s="167"/>
      <c r="B1077" s="166"/>
      <c r="C1077" s="166"/>
      <c r="D1077" s="166"/>
    </row>
    <row r="1078" spans="1:4" x14ac:dyDescent="0.25">
      <c r="A1078" s="167"/>
      <c r="B1078" s="166"/>
      <c r="C1078" s="166"/>
      <c r="D1078" s="166"/>
    </row>
    <row r="1079" spans="1:4" x14ac:dyDescent="0.25">
      <c r="A1079" s="167"/>
      <c r="B1079" s="166"/>
      <c r="C1079" s="166"/>
      <c r="D1079" s="166"/>
    </row>
    <row r="1080" spans="1:4" x14ac:dyDescent="0.25">
      <c r="A1080" s="167"/>
      <c r="B1080" s="166"/>
      <c r="C1080" s="166"/>
      <c r="D1080" s="166"/>
    </row>
    <row r="1081" spans="1:4" x14ac:dyDescent="0.25">
      <c r="A1081" s="167"/>
      <c r="B1081" s="166"/>
      <c r="C1081" s="166"/>
      <c r="D1081" s="166"/>
    </row>
    <row r="1082" spans="1:4" x14ac:dyDescent="0.25">
      <c r="A1082" s="167"/>
      <c r="B1082" s="166"/>
      <c r="C1082" s="166"/>
      <c r="D1082" s="166"/>
    </row>
    <row r="1083" spans="1:4" x14ac:dyDescent="0.25">
      <c r="A1083" s="167"/>
      <c r="B1083" s="166"/>
      <c r="C1083" s="166"/>
      <c r="D1083" s="166"/>
    </row>
    <row r="1084" spans="1:4" x14ac:dyDescent="0.25">
      <c r="A1084" s="167"/>
      <c r="B1084" s="166"/>
      <c r="C1084" s="166"/>
      <c r="D1084" s="166"/>
    </row>
    <row r="1085" spans="1:4" x14ac:dyDescent="0.25">
      <c r="A1085" s="167"/>
      <c r="B1085" s="166"/>
      <c r="C1085" s="166"/>
      <c r="D1085" s="166"/>
    </row>
    <row r="1086" spans="1:4" x14ac:dyDescent="0.25">
      <c r="A1086" s="167"/>
      <c r="B1086" s="166"/>
      <c r="C1086" s="166"/>
      <c r="D1086" s="166"/>
    </row>
    <row r="1087" spans="1:4" x14ac:dyDescent="0.25">
      <c r="A1087" s="167"/>
      <c r="B1087" s="166"/>
      <c r="C1087" s="166"/>
      <c r="D1087" s="166"/>
    </row>
    <row r="1088" spans="1:4" x14ac:dyDescent="0.25">
      <c r="A1088" s="167"/>
      <c r="B1088" s="166"/>
      <c r="C1088" s="166"/>
      <c r="D1088" s="166"/>
    </row>
    <row r="1089" spans="1:4" x14ac:dyDescent="0.25">
      <c r="A1089" s="167"/>
      <c r="B1089" s="166"/>
      <c r="C1089" s="166"/>
      <c r="D1089" s="166"/>
    </row>
    <row r="1090" spans="1:4" x14ac:dyDescent="0.25">
      <c r="A1090" s="167"/>
      <c r="B1090" s="166"/>
      <c r="C1090" s="166"/>
      <c r="D1090" s="166"/>
    </row>
    <row r="1091" spans="1:4" x14ac:dyDescent="0.25">
      <c r="A1091" s="167"/>
      <c r="B1091" s="166"/>
      <c r="C1091" s="166"/>
      <c r="D1091" s="166"/>
    </row>
    <row r="1092" spans="1:4" x14ac:dyDescent="0.25">
      <c r="A1092" s="167"/>
      <c r="B1092" s="166"/>
      <c r="C1092" s="166"/>
      <c r="D1092" s="166"/>
    </row>
    <row r="1093" spans="1:4" x14ac:dyDescent="0.25">
      <c r="A1093" s="167"/>
      <c r="B1093" s="166"/>
      <c r="C1093" s="166"/>
      <c r="D1093" s="166"/>
    </row>
    <row r="1094" spans="1:4" x14ac:dyDescent="0.25">
      <c r="A1094" s="167"/>
      <c r="B1094" s="166"/>
      <c r="C1094" s="166"/>
      <c r="D1094" s="166"/>
    </row>
    <row r="1095" spans="1:4" x14ac:dyDescent="0.25">
      <c r="A1095" s="167"/>
      <c r="B1095" s="166"/>
      <c r="C1095" s="166"/>
      <c r="D1095" s="166"/>
    </row>
    <row r="1096" spans="1:4" x14ac:dyDescent="0.25">
      <c r="A1096" s="167"/>
      <c r="B1096" s="166"/>
      <c r="C1096" s="166"/>
      <c r="D1096" s="166"/>
    </row>
    <row r="1097" spans="1:4" x14ac:dyDescent="0.25">
      <c r="A1097" s="167"/>
      <c r="B1097" s="166"/>
      <c r="C1097" s="166"/>
      <c r="D1097" s="166"/>
    </row>
    <row r="1098" spans="1:4" x14ac:dyDescent="0.25">
      <c r="A1098" s="167"/>
      <c r="B1098" s="166"/>
      <c r="C1098" s="166"/>
      <c r="D1098" s="166"/>
    </row>
    <row r="1099" spans="1:4" x14ac:dyDescent="0.25">
      <c r="A1099" s="167"/>
      <c r="B1099" s="166"/>
      <c r="C1099" s="166"/>
      <c r="D1099" s="166"/>
    </row>
    <row r="1100" spans="1:4" x14ac:dyDescent="0.25">
      <c r="A1100" s="167"/>
      <c r="B1100" s="166"/>
      <c r="C1100" s="166"/>
      <c r="D1100" s="166"/>
    </row>
    <row r="1101" spans="1:4" x14ac:dyDescent="0.25">
      <c r="A1101" s="167"/>
      <c r="B1101" s="166"/>
      <c r="C1101" s="166"/>
      <c r="D1101" s="166"/>
    </row>
    <row r="1102" spans="1:4" x14ac:dyDescent="0.25">
      <c r="A1102" s="167"/>
      <c r="B1102" s="166"/>
      <c r="C1102" s="166"/>
      <c r="D1102" s="166"/>
    </row>
    <row r="1103" spans="1:4" x14ac:dyDescent="0.25">
      <c r="A1103" s="167"/>
      <c r="B1103" s="166"/>
      <c r="C1103" s="166"/>
      <c r="D1103" s="166"/>
    </row>
    <row r="1104" spans="1:4" x14ac:dyDescent="0.25">
      <c r="A1104" s="167"/>
      <c r="B1104" s="166"/>
      <c r="C1104" s="166"/>
      <c r="D1104" s="166"/>
    </row>
    <row r="1105" spans="1:4" x14ac:dyDescent="0.25">
      <c r="A1105" s="167"/>
      <c r="B1105" s="166"/>
      <c r="C1105" s="166"/>
      <c r="D1105" s="166"/>
    </row>
    <row r="1106" spans="1:4" x14ac:dyDescent="0.25">
      <c r="A1106" s="167"/>
      <c r="B1106" s="166"/>
      <c r="C1106" s="166"/>
      <c r="D1106" s="166"/>
    </row>
    <row r="1107" spans="1:4" x14ac:dyDescent="0.25">
      <c r="A1107" s="167"/>
      <c r="B1107" s="166"/>
      <c r="C1107" s="166"/>
      <c r="D1107" s="166"/>
    </row>
    <row r="1108" spans="1:4" x14ac:dyDescent="0.25">
      <c r="A1108" s="167"/>
      <c r="B1108" s="166"/>
      <c r="C1108" s="166"/>
      <c r="D1108" s="166"/>
    </row>
    <row r="1109" spans="1:4" x14ac:dyDescent="0.25">
      <c r="A1109" s="167"/>
      <c r="B1109" s="166"/>
      <c r="C1109" s="166"/>
      <c r="D1109" s="166"/>
    </row>
    <row r="1110" spans="1:4" x14ac:dyDescent="0.25">
      <c r="A1110" s="167"/>
      <c r="B1110" s="166"/>
      <c r="C1110" s="166"/>
      <c r="D1110" s="166"/>
    </row>
    <row r="1111" spans="1:4" x14ac:dyDescent="0.25">
      <c r="A1111" s="167"/>
      <c r="B1111" s="166"/>
      <c r="C1111" s="166"/>
      <c r="D1111" s="166"/>
    </row>
    <row r="1112" spans="1:4" x14ac:dyDescent="0.25">
      <c r="A1112" s="167"/>
      <c r="B1112" s="166"/>
      <c r="C1112" s="166"/>
      <c r="D1112" s="166"/>
    </row>
    <row r="1113" spans="1:4" x14ac:dyDescent="0.25">
      <c r="A1113" s="167"/>
      <c r="B1113" s="166"/>
      <c r="C1113" s="166"/>
      <c r="D1113" s="166"/>
    </row>
    <row r="1114" spans="1:4" x14ac:dyDescent="0.25">
      <c r="A1114" s="167"/>
      <c r="B1114" s="166"/>
      <c r="C1114" s="166"/>
      <c r="D1114" s="166"/>
    </row>
    <row r="1115" spans="1:4" x14ac:dyDescent="0.25">
      <c r="A1115" s="167"/>
      <c r="B1115" s="166"/>
      <c r="C1115" s="166"/>
      <c r="D1115" s="166"/>
    </row>
    <row r="1116" spans="1:4" x14ac:dyDescent="0.25">
      <c r="A1116" s="167"/>
      <c r="B1116" s="166"/>
      <c r="C1116" s="166"/>
      <c r="D1116" s="166"/>
    </row>
    <row r="1117" spans="1:4" x14ac:dyDescent="0.25">
      <c r="A1117" s="167"/>
      <c r="B1117" s="166"/>
      <c r="C1117" s="166"/>
      <c r="D1117" s="166"/>
    </row>
    <row r="1118" spans="1:4" x14ac:dyDescent="0.25">
      <c r="A1118" s="167"/>
      <c r="B1118" s="166"/>
      <c r="C1118" s="166"/>
      <c r="D1118" s="166"/>
    </row>
    <row r="1119" spans="1:4" x14ac:dyDescent="0.25">
      <c r="A1119" s="167"/>
      <c r="B1119" s="166"/>
      <c r="C1119" s="166"/>
      <c r="D1119" s="166"/>
    </row>
    <row r="1120" spans="1:4" x14ac:dyDescent="0.25">
      <c r="A1120" s="167"/>
      <c r="B1120" s="166"/>
      <c r="C1120" s="166"/>
      <c r="D1120" s="166"/>
    </row>
    <row r="1121" spans="1:4" x14ac:dyDescent="0.25">
      <c r="A1121" s="167"/>
      <c r="B1121" s="166"/>
      <c r="C1121" s="166"/>
      <c r="D1121" s="166"/>
    </row>
    <row r="1122" spans="1:4" x14ac:dyDescent="0.25">
      <c r="A1122" s="167"/>
      <c r="B1122" s="166"/>
      <c r="C1122" s="166"/>
      <c r="D1122" s="166"/>
    </row>
    <row r="1123" spans="1:4" x14ac:dyDescent="0.25">
      <c r="A1123" s="167"/>
      <c r="B1123" s="166"/>
      <c r="C1123" s="166"/>
      <c r="D1123" s="166"/>
    </row>
    <row r="1124" spans="1:4" x14ac:dyDescent="0.25">
      <c r="A1124" s="167"/>
      <c r="B1124" s="166"/>
      <c r="C1124" s="166"/>
      <c r="D1124" s="166"/>
    </row>
    <row r="1125" spans="1:4" x14ac:dyDescent="0.25">
      <c r="A1125" s="167"/>
      <c r="B1125" s="166"/>
      <c r="C1125" s="166"/>
      <c r="D1125" s="166"/>
    </row>
    <row r="1126" spans="1:4" x14ac:dyDescent="0.25">
      <c r="A1126" s="167"/>
      <c r="B1126" s="166"/>
      <c r="C1126" s="166"/>
      <c r="D1126" s="166"/>
    </row>
    <row r="1127" spans="1:4" x14ac:dyDescent="0.25">
      <c r="A1127" s="167"/>
      <c r="B1127" s="166"/>
      <c r="C1127" s="166"/>
      <c r="D1127" s="166"/>
    </row>
    <row r="1128" spans="1:4" x14ac:dyDescent="0.25">
      <c r="A1128" s="167"/>
      <c r="B1128" s="166"/>
      <c r="C1128" s="166"/>
      <c r="D1128" s="166"/>
    </row>
    <row r="1129" spans="1:4" x14ac:dyDescent="0.25">
      <c r="A1129" s="167"/>
      <c r="B1129" s="166"/>
      <c r="C1129" s="166"/>
      <c r="D1129" s="166"/>
    </row>
    <row r="1130" spans="1:4" x14ac:dyDescent="0.25">
      <c r="A1130" s="167"/>
      <c r="B1130" s="166"/>
      <c r="C1130" s="166"/>
      <c r="D1130" s="166"/>
    </row>
    <row r="1131" spans="1:4" x14ac:dyDescent="0.25">
      <c r="A1131" s="167"/>
      <c r="B1131" s="166"/>
      <c r="C1131" s="166"/>
      <c r="D1131" s="166"/>
    </row>
    <row r="1132" spans="1:4" x14ac:dyDescent="0.25">
      <c r="A1132" s="167"/>
      <c r="B1132" s="166"/>
      <c r="C1132" s="166"/>
      <c r="D1132" s="166"/>
    </row>
    <row r="1133" spans="1:4" x14ac:dyDescent="0.25">
      <c r="A1133" s="167"/>
      <c r="B1133" s="166"/>
      <c r="C1133" s="166"/>
      <c r="D1133" s="166"/>
    </row>
    <row r="1134" spans="1:4" x14ac:dyDescent="0.25">
      <c r="A1134" s="167"/>
      <c r="B1134" s="166"/>
      <c r="C1134" s="166"/>
      <c r="D1134" s="166"/>
    </row>
    <row r="1135" spans="1:4" x14ac:dyDescent="0.25">
      <c r="A1135" s="167"/>
      <c r="B1135" s="166"/>
      <c r="C1135" s="166"/>
      <c r="D1135" s="166"/>
    </row>
    <row r="1136" spans="1:4" x14ac:dyDescent="0.25">
      <c r="A1136" s="167"/>
      <c r="B1136" s="166"/>
      <c r="C1136" s="166"/>
      <c r="D1136" s="166"/>
    </row>
    <row r="1137" spans="1:4" x14ac:dyDescent="0.25">
      <c r="A1137" s="167"/>
      <c r="B1137" s="166"/>
      <c r="C1137" s="166"/>
      <c r="D1137" s="166"/>
    </row>
    <row r="1138" spans="1:4" x14ac:dyDescent="0.25">
      <c r="A1138" s="167"/>
      <c r="B1138" s="166"/>
      <c r="C1138" s="166"/>
      <c r="D1138" s="166"/>
    </row>
    <row r="1139" spans="1:4" x14ac:dyDescent="0.25">
      <c r="A1139" s="167"/>
      <c r="B1139" s="166"/>
      <c r="C1139" s="166"/>
      <c r="D1139" s="166"/>
    </row>
    <row r="1140" spans="1:4" x14ac:dyDescent="0.25">
      <c r="A1140" s="167"/>
      <c r="B1140" s="166"/>
      <c r="C1140" s="166"/>
      <c r="D1140" s="166"/>
    </row>
    <row r="1141" spans="1:4" x14ac:dyDescent="0.25">
      <c r="A1141" s="167"/>
      <c r="B1141" s="166"/>
      <c r="C1141" s="166"/>
      <c r="D1141" s="166"/>
    </row>
    <row r="1142" spans="1:4" x14ac:dyDescent="0.25">
      <c r="A1142" s="167"/>
      <c r="B1142" s="166"/>
      <c r="C1142" s="166"/>
      <c r="D1142" s="166"/>
    </row>
    <row r="1143" spans="1:4" x14ac:dyDescent="0.25">
      <c r="A1143" s="167"/>
      <c r="B1143" s="166"/>
      <c r="C1143" s="166"/>
      <c r="D1143" s="166"/>
    </row>
    <row r="1144" spans="1:4" x14ac:dyDescent="0.25">
      <c r="A1144" s="167"/>
      <c r="B1144" s="166"/>
      <c r="C1144" s="166"/>
      <c r="D1144" s="166"/>
    </row>
    <row r="1145" spans="1:4" x14ac:dyDescent="0.25">
      <c r="A1145" s="167"/>
      <c r="B1145" s="166"/>
      <c r="C1145" s="166"/>
      <c r="D1145" s="166"/>
    </row>
    <row r="1146" spans="1:4" x14ac:dyDescent="0.25">
      <c r="A1146" s="167"/>
      <c r="B1146" s="166"/>
      <c r="C1146" s="166"/>
      <c r="D1146" s="166"/>
    </row>
    <row r="1147" spans="1:4" x14ac:dyDescent="0.25">
      <c r="A1147" s="167"/>
      <c r="B1147" s="166"/>
      <c r="C1147" s="166"/>
      <c r="D1147" s="166"/>
    </row>
    <row r="1148" spans="1:4" x14ac:dyDescent="0.25">
      <c r="A1148" s="167"/>
      <c r="B1148" s="166"/>
      <c r="C1148" s="166"/>
      <c r="D1148" s="166"/>
    </row>
    <row r="1149" spans="1:4" x14ac:dyDescent="0.25">
      <c r="A1149" s="167"/>
      <c r="B1149" s="166"/>
      <c r="C1149" s="166"/>
      <c r="D1149" s="166"/>
    </row>
    <row r="1150" spans="1:4" x14ac:dyDescent="0.25">
      <c r="A1150" s="167"/>
      <c r="B1150" s="166"/>
      <c r="C1150" s="166"/>
      <c r="D1150" s="166"/>
    </row>
    <row r="1151" spans="1:4" x14ac:dyDescent="0.25">
      <c r="A1151" s="167"/>
      <c r="B1151" s="166"/>
      <c r="C1151" s="166"/>
      <c r="D1151" s="166"/>
    </row>
    <row r="1152" spans="1:4" x14ac:dyDescent="0.25">
      <c r="A1152" s="167"/>
      <c r="B1152" s="166"/>
      <c r="C1152" s="166"/>
      <c r="D1152" s="166"/>
    </row>
    <row r="1153" spans="1:4" x14ac:dyDescent="0.25">
      <c r="A1153" s="167"/>
      <c r="B1153" s="166"/>
      <c r="C1153" s="166"/>
      <c r="D1153" s="166"/>
    </row>
    <row r="1154" spans="1:4" x14ac:dyDescent="0.25">
      <c r="A1154" s="167"/>
      <c r="B1154" s="166"/>
      <c r="C1154" s="166"/>
      <c r="D1154" s="166"/>
    </row>
    <row r="1155" spans="1:4" x14ac:dyDescent="0.25">
      <c r="A1155" s="167"/>
      <c r="B1155" s="166"/>
      <c r="C1155" s="166"/>
      <c r="D1155" s="166"/>
    </row>
    <row r="1156" spans="1:4" x14ac:dyDescent="0.25">
      <c r="A1156" s="167"/>
      <c r="B1156" s="166"/>
      <c r="C1156" s="166"/>
      <c r="D1156" s="166"/>
    </row>
    <row r="1157" spans="1:4" x14ac:dyDescent="0.25">
      <c r="A1157" s="167"/>
      <c r="B1157" s="166"/>
      <c r="C1157" s="166"/>
      <c r="D1157" s="166"/>
    </row>
    <row r="1158" spans="1:4" x14ac:dyDescent="0.25">
      <c r="A1158" s="167"/>
      <c r="B1158" s="166"/>
      <c r="C1158" s="166"/>
      <c r="D1158" s="166"/>
    </row>
    <row r="1159" spans="1:4" x14ac:dyDescent="0.25">
      <c r="A1159" s="167"/>
      <c r="B1159" s="166"/>
      <c r="C1159" s="166"/>
      <c r="D1159" s="166"/>
    </row>
    <row r="1160" spans="1:4" x14ac:dyDescent="0.25">
      <c r="A1160" s="167"/>
      <c r="B1160" s="166"/>
      <c r="C1160" s="166"/>
      <c r="D1160" s="166"/>
    </row>
    <row r="1161" spans="1:4" x14ac:dyDescent="0.25">
      <c r="A1161" s="167"/>
      <c r="B1161" s="166"/>
      <c r="C1161" s="166"/>
      <c r="D1161" s="166"/>
    </row>
    <row r="1162" spans="1:4" x14ac:dyDescent="0.25">
      <c r="A1162" s="167"/>
      <c r="B1162" s="166"/>
      <c r="C1162" s="166"/>
      <c r="D1162" s="166"/>
    </row>
    <row r="1163" spans="1:4" x14ac:dyDescent="0.25">
      <c r="A1163" s="167"/>
      <c r="B1163" s="166"/>
      <c r="C1163" s="166"/>
      <c r="D1163" s="166"/>
    </row>
    <row r="1164" spans="1:4" x14ac:dyDescent="0.25">
      <c r="A1164" s="167"/>
      <c r="B1164" s="166"/>
      <c r="C1164" s="166"/>
      <c r="D1164" s="166"/>
    </row>
    <row r="1165" spans="1:4" x14ac:dyDescent="0.25">
      <c r="A1165" s="167"/>
      <c r="B1165" s="166"/>
      <c r="C1165" s="166"/>
      <c r="D1165" s="166"/>
    </row>
    <row r="1166" spans="1:4" x14ac:dyDescent="0.25">
      <c r="A1166" s="167"/>
      <c r="B1166" s="166"/>
      <c r="C1166" s="166"/>
      <c r="D1166" s="166"/>
    </row>
    <row r="1167" spans="1:4" x14ac:dyDescent="0.25">
      <c r="A1167" s="167"/>
      <c r="B1167" s="166"/>
      <c r="C1167" s="166"/>
      <c r="D1167" s="166"/>
    </row>
    <row r="1168" spans="1:4" x14ac:dyDescent="0.25">
      <c r="A1168" s="167"/>
      <c r="B1168" s="166"/>
      <c r="C1168" s="166"/>
      <c r="D1168" s="166"/>
    </row>
    <row r="1169" spans="1:4" x14ac:dyDescent="0.25">
      <c r="A1169" s="167"/>
      <c r="B1169" s="166"/>
      <c r="C1169" s="166"/>
      <c r="D1169" s="166"/>
    </row>
    <row r="1170" spans="1:4" x14ac:dyDescent="0.25">
      <c r="A1170" s="167"/>
      <c r="B1170" s="166"/>
      <c r="C1170" s="166"/>
      <c r="D1170" s="166"/>
    </row>
    <row r="1171" spans="1:4" x14ac:dyDescent="0.25">
      <c r="A1171" s="167"/>
      <c r="B1171" s="166"/>
      <c r="C1171" s="166"/>
      <c r="D1171" s="166"/>
    </row>
    <row r="1172" spans="1:4" x14ac:dyDescent="0.25">
      <c r="A1172" s="167"/>
      <c r="B1172" s="166"/>
      <c r="C1172" s="166"/>
      <c r="D1172" s="166"/>
    </row>
    <row r="1173" spans="1:4" x14ac:dyDescent="0.25">
      <c r="A1173" s="167"/>
      <c r="B1173" s="166"/>
      <c r="C1173" s="166"/>
      <c r="D1173" s="166"/>
    </row>
    <row r="1174" spans="1:4" x14ac:dyDescent="0.25">
      <c r="A1174" s="167"/>
      <c r="B1174" s="166"/>
      <c r="C1174" s="166"/>
      <c r="D1174" s="166"/>
    </row>
    <row r="1175" spans="1:4" x14ac:dyDescent="0.25">
      <c r="A1175" s="167"/>
      <c r="B1175" s="166"/>
      <c r="C1175" s="166"/>
      <c r="D1175" s="166"/>
    </row>
    <row r="1176" spans="1:4" x14ac:dyDescent="0.25">
      <c r="A1176" s="167"/>
      <c r="B1176" s="166"/>
      <c r="C1176" s="166"/>
      <c r="D1176" s="166"/>
    </row>
    <row r="1177" spans="1:4" x14ac:dyDescent="0.25">
      <c r="A1177" s="167"/>
      <c r="B1177" s="166"/>
      <c r="C1177" s="166"/>
      <c r="D1177" s="166"/>
    </row>
    <row r="1178" spans="1:4" x14ac:dyDescent="0.25">
      <c r="A1178" s="167"/>
      <c r="B1178" s="166"/>
      <c r="C1178" s="166"/>
      <c r="D1178" s="166"/>
    </row>
    <row r="1179" spans="1:4" x14ac:dyDescent="0.25">
      <c r="A1179" s="167"/>
      <c r="B1179" s="166"/>
      <c r="C1179" s="166"/>
      <c r="D1179" s="166"/>
    </row>
    <row r="1180" spans="1:4" x14ac:dyDescent="0.25">
      <c r="A1180" s="167"/>
      <c r="B1180" s="166"/>
      <c r="C1180" s="166"/>
      <c r="D1180" s="166"/>
    </row>
    <row r="1181" spans="1:4" x14ac:dyDescent="0.25">
      <c r="A1181" s="167"/>
      <c r="B1181" s="166"/>
      <c r="C1181" s="166"/>
      <c r="D1181" s="166"/>
    </row>
    <row r="1182" spans="1:4" x14ac:dyDescent="0.25">
      <c r="A1182" s="167"/>
      <c r="B1182" s="166"/>
      <c r="C1182" s="166"/>
      <c r="D1182" s="166"/>
    </row>
    <row r="1183" spans="1:4" x14ac:dyDescent="0.25">
      <c r="A1183" s="167"/>
      <c r="B1183" s="166"/>
      <c r="C1183" s="166"/>
      <c r="D1183" s="166"/>
    </row>
    <row r="1184" spans="1:4" x14ac:dyDescent="0.25">
      <c r="A1184" s="167"/>
      <c r="B1184" s="166"/>
      <c r="C1184" s="166"/>
      <c r="D1184" s="166"/>
    </row>
    <row r="1185" spans="1:4" x14ac:dyDescent="0.25">
      <c r="A1185" s="167"/>
      <c r="B1185" s="166"/>
      <c r="C1185" s="166"/>
      <c r="D1185" s="166"/>
    </row>
    <row r="1186" spans="1:4" x14ac:dyDescent="0.25">
      <c r="A1186" s="167"/>
      <c r="B1186" s="166"/>
      <c r="C1186" s="166"/>
      <c r="D1186" s="166"/>
    </row>
    <row r="1187" spans="1:4" x14ac:dyDescent="0.25">
      <c r="A1187" s="167"/>
      <c r="B1187" s="166"/>
      <c r="C1187" s="166"/>
      <c r="D1187" s="166"/>
    </row>
    <row r="1188" spans="1:4" x14ac:dyDescent="0.25">
      <c r="A1188" s="167"/>
      <c r="B1188" s="166"/>
      <c r="C1188" s="166"/>
      <c r="D1188" s="166"/>
    </row>
    <row r="1189" spans="1:4" x14ac:dyDescent="0.25">
      <c r="A1189" s="167"/>
      <c r="B1189" s="166"/>
      <c r="C1189" s="166"/>
      <c r="D1189" s="166"/>
    </row>
    <row r="1190" spans="1:4" x14ac:dyDescent="0.25">
      <c r="A1190" s="167"/>
      <c r="B1190" s="166"/>
      <c r="C1190" s="166"/>
      <c r="D1190" s="166"/>
    </row>
    <row r="1191" spans="1:4" x14ac:dyDescent="0.25">
      <c r="A1191" s="167"/>
      <c r="B1191" s="166"/>
      <c r="C1191" s="166"/>
      <c r="D1191" s="166"/>
    </row>
    <row r="1192" spans="1:4" x14ac:dyDescent="0.25">
      <c r="A1192" s="167"/>
      <c r="B1192" s="166"/>
      <c r="C1192" s="166"/>
      <c r="D1192" s="166"/>
    </row>
    <row r="1193" spans="1:4" x14ac:dyDescent="0.25">
      <c r="A1193" s="167"/>
      <c r="B1193" s="166"/>
      <c r="C1193" s="166"/>
      <c r="D1193" s="166"/>
    </row>
    <row r="1194" spans="1:4" x14ac:dyDescent="0.25">
      <c r="A1194" s="167"/>
      <c r="B1194" s="166"/>
      <c r="C1194" s="166"/>
      <c r="D1194" s="166"/>
    </row>
    <row r="1195" spans="1:4" x14ac:dyDescent="0.25">
      <c r="A1195" s="167"/>
      <c r="B1195" s="166"/>
      <c r="C1195" s="166"/>
      <c r="D1195" s="166"/>
    </row>
    <row r="1196" spans="1:4" x14ac:dyDescent="0.25">
      <c r="A1196" s="167"/>
      <c r="B1196" s="166"/>
      <c r="C1196" s="166"/>
      <c r="D1196" s="166"/>
    </row>
    <row r="1197" spans="1:4" x14ac:dyDescent="0.25">
      <c r="A1197" s="167"/>
      <c r="B1197" s="166"/>
      <c r="C1197" s="166"/>
      <c r="D1197" s="166"/>
    </row>
    <row r="1198" spans="1:4" x14ac:dyDescent="0.25">
      <c r="A1198" s="167"/>
      <c r="B1198" s="166"/>
      <c r="C1198" s="166"/>
      <c r="D1198" s="166"/>
    </row>
    <row r="1199" spans="1:4" x14ac:dyDescent="0.25">
      <c r="A1199" s="167"/>
      <c r="B1199" s="166"/>
      <c r="C1199" s="166"/>
      <c r="D1199" s="166"/>
    </row>
    <row r="1200" spans="1:4" x14ac:dyDescent="0.25">
      <c r="A1200" s="167"/>
      <c r="B1200" s="166"/>
      <c r="C1200" s="166"/>
      <c r="D1200" s="166"/>
    </row>
    <row r="1201" spans="1:4" x14ac:dyDescent="0.25">
      <c r="A1201" s="167"/>
      <c r="B1201" s="166"/>
      <c r="C1201" s="166"/>
      <c r="D1201" s="166"/>
    </row>
    <row r="1202" spans="1:4" x14ac:dyDescent="0.25">
      <c r="A1202" s="167"/>
      <c r="B1202" s="166"/>
      <c r="C1202" s="166"/>
      <c r="D1202" s="166"/>
    </row>
    <row r="1203" spans="1:4" x14ac:dyDescent="0.25">
      <c r="A1203" s="167"/>
      <c r="B1203" s="166"/>
      <c r="C1203" s="166"/>
      <c r="D1203" s="166"/>
    </row>
    <row r="1204" spans="1:4" x14ac:dyDescent="0.25">
      <c r="A1204" s="167"/>
      <c r="B1204" s="166"/>
      <c r="C1204" s="166"/>
      <c r="D1204" s="166"/>
    </row>
    <row r="1205" spans="1:4" x14ac:dyDescent="0.25">
      <c r="A1205" s="167"/>
      <c r="B1205" s="166"/>
      <c r="C1205" s="166"/>
      <c r="D1205" s="166"/>
    </row>
    <row r="1206" spans="1:4" x14ac:dyDescent="0.25">
      <c r="A1206" s="167"/>
      <c r="B1206" s="166"/>
      <c r="C1206" s="166"/>
      <c r="D1206" s="166"/>
    </row>
    <row r="1207" spans="1:4" x14ac:dyDescent="0.25">
      <c r="A1207" s="167"/>
      <c r="B1207" s="166"/>
      <c r="C1207" s="166"/>
      <c r="D1207" s="166"/>
    </row>
    <row r="1208" spans="1:4" x14ac:dyDescent="0.25">
      <c r="A1208" s="167"/>
      <c r="B1208" s="166"/>
      <c r="C1208" s="166"/>
      <c r="D1208" s="166"/>
    </row>
    <row r="1209" spans="1:4" x14ac:dyDescent="0.25">
      <c r="A1209" s="167"/>
      <c r="B1209" s="166"/>
      <c r="C1209" s="166"/>
      <c r="D1209" s="166"/>
    </row>
    <row r="1210" spans="1:4" x14ac:dyDescent="0.25">
      <c r="A1210" s="167"/>
      <c r="B1210" s="166"/>
      <c r="C1210" s="166"/>
      <c r="D1210" s="166"/>
    </row>
    <row r="1211" spans="1:4" x14ac:dyDescent="0.25">
      <c r="A1211" s="167"/>
      <c r="B1211" s="166"/>
      <c r="C1211" s="166"/>
      <c r="D1211" s="166"/>
    </row>
    <row r="1212" spans="1:4" x14ac:dyDescent="0.25">
      <c r="A1212" s="167"/>
      <c r="B1212" s="166"/>
      <c r="C1212" s="166"/>
      <c r="D1212" s="166"/>
    </row>
    <row r="1213" spans="1:4" x14ac:dyDescent="0.25">
      <c r="A1213" s="167"/>
      <c r="B1213" s="166"/>
      <c r="C1213" s="166"/>
      <c r="D1213" s="166"/>
    </row>
    <row r="1214" spans="1:4" x14ac:dyDescent="0.25">
      <c r="A1214" s="167"/>
      <c r="B1214" s="166"/>
      <c r="C1214" s="166"/>
      <c r="D1214" s="166"/>
    </row>
    <row r="1215" spans="1:4" x14ac:dyDescent="0.25">
      <c r="A1215" s="167"/>
      <c r="B1215" s="166"/>
      <c r="C1215" s="166"/>
      <c r="D1215" s="166"/>
    </row>
    <row r="1216" spans="1:4" x14ac:dyDescent="0.25">
      <c r="A1216" s="167"/>
      <c r="B1216" s="166"/>
      <c r="C1216" s="166"/>
      <c r="D1216" s="166"/>
    </row>
    <row r="1217" spans="1:4" x14ac:dyDescent="0.25">
      <c r="A1217" s="167"/>
      <c r="B1217" s="166"/>
      <c r="C1217" s="166"/>
      <c r="D1217" s="166"/>
    </row>
    <row r="1218" spans="1:4" x14ac:dyDescent="0.25">
      <c r="A1218" s="167"/>
      <c r="B1218" s="166"/>
      <c r="C1218" s="166"/>
      <c r="D1218" s="166"/>
    </row>
    <row r="1219" spans="1:4" x14ac:dyDescent="0.25">
      <c r="A1219" s="167"/>
      <c r="B1219" s="166"/>
      <c r="C1219" s="166"/>
      <c r="D1219" s="166"/>
    </row>
    <row r="1220" spans="1:4" x14ac:dyDescent="0.25">
      <c r="A1220" s="167"/>
      <c r="B1220" s="166"/>
      <c r="C1220" s="166"/>
      <c r="D1220" s="166"/>
    </row>
    <row r="1221" spans="1:4" x14ac:dyDescent="0.25">
      <c r="A1221" s="167"/>
      <c r="B1221" s="166"/>
      <c r="C1221" s="166"/>
      <c r="D1221" s="166"/>
    </row>
    <row r="1222" spans="1:4" x14ac:dyDescent="0.25">
      <c r="A1222" s="167"/>
      <c r="B1222" s="166"/>
      <c r="C1222" s="166"/>
      <c r="D1222" s="166"/>
    </row>
    <row r="1223" spans="1:4" x14ac:dyDescent="0.25">
      <c r="A1223" s="167"/>
      <c r="B1223" s="166"/>
      <c r="C1223" s="166"/>
      <c r="D1223" s="166"/>
    </row>
    <row r="1224" spans="1:4" x14ac:dyDescent="0.25">
      <c r="A1224" s="167"/>
      <c r="B1224" s="166"/>
      <c r="C1224" s="166"/>
      <c r="D1224" s="166"/>
    </row>
    <row r="1225" spans="1:4" x14ac:dyDescent="0.25">
      <c r="A1225" s="167"/>
      <c r="B1225" s="166"/>
      <c r="C1225" s="166"/>
      <c r="D1225" s="166"/>
    </row>
    <row r="1226" spans="1:4" x14ac:dyDescent="0.25">
      <c r="A1226" s="167"/>
      <c r="B1226" s="166"/>
      <c r="C1226" s="166"/>
      <c r="D1226" s="166"/>
    </row>
    <row r="1227" spans="1:4" x14ac:dyDescent="0.25">
      <c r="A1227" s="167"/>
      <c r="B1227" s="166"/>
      <c r="C1227" s="166"/>
      <c r="D1227" s="166"/>
    </row>
    <row r="1228" spans="1:4" x14ac:dyDescent="0.25">
      <c r="A1228" s="167"/>
      <c r="B1228" s="166"/>
      <c r="C1228" s="166"/>
      <c r="D1228" s="166"/>
    </row>
    <row r="1229" spans="1:4" x14ac:dyDescent="0.25">
      <c r="A1229" s="167"/>
      <c r="B1229" s="166"/>
      <c r="C1229" s="166"/>
      <c r="D1229" s="166"/>
    </row>
    <row r="1230" spans="1:4" x14ac:dyDescent="0.25">
      <c r="A1230" s="167"/>
      <c r="B1230" s="166"/>
      <c r="C1230" s="166"/>
      <c r="D1230" s="166"/>
    </row>
    <row r="1231" spans="1:4" x14ac:dyDescent="0.25">
      <c r="A1231" s="167"/>
      <c r="B1231" s="166"/>
      <c r="C1231" s="166"/>
      <c r="D1231" s="166"/>
    </row>
    <row r="1232" spans="1:4" x14ac:dyDescent="0.25">
      <c r="A1232" s="167"/>
      <c r="B1232" s="166"/>
      <c r="C1232" s="166"/>
      <c r="D1232" s="166"/>
    </row>
    <row r="1233" spans="1:4" x14ac:dyDescent="0.25">
      <c r="A1233" s="167"/>
      <c r="B1233" s="166"/>
      <c r="C1233" s="166"/>
      <c r="D1233" s="166"/>
    </row>
    <row r="1234" spans="1:4" x14ac:dyDescent="0.25">
      <c r="A1234" s="167"/>
      <c r="B1234" s="166"/>
      <c r="C1234" s="166"/>
      <c r="D1234" s="166"/>
    </row>
    <row r="1235" spans="1:4" x14ac:dyDescent="0.25">
      <c r="A1235" s="167"/>
      <c r="B1235" s="166"/>
      <c r="C1235" s="166"/>
      <c r="D1235" s="166"/>
    </row>
    <row r="1236" spans="1:4" x14ac:dyDescent="0.25">
      <c r="A1236" s="167"/>
      <c r="B1236" s="166"/>
      <c r="C1236" s="166"/>
      <c r="D1236" s="166"/>
    </row>
    <row r="1237" spans="1:4" x14ac:dyDescent="0.25">
      <c r="A1237" s="167"/>
      <c r="B1237" s="166"/>
      <c r="C1237" s="166"/>
      <c r="D1237" s="166"/>
    </row>
    <row r="1238" spans="1:4" x14ac:dyDescent="0.25">
      <c r="A1238" s="167"/>
      <c r="B1238" s="166"/>
      <c r="C1238" s="166"/>
      <c r="D1238" s="166"/>
    </row>
    <row r="1239" spans="1:4" x14ac:dyDescent="0.25">
      <c r="A1239" s="167"/>
      <c r="B1239" s="166"/>
      <c r="C1239" s="166"/>
      <c r="D1239" s="166"/>
    </row>
    <row r="1240" spans="1:4" x14ac:dyDescent="0.25">
      <c r="A1240" s="167"/>
      <c r="B1240" s="166"/>
      <c r="C1240" s="166"/>
      <c r="D1240" s="166"/>
    </row>
    <row r="1241" spans="1:4" x14ac:dyDescent="0.25">
      <c r="A1241" s="167"/>
      <c r="B1241" s="166"/>
      <c r="C1241" s="166"/>
      <c r="D1241" s="166"/>
    </row>
    <row r="1242" spans="1:4" x14ac:dyDescent="0.25">
      <c r="A1242" s="167"/>
      <c r="B1242" s="166"/>
      <c r="C1242" s="166"/>
      <c r="D1242" s="166"/>
    </row>
    <row r="1243" spans="1:4" x14ac:dyDescent="0.25">
      <c r="A1243" s="167"/>
      <c r="B1243" s="166"/>
      <c r="C1243" s="166"/>
      <c r="D1243" s="166"/>
    </row>
    <row r="1244" spans="1:4" x14ac:dyDescent="0.25">
      <c r="A1244" s="167"/>
      <c r="B1244" s="166"/>
      <c r="C1244" s="166"/>
      <c r="D1244" s="166"/>
    </row>
    <row r="1245" spans="1:4" x14ac:dyDescent="0.25">
      <c r="A1245" s="167"/>
      <c r="B1245" s="166"/>
      <c r="C1245" s="166"/>
      <c r="D1245" s="166"/>
    </row>
    <row r="1246" spans="1:4" x14ac:dyDescent="0.25">
      <c r="A1246" s="167"/>
      <c r="B1246" s="166"/>
      <c r="C1246" s="166"/>
      <c r="D1246" s="166"/>
    </row>
    <row r="1247" spans="1:4" x14ac:dyDescent="0.25">
      <c r="A1247" s="167"/>
      <c r="B1247" s="166"/>
      <c r="C1247" s="166"/>
      <c r="D1247" s="166"/>
    </row>
    <row r="1248" spans="1:4" x14ac:dyDescent="0.25">
      <c r="A1248" s="167"/>
      <c r="B1248" s="166"/>
      <c r="C1248" s="166"/>
      <c r="D1248" s="166"/>
    </row>
    <row r="1249" spans="1:4" x14ac:dyDescent="0.25">
      <c r="A1249" s="167"/>
      <c r="B1249" s="166"/>
      <c r="C1249" s="166"/>
      <c r="D1249" s="166"/>
    </row>
    <row r="1250" spans="1:4" x14ac:dyDescent="0.25">
      <c r="A1250" s="167"/>
      <c r="B1250" s="166"/>
      <c r="C1250" s="166"/>
      <c r="D1250" s="166"/>
    </row>
    <row r="1251" spans="1:4" x14ac:dyDescent="0.25">
      <c r="A1251" s="167"/>
      <c r="B1251" s="166"/>
      <c r="C1251" s="166"/>
      <c r="D1251" s="166"/>
    </row>
    <row r="1252" spans="1:4" x14ac:dyDescent="0.25">
      <c r="A1252" s="167"/>
      <c r="B1252" s="166"/>
      <c r="C1252" s="166"/>
      <c r="D1252" s="166"/>
    </row>
    <row r="1253" spans="1:4" x14ac:dyDescent="0.25">
      <c r="A1253" s="167"/>
      <c r="B1253" s="166"/>
      <c r="C1253" s="166"/>
      <c r="D1253" s="166"/>
    </row>
    <row r="1254" spans="1:4" x14ac:dyDescent="0.25">
      <c r="A1254" s="167"/>
      <c r="B1254" s="166"/>
      <c r="C1254" s="166"/>
      <c r="D1254" s="166"/>
    </row>
    <row r="1255" spans="1:4" x14ac:dyDescent="0.25">
      <c r="A1255" s="167"/>
      <c r="B1255" s="166"/>
      <c r="C1255" s="166"/>
      <c r="D1255" s="166"/>
    </row>
    <row r="1256" spans="1:4" x14ac:dyDescent="0.25">
      <c r="A1256" s="167"/>
      <c r="B1256" s="166"/>
      <c r="C1256" s="166"/>
      <c r="D1256" s="166"/>
    </row>
    <row r="1257" spans="1:4" x14ac:dyDescent="0.25">
      <c r="A1257" s="167"/>
      <c r="B1257" s="166"/>
      <c r="C1257" s="166"/>
      <c r="D1257" s="166"/>
    </row>
    <row r="1258" spans="1:4" x14ac:dyDescent="0.25">
      <c r="A1258" s="167"/>
      <c r="B1258" s="166"/>
      <c r="C1258" s="166"/>
      <c r="D1258" s="166"/>
    </row>
    <row r="1259" spans="1:4" x14ac:dyDescent="0.25">
      <c r="A1259" s="167"/>
      <c r="B1259" s="166"/>
      <c r="C1259" s="166"/>
      <c r="D1259" s="166"/>
    </row>
    <row r="1260" spans="1:4" x14ac:dyDescent="0.25">
      <c r="A1260" s="167"/>
      <c r="B1260" s="166"/>
      <c r="C1260" s="166"/>
      <c r="D1260" s="166"/>
    </row>
    <row r="1261" spans="1:4" x14ac:dyDescent="0.25">
      <c r="A1261" s="167"/>
      <c r="B1261" s="166"/>
      <c r="C1261" s="166"/>
      <c r="D1261" s="166"/>
    </row>
    <row r="1262" spans="1:4" x14ac:dyDescent="0.25">
      <c r="A1262" s="167"/>
      <c r="B1262" s="166"/>
      <c r="C1262" s="166"/>
      <c r="D1262" s="166"/>
    </row>
    <row r="1263" spans="1:4" x14ac:dyDescent="0.25">
      <c r="A1263" s="167"/>
      <c r="B1263" s="166"/>
      <c r="C1263" s="166"/>
      <c r="D1263" s="166"/>
    </row>
    <row r="1264" spans="1:4" x14ac:dyDescent="0.25">
      <c r="A1264" s="167"/>
      <c r="B1264" s="166"/>
      <c r="C1264" s="166"/>
      <c r="D1264" s="166"/>
    </row>
    <row r="1265" spans="1:4" x14ac:dyDescent="0.25">
      <c r="A1265" s="167"/>
      <c r="B1265" s="166"/>
      <c r="C1265" s="166"/>
      <c r="D1265" s="166"/>
    </row>
    <row r="1266" spans="1:4" x14ac:dyDescent="0.25">
      <c r="A1266" s="167"/>
      <c r="B1266" s="166"/>
      <c r="C1266" s="166"/>
      <c r="D1266" s="166"/>
    </row>
    <row r="1267" spans="1:4" x14ac:dyDescent="0.25">
      <c r="A1267" s="167"/>
      <c r="B1267" s="166"/>
      <c r="C1267" s="166"/>
      <c r="D1267" s="166"/>
    </row>
    <row r="1268" spans="1:4" x14ac:dyDescent="0.25">
      <c r="A1268" s="167"/>
      <c r="B1268" s="166"/>
      <c r="C1268" s="166"/>
      <c r="D1268" s="166"/>
    </row>
    <row r="1269" spans="1:4" x14ac:dyDescent="0.25">
      <c r="A1269" s="167"/>
      <c r="B1269" s="166"/>
      <c r="C1269" s="166"/>
      <c r="D1269" s="166"/>
    </row>
    <row r="1270" spans="1:4" x14ac:dyDescent="0.25">
      <c r="A1270" s="167"/>
      <c r="B1270" s="166"/>
      <c r="C1270" s="166"/>
      <c r="D1270" s="166"/>
    </row>
    <row r="1271" spans="1:4" x14ac:dyDescent="0.25">
      <c r="A1271" s="167"/>
      <c r="B1271" s="166"/>
      <c r="C1271" s="166"/>
      <c r="D1271" s="166"/>
    </row>
    <row r="1272" spans="1:4" x14ac:dyDescent="0.25">
      <c r="A1272" s="167"/>
      <c r="B1272" s="166"/>
      <c r="C1272" s="166"/>
      <c r="D1272" s="166"/>
    </row>
    <row r="1273" spans="1:4" x14ac:dyDescent="0.25">
      <c r="A1273" s="167"/>
      <c r="B1273" s="166"/>
      <c r="C1273" s="166"/>
      <c r="D1273" s="166"/>
    </row>
    <row r="1274" spans="1:4" x14ac:dyDescent="0.25">
      <c r="A1274" s="167"/>
      <c r="B1274" s="166"/>
      <c r="C1274" s="166"/>
      <c r="D1274" s="166"/>
    </row>
    <row r="1275" spans="1:4" x14ac:dyDescent="0.25">
      <c r="A1275" s="167"/>
      <c r="B1275" s="166"/>
      <c r="C1275" s="166"/>
      <c r="D1275" s="166"/>
    </row>
    <row r="1276" spans="1:4" x14ac:dyDescent="0.25">
      <c r="A1276" s="167"/>
      <c r="B1276" s="166"/>
      <c r="C1276" s="166"/>
      <c r="D1276" s="166"/>
    </row>
    <row r="1277" spans="1:4" x14ac:dyDescent="0.25">
      <c r="A1277" s="167"/>
      <c r="B1277" s="166"/>
      <c r="C1277" s="166"/>
      <c r="D1277" s="166"/>
    </row>
    <row r="1278" spans="1:4" x14ac:dyDescent="0.25">
      <c r="A1278" s="167"/>
      <c r="B1278" s="166"/>
      <c r="C1278" s="166"/>
      <c r="D1278" s="166"/>
    </row>
    <row r="1279" spans="1:4" x14ac:dyDescent="0.25">
      <c r="A1279" s="167"/>
      <c r="B1279" s="166"/>
      <c r="C1279" s="166"/>
      <c r="D1279" s="166"/>
    </row>
    <row r="1280" spans="1:4" x14ac:dyDescent="0.25">
      <c r="A1280" s="167"/>
      <c r="B1280" s="166"/>
      <c r="C1280" s="166"/>
      <c r="D1280" s="166"/>
    </row>
    <row r="1281" spans="1:4" x14ac:dyDescent="0.25">
      <c r="A1281" s="167"/>
      <c r="B1281" s="166"/>
      <c r="C1281" s="166"/>
      <c r="D1281" s="166"/>
    </row>
    <row r="1282" spans="1:4" x14ac:dyDescent="0.25">
      <c r="A1282" s="167"/>
      <c r="B1282" s="166"/>
      <c r="C1282" s="166"/>
      <c r="D1282" s="166"/>
    </row>
    <row r="1283" spans="1:4" x14ac:dyDescent="0.25">
      <c r="A1283" s="167"/>
      <c r="B1283" s="166"/>
      <c r="C1283" s="166"/>
      <c r="D1283" s="166"/>
    </row>
    <row r="1284" spans="1:4" x14ac:dyDescent="0.25">
      <c r="A1284" s="167"/>
      <c r="B1284" s="166"/>
      <c r="C1284" s="166"/>
      <c r="D1284" s="166"/>
    </row>
    <row r="1285" spans="1:4" x14ac:dyDescent="0.25">
      <c r="A1285" s="167"/>
      <c r="B1285" s="166"/>
      <c r="C1285" s="166"/>
      <c r="D1285" s="166"/>
    </row>
    <row r="1286" spans="1:4" x14ac:dyDescent="0.25">
      <c r="A1286" s="167"/>
      <c r="B1286" s="166"/>
      <c r="C1286" s="166"/>
      <c r="D1286" s="166"/>
    </row>
    <row r="1287" spans="1:4" x14ac:dyDescent="0.25">
      <c r="A1287" s="167"/>
      <c r="B1287" s="166"/>
      <c r="C1287" s="166"/>
      <c r="D1287" s="166"/>
    </row>
    <row r="1288" spans="1:4" x14ac:dyDescent="0.25">
      <c r="A1288" s="167"/>
      <c r="B1288" s="166"/>
      <c r="C1288" s="166"/>
      <c r="D1288" s="166"/>
    </row>
    <row r="1289" spans="1:4" x14ac:dyDescent="0.25">
      <c r="A1289" s="167"/>
      <c r="B1289" s="166"/>
      <c r="C1289" s="166"/>
      <c r="D1289" s="166"/>
    </row>
    <row r="1290" spans="1:4" x14ac:dyDescent="0.25">
      <c r="A1290" s="167"/>
      <c r="B1290" s="166"/>
      <c r="C1290" s="166"/>
      <c r="D1290" s="166"/>
    </row>
    <row r="1291" spans="1:4" x14ac:dyDescent="0.25">
      <c r="A1291" s="167"/>
      <c r="B1291" s="166"/>
      <c r="C1291" s="166"/>
      <c r="D1291" s="166"/>
    </row>
    <row r="1292" spans="1:4" x14ac:dyDescent="0.25">
      <c r="A1292" s="167"/>
      <c r="B1292" s="166"/>
      <c r="C1292" s="166"/>
      <c r="D1292" s="166"/>
    </row>
    <row r="1293" spans="1:4" x14ac:dyDescent="0.25">
      <c r="A1293" s="167"/>
      <c r="B1293" s="166"/>
      <c r="C1293" s="166"/>
      <c r="D1293" s="166"/>
    </row>
    <row r="1294" spans="1:4" x14ac:dyDescent="0.25">
      <c r="A1294" s="167"/>
      <c r="B1294" s="166"/>
      <c r="C1294" s="166"/>
      <c r="D1294" s="166"/>
    </row>
    <row r="1295" spans="1:4" x14ac:dyDescent="0.25">
      <c r="A1295" s="167"/>
      <c r="B1295" s="166"/>
      <c r="C1295" s="166"/>
      <c r="D1295" s="166"/>
    </row>
    <row r="1296" spans="1:4" x14ac:dyDescent="0.25">
      <c r="A1296" s="167"/>
      <c r="B1296" s="166"/>
      <c r="C1296" s="166"/>
      <c r="D1296" s="166"/>
    </row>
    <row r="1297" spans="1:4" x14ac:dyDescent="0.25">
      <c r="A1297" s="167"/>
      <c r="B1297" s="166"/>
      <c r="C1297" s="166"/>
      <c r="D1297" s="166"/>
    </row>
    <row r="1298" spans="1:4" x14ac:dyDescent="0.25">
      <c r="A1298" s="167"/>
      <c r="B1298" s="166"/>
      <c r="C1298" s="166"/>
      <c r="D1298" s="166"/>
    </row>
    <row r="1299" spans="1:4" x14ac:dyDescent="0.25">
      <c r="A1299" s="167"/>
      <c r="B1299" s="166"/>
      <c r="C1299" s="166"/>
      <c r="D1299" s="166"/>
    </row>
    <row r="1300" spans="1:4" x14ac:dyDescent="0.25">
      <c r="A1300" s="167"/>
      <c r="B1300" s="166"/>
      <c r="C1300" s="166"/>
      <c r="D1300" s="166"/>
    </row>
    <row r="1301" spans="1:4" x14ac:dyDescent="0.25">
      <c r="A1301" s="167"/>
      <c r="B1301" s="166"/>
      <c r="C1301" s="166"/>
      <c r="D1301" s="166"/>
    </row>
    <row r="1302" spans="1:4" x14ac:dyDescent="0.25">
      <c r="A1302" s="167"/>
      <c r="B1302" s="166"/>
      <c r="C1302" s="166"/>
      <c r="D1302" s="166"/>
    </row>
    <row r="1303" spans="1:4" x14ac:dyDescent="0.25">
      <c r="A1303" s="167"/>
      <c r="B1303" s="166"/>
      <c r="C1303" s="166"/>
      <c r="D1303" s="166"/>
    </row>
    <row r="1304" spans="1:4" x14ac:dyDescent="0.25">
      <c r="A1304" s="167"/>
      <c r="B1304" s="166"/>
      <c r="C1304" s="166"/>
      <c r="D1304" s="166"/>
    </row>
    <row r="1305" spans="1:4" x14ac:dyDescent="0.25">
      <c r="A1305" s="167"/>
      <c r="B1305" s="166"/>
      <c r="C1305" s="166"/>
      <c r="D1305" s="166"/>
    </row>
    <row r="1306" spans="1:4" x14ac:dyDescent="0.25">
      <c r="A1306" s="167"/>
      <c r="B1306" s="166"/>
      <c r="C1306" s="166"/>
      <c r="D1306" s="166"/>
    </row>
    <row r="1307" spans="1:4" x14ac:dyDescent="0.25">
      <c r="A1307" s="167"/>
      <c r="B1307" s="166"/>
      <c r="C1307" s="166"/>
      <c r="D1307" s="166"/>
    </row>
    <row r="1308" spans="1:4" x14ac:dyDescent="0.25">
      <c r="A1308" s="167"/>
      <c r="B1308" s="166"/>
      <c r="C1308" s="166"/>
      <c r="D1308" s="166"/>
    </row>
    <row r="1309" spans="1:4" x14ac:dyDescent="0.25">
      <c r="A1309" s="167"/>
      <c r="B1309" s="166"/>
      <c r="C1309" s="166"/>
      <c r="D1309" s="166"/>
    </row>
    <row r="1310" spans="1:4" x14ac:dyDescent="0.25">
      <c r="A1310" s="167"/>
      <c r="B1310" s="166"/>
      <c r="C1310" s="166"/>
      <c r="D1310" s="166"/>
    </row>
    <row r="1311" spans="1:4" x14ac:dyDescent="0.25">
      <c r="A1311" s="167"/>
      <c r="B1311" s="166"/>
      <c r="C1311" s="166"/>
      <c r="D1311" s="166"/>
    </row>
    <row r="1312" spans="1:4" x14ac:dyDescent="0.25">
      <c r="A1312" s="167"/>
      <c r="B1312" s="166"/>
      <c r="C1312" s="166"/>
      <c r="D1312" s="166"/>
    </row>
    <row r="1313" spans="1:4" x14ac:dyDescent="0.25">
      <c r="A1313" s="167"/>
      <c r="B1313" s="166"/>
      <c r="C1313" s="166"/>
      <c r="D1313" s="166"/>
    </row>
    <row r="1314" spans="1:4" x14ac:dyDescent="0.25">
      <c r="A1314" s="167"/>
      <c r="B1314" s="166"/>
      <c r="C1314" s="166"/>
      <c r="D1314" s="166"/>
    </row>
    <row r="1315" spans="1:4" x14ac:dyDescent="0.25">
      <c r="A1315" s="167"/>
      <c r="B1315" s="166"/>
      <c r="C1315" s="166"/>
      <c r="D1315" s="166"/>
    </row>
    <row r="1316" spans="1:4" x14ac:dyDescent="0.25">
      <c r="A1316" s="167"/>
      <c r="B1316" s="166"/>
      <c r="C1316" s="166"/>
      <c r="D1316" s="166"/>
    </row>
    <row r="1317" spans="1:4" x14ac:dyDescent="0.25">
      <c r="A1317" s="167"/>
      <c r="B1317" s="166"/>
      <c r="C1317" s="166"/>
      <c r="D1317" s="166"/>
    </row>
    <row r="1318" spans="1:4" x14ac:dyDescent="0.25">
      <c r="A1318" s="167"/>
      <c r="B1318" s="166"/>
      <c r="C1318" s="166"/>
      <c r="D1318" s="166"/>
    </row>
    <row r="1319" spans="1:4" x14ac:dyDescent="0.25">
      <c r="A1319" s="167"/>
      <c r="B1319" s="166"/>
      <c r="C1319" s="166"/>
      <c r="D1319" s="166"/>
    </row>
    <row r="1320" spans="1:4" x14ac:dyDescent="0.25">
      <c r="A1320" s="167"/>
      <c r="B1320" s="166"/>
      <c r="C1320" s="166"/>
      <c r="D1320" s="166"/>
    </row>
    <row r="1321" spans="1:4" x14ac:dyDescent="0.25">
      <c r="A1321" s="167"/>
      <c r="B1321" s="166"/>
      <c r="C1321" s="166"/>
      <c r="D1321" s="166"/>
    </row>
    <row r="1322" spans="1:4" x14ac:dyDescent="0.25">
      <c r="A1322" s="167"/>
      <c r="B1322" s="166"/>
      <c r="C1322" s="166"/>
      <c r="D1322" s="166"/>
    </row>
    <row r="1323" spans="1:4" x14ac:dyDescent="0.25">
      <c r="A1323" s="167"/>
      <c r="B1323" s="166"/>
      <c r="C1323" s="166"/>
      <c r="D1323" s="166"/>
    </row>
    <row r="1324" spans="1:4" x14ac:dyDescent="0.25">
      <c r="A1324" s="167"/>
      <c r="B1324" s="166"/>
      <c r="C1324" s="166"/>
      <c r="D1324" s="166"/>
    </row>
    <row r="1325" spans="1:4" x14ac:dyDescent="0.25">
      <c r="A1325" s="167"/>
      <c r="B1325" s="166"/>
      <c r="C1325" s="166"/>
      <c r="D1325" s="166"/>
    </row>
    <row r="1326" spans="1:4" x14ac:dyDescent="0.25">
      <c r="A1326" s="167"/>
      <c r="B1326" s="166"/>
      <c r="C1326" s="166"/>
      <c r="D1326" s="166"/>
    </row>
    <row r="1327" spans="1:4" x14ac:dyDescent="0.25">
      <c r="A1327" s="167"/>
      <c r="B1327" s="166"/>
      <c r="C1327" s="166"/>
      <c r="D1327" s="166"/>
    </row>
    <row r="1328" spans="1:4" x14ac:dyDescent="0.25">
      <c r="A1328" s="167"/>
      <c r="B1328" s="166"/>
      <c r="C1328" s="166"/>
      <c r="D1328" s="166"/>
    </row>
    <row r="1329" spans="1:4" x14ac:dyDescent="0.25">
      <c r="A1329" s="167"/>
      <c r="B1329" s="166"/>
      <c r="C1329" s="166"/>
      <c r="D1329" s="166"/>
    </row>
    <row r="1330" spans="1:4" x14ac:dyDescent="0.25">
      <c r="A1330" s="167"/>
      <c r="B1330" s="166"/>
      <c r="C1330" s="166"/>
      <c r="D1330" s="166"/>
    </row>
    <row r="1331" spans="1:4" x14ac:dyDescent="0.25">
      <c r="A1331" s="167"/>
      <c r="B1331" s="166"/>
      <c r="C1331" s="166"/>
      <c r="D1331" s="166"/>
    </row>
    <row r="1332" spans="1:4" x14ac:dyDescent="0.25">
      <c r="A1332" s="167"/>
      <c r="B1332" s="166"/>
      <c r="C1332" s="166"/>
      <c r="D1332" s="166"/>
    </row>
    <row r="1333" spans="1:4" x14ac:dyDescent="0.25">
      <c r="A1333" s="167"/>
      <c r="B1333" s="166"/>
      <c r="C1333" s="166"/>
      <c r="D1333" s="166"/>
    </row>
    <row r="1334" spans="1:4" x14ac:dyDescent="0.25">
      <c r="A1334" s="167"/>
      <c r="B1334" s="166"/>
      <c r="C1334" s="166"/>
      <c r="D1334" s="166"/>
    </row>
    <row r="1335" spans="1:4" x14ac:dyDescent="0.25">
      <c r="A1335" s="167"/>
      <c r="B1335" s="166"/>
      <c r="C1335" s="166"/>
      <c r="D1335" s="166"/>
    </row>
    <row r="1336" spans="1:4" x14ac:dyDescent="0.25">
      <c r="A1336" s="167"/>
      <c r="B1336" s="166"/>
      <c r="C1336" s="166"/>
      <c r="D1336" s="166"/>
    </row>
    <row r="1337" spans="1:4" x14ac:dyDescent="0.25">
      <c r="A1337" s="167"/>
      <c r="B1337" s="166"/>
      <c r="C1337" s="166"/>
      <c r="D1337" s="166"/>
    </row>
    <row r="1338" spans="1:4" x14ac:dyDescent="0.25">
      <c r="A1338" s="167"/>
      <c r="B1338" s="166"/>
      <c r="C1338" s="166"/>
      <c r="D1338" s="166"/>
    </row>
    <row r="1339" spans="1:4" x14ac:dyDescent="0.25">
      <c r="A1339" s="167"/>
      <c r="B1339" s="166"/>
      <c r="C1339" s="166"/>
      <c r="D1339" s="166"/>
    </row>
    <row r="1340" spans="1:4" x14ac:dyDescent="0.25">
      <c r="A1340" s="167"/>
      <c r="B1340" s="166"/>
      <c r="C1340" s="166"/>
      <c r="D1340" s="166"/>
    </row>
    <row r="1341" spans="1:4" x14ac:dyDescent="0.25">
      <c r="A1341" s="167"/>
      <c r="B1341" s="166"/>
      <c r="C1341" s="166"/>
      <c r="D1341" s="166"/>
    </row>
    <row r="1342" spans="1:4" x14ac:dyDescent="0.25">
      <c r="A1342" s="167"/>
      <c r="B1342" s="166"/>
      <c r="C1342" s="166"/>
      <c r="D1342" s="166"/>
    </row>
    <row r="1343" spans="1:4" x14ac:dyDescent="0.25">
      <c r="A1343" s="167"/>
      <c r="B1343" s="166"/>
      <c r="C1343" s="166"/>
      <c r="D1343" s="166"/>
    </row>
    <row r="1344" spans="1:4" x14ac:dyDescent="0.25">
      <c r="A1344" s="167"/>
      <c r="B1344" s="166"/>
      <c r="C1344" s="166"/>
      <c r="D1344" s="166"/>
    </row>
    <row r="1345" spans="1:4" x14ac:dyDescent="0.25">
      <c r="A1345" s="167"/>
      <c r="B1345" s="166"/>
      <c r="C1345" s="166"/>
      <c r="D1345" s="166"/>
    </row>
    <row r="1346" spans="1:4" x14ac:dyDescent="0.25">
      <c r="A1346" s="167"/>
      <c r="B1346" s="166"/>
      <c r="C1346" s="166"/>
      <c r="D1346" s="166"/>
    </row>
    <row r="1347" spans="1:4" x14ac:dyDescent="0.25">
      <c r="A1347" s="167"/>
      <c r="B1347" s="166"/>
      <c r="C1347" s="166"/>
      <c r="D1347" s="166"/>
    </row>
    <row r="1348" spans="1:4" x14ac:dyDescent="0.25">
      <c r="A1348" s="167"/>
      <c r="B1348" s="166"/>
      <c r="C1348" s="166"/>
      <c r="D1348" s="166"/>
    </row>
    <row r="1349" spans="1:4" x14ac:dyDescent="0.25">
      <c r="A1349" s="167"/>
      <c r="B1349" s="166"/>
      <c r="C1349" s="166"/>
      <c r="D1349" s="166"/>
    </row>
    <row r="1350" spans="1:4" x14ac:dyDescent="0.25">
      <c r="A1350" s="167"/>
      <c r="B1350" s="166"/>
      <c r="C1350" s="166"/>
      <c r="D1350" s="166"/>
    </row>
    <row r="1351" spans="1:4" x14ac:dyDescent="0.25">
      <c r="A1351" s="167"/>
      <c r="B1351" s="166"/>
      <c r="C1351" s="166"/>
      <c r="D1351" s="166"/>
    </row>
    <row r="1352" spans="1:4" x14ac:dyDescent="0.25">
      <c r="A1352" s="167"/>
      <c r="B1352" s="166"/>
      <c r="C1352" s="166"/>
      <c r="D1352" s="166"/>
    </row>
    <row r="1353" spans="1:4" x14ac:dyDescent="0.25">
      <c r="A1353" s="167"/>
      <c r="B1353" s="166"/>
      <c r="C1353" s="166"/>
      <c r="D1353" s="166"/>
    </row>
    <row r="1354" spans="1:4" x14ac:dyDescent="0.25">
      <c r="A1354" s="167"/>
      <c r="B1354" s="166"/>
      <c r="C1354" s="166"/>
      <c r="D1354" s="166"/>
    </row>
    <row r="1355" spans="1:4" x14ac:dyDescent="0.25">
      <c r="A1355" s="167"/>
      <c r="B1355" s="166"/>
      <c r="C1355" s="166"/>
      <c r="D1355" s="166"/>
    </row>
    <row r="1356" spans="1:4" x14ac:dyDescent="0.25">
      <c r="A1356" s="167"/>
      <c r="B1356" s="166"/>
      <c r="C1356" s="166"/>
      <c r="D1356" s="166"/>
    </row>
    <row r="1357" spans="1:4" x14ac:dyDescent="0.25">
      <c r="A1357" s="167"/>
      <c r="B1357" s="166"/>
      <c r="C1357" s="166"/>
      <c r="D1357" s="166"/>
    </row>
    <row r="1358" spans="1:4" x14ac:dyDescent="0.25">
      <c r="A1358" s="167"/>
      <c r="B1358" s="166"/>
      <c r="C1358" s="166"/>
      <c r="D1358" s="166"/>
    </row>
    <row r="1359" spans="1:4" x14ac:dyDescent="0.25">
      <c r="A1359" s="167"/>
      <c r="B1359" s="166"/>
      <c r="C1359" s="166"/>
      <c r="D1359" s="166"/>
    </row>
    <row r="1360" spans="1:4" x14ac:dyDescent="0.25">
      <c r="A1360" s="167"/>
      <c r="B1360" s="166"/>
      <c r="C1360" s="166"/>
      <c r="D1360" s="166"/>
    </row>
    <row r="1361" spans="1:4" x14ac:dyDescent="0.25">
      <c r="A1361" s="167"/>
      <c r="B1361" s="166"/>
      <c r="C1361" s="166"/>
      <c r="D1361" s="166"/>
    </row>
    <row r="1362" spans="1:4" x14ac:dyDescent="0.25">
      <c r="A1362" s="167"/>
      <c r="B1362" s="166"/>
      <c r="C1362" s="166"/>
      <c r="D1362" s="166"/>
    </row>
    <row r="1363" spans="1:4" x14ac:dyDescent="0.25">
      <c r="A1363" s="167"/>
      <c r="B1363" s="166"/>
      <c r="C1363" s="166"/>
      <c r="D1363" s="166"/>
    </row>
    <row r="1364" spans="1:4" x14ac:dyDescent="0.25">
      <c r="A1364" s="167"/>
      <c r="B1364" s="166"/>
      <c r="C1364" s="166"/>
      <c r="D1364" s="166"/>
    </row>
    <row r="1365" spans="1:4" x14ac:dyDescent="0.25">
      <c r="A1365" s="167"/>
      <c r="B1365" s="166"/>
      <c r="C1365" s="166"/>
      <c r="D1365" s="166"/>
    </row>
    <row r="1366" spans="1:4" x14ac:dyDescent="0.25">
      <c r="A1366" s="167"/>
      <c r="B1366" s="166"/>
      <c r="C1366" s="166"/>
      <c r="D1366" s="166"/>
    </row>
    <row r="1367" spans="1:4" x14ac:dyDescent="0.25">
      <c r="A1367" s="167"/>
      <c r="B1367" s="166"/>
      <c r="C1367" s="166"/>
      <c r="D1367" s="166"/>
    </row>
    <row r="1368" spans="1:4" x14ac:dyDescent="0.25">
      <c r="A1368" s="167"/>
      <c r="B1368" s="166"/>
      <c r="C1368" s="166"/>
      <c r="D1368" s="166"/>
    </row>
    <row r="1369" spans="1:4" x14ac:dyDescent="0.25">
      <c r="A1369" s="167"/>
      <c r="B1369" s="166"/>
      <c r="C1369" s="166"/>
      <c r="D1369" s="166"/>
    </row>
    <row r="1370" spans="1:4" x14ac:dyDescent="0.25">
      <c r="A1370" s="167"/>
      <c r="B1370" s="166"/>
      <c r="C1370" s="166"/>
      <c r="D1370" s="166"/>
    </row>
    <row r="1371" spans="1:4" x14ac:dyDescent="0.25">
      <c r="A1371" s="167"/>
      <c r="B1371" s="166"/>
      <c r="C1371" s="166"/>
      <c r="D1371" s="166"/>
    </row>
    <row r="1372" spans="1:4" x14ac:dyDescent="0.25">
      <c r="A1372" s="167"/>
      <c r="B1372" s="166"/>
      <c r="C1372" s="166"/>
      <c r="D1372" s="166"/>
    </row>
    <row r="1373" spans="1:4" x14ac:dyDescent="0.25">
      <c r="A1373" s="167"/>
      <c r="B1373" s="166"/>
      <c r="C1373" s="166"/>
      <c r="D1373" s="166"/>
    </row>
    <row r="1374" spans="1:4" x14ac:dyDescent="0.25">
      <c r="A1374" s="167"/>
      <c r="B1374" s="166"/>
      <c r="C1374" s="166"/>
      <c r="D1374" s="166"/>
    </row>
    <row r="1375" spans="1:4" x14ac:dyDescent="0.25">
      <c r="A1375" s="167"/>
      <c r="B1375" s="166"/>
      <c r="C1375" s="166"/>
      <c r="D1375" s="166"/>
    </row>
    <row r="1376" spans="1:4" x14ac:dyDescent="0.25">
      <c r="A1376" s="167"/>
      <c r="B1376" s="166"/>
      <c r="C1376" s="166"/>
      <c r="D1376" s="166"/>
    </row>
    <row r="1377" spans="1:4" x14ac:dyDescent="0.25">
      <c r="A1377" s="167"/>
      <c r="B1377" s="166"/>
      <c r="C1377" s="166"/>
      <c r="D1377" s="166"/>
    </row>
    <row r="1378" spans="1:4" x14ac:dyDescent="0.25">
      <c r="A1378" s="167"/>
      <c r="B1378" s="166"/>
      <c r="C1378" s="166"/>
      <c r="D1378" s="166"/>
    </row>
    <row r="1379" spans="1:4" x14ac:dyDescent="0.25">
      <c r="A1379" s="167"/>
      <c r="B1379" s="166"/>
      <c r="C1379" s="166"/>
      <c r="D1379" s="166"/>
    </row>
    <row r="1380" spans="1:4" x14ac:dyDescent="0.25">
      <c r="A1380" s="167"/>
      <c r="B1380" s="166"/>
      <c r="C1380" s="166"/>
      <c r="D1380" s="166"/>
    </row>
    <row r="1381" spans="1:4" x14ac:dyDescent="0.25">
      <c r="A1381" s="167"/>
      <c r="B1381" s="166"/>
      <c r="C1381" s="166"/>
      <c r="D1381" s="166"/>
    </row>
    <row r="1382" spans="1:4" x14ac:dyDescent="0.25">
      <c r="A1382" s="167"/>
      <c r="B1382" s="166"/>
      <c r="C1382" s="166"/>
      <c r="D1382" s="166"/>
    </row>
    <row r="1383" spans="1:4" x14ac:dyDescent="0.25">
      <c r="A1383" s="167"/>
      <c r="B1383" s="166"/>
      <c r="C1383" s="166"/>
      <c r="D1383" s="166"/>
    </row>
    <row r="1384" spans="1:4" x14ac:dyDescent="0.25">
      <c r="A1384" s="167"/>
      <c r="B1384" s="166"/>
      <c r="C1384" s="166"/>
      <c r="D1384" s="166"/>
    </row>
    <row r="1385" spans="1:4" x14ac:dyDescent="0.25">
      <c r="A1385" s="167"/>
      <c r="B1385" s="166"/>
      <c r="C1385" s="166"/>
      <c r="D1385" s="166"/>
    </row>
    <row r="1386" spans="1:4" x14ac:dyDescent="0.25">
      <c r="A1386" s="167"/>
      <c r="B1386" s="166"/>
      <c r="C1386" s="166"/>
      <c r="D1386" s="166"/>
    </row>
    <row r="1387" spans="1:4" x14ac:dyDescent="0.25">
      <c r="A1387" s="167"/>
      <c r="B1387" s="166"/>
      <c r="C1387" s="166"/>
      <c r="D1387" s="166"/>
    </row>
    <row r="1388" spans="1:4" x14ac:dyDescent="0.25">
      <c r="A1388" s="167"/>
      <c r="B1388" s="166"/>
      <c r="C1388" s="166"/>
      <c r="D1388" s="166"/>
    </row>
    <row r="1389" spans="1:4" x14ac:dyDescent="0.25">
      <c r="A1389" s="167"/>
      <c r="B1389" s="166"/>
      <c r="C1389" s="166"/>
      <c r="D1389" s="166"/>
    </row>
    <row r="1390" spans="1:4" x14ac:dyDescent="0.25">
      <c r="A1390" s="167"/>
      <c r="B1390" s="166"/>
      <c r="C1390" s="166"/>
      <c r="D1390" s="166"/>
    </row>
    <row r="1391" spans="1:4" x14ac:dyDescent="0.25">
      <c r="A1391" s="167"/>
      <c r="B1391" s="166"/>
      <c r="C1391" s="166"/>
      <c r="D1391" s="166"/>
    </row>
    <row r="1392" spans="1:4" x14ac:dyDescent="0.25">
      <c r="A1392" s="167"/>
      <c r="B1392" s="166"/>
      <c r="C1392" s="166"/>
      <c r="D1392" s="166"/>
    </row>
    <row r="1393" spans="1:4" x14ac:dyDescent="0.25">
      <c r="A1393" s="167"/>
      <c r="B1393" s="166"/>
      <c r="C1393" s="166"/>
      <c r="D1393" s="166"/>
    </row>
    <row r="1394" spans="1:4" x14ac:dyDescent="0.25">
      <c r="A1394" s="167"/>
      <c r="B1394" s="166"/>
      <c r="C1394" s="166"/>
      <c r="D1394" s="166"/>
    </row>
    <row r="1395" spans="1:4" x14ac:dyDescent="0.25">
      <c r="A1395" s="167"/>
      <c r="B1395" s="166"/>
      <c r="C1395" s="166"/>
      <c r="D1395" s="166"/>
    </row>
    <row r="1396" spans="1:4" x14ac:dyDescent="0.25">
      <c r="A1396" s="167"/>
      <c r="B1396" s="166"/>
      <c r="C1396" s="166"/>
      <c r="D1396" s="166"/>
    </row>
    <row r="1397" spans="1:4" x14ac:dyDescent="0.25">
      <c r="A1397" s="167"/>
      <c r="B1397" s="166"/>
      <c r="C1397" s="166"/>
      <c r="D1397" s="166"/>
    </row>
    <row r="1398" spans="1:4" x14ac:dyDescent="0.25">
      <c r="A1398" s="167"/>
      <c r="B1398" s="166"/>
      <c r="C1398" s="166"/>
      <c r="D1398" s="166"/>
    </row>
    <row r="1399" spans="1:4" x14ac:dyDescent="0.25">
      <c r="A1399" s="167"/>
      <c r="B1399" s="166"/>
      <c r="C1399" s="166"/>
      <c r="D1399" s="166"/>
    </row>
    <row r="1400" spans="1:4" x14ac:dyDescent="0.25">
      <c r="A1400" s="167"/>
      <c r="B1400" s="166"/>
      <c r="C1400" s="166"/>
      <c r="D1400" s="166"/>
    </row>
    <row r="1401" spans="1:4" x14ac:dyDescent="0.25">
      <c r="A1401" s="167"/>
      <c r="B1401" s="166"/>
      <c r="C1401" s="166"/>
      <c r="D1401" s="166"/>
    </row>
    <row r="1402" spans="1:4" x14ac:dyDescent="0.25">
      <c r="A1402" s="167"/>
      <c r="B1402" s="166"/>
      <c r="C1402" s="166"/>
      <c r="D1402" s="166"/>
    </row>
    <row r="1403" spans="1:4" x14ac:dyDescent="0.25">
      <c r="A1403" s="167"/>
      <c r="B1403" s="166"/>
      <c r="C1403" s="166"/>
      <c r="D1403" s="166"/>
    </row>
    <row r="1404" spans="1:4" x14ac:dyDescent="0.25">
      <c r="A1404" s="167"/>
      <c r="B1404" s="166"/>
      <c r="C1404" s="166"/>
      <c r="D1404" s="166"/>
    </row>
    <row r="1405" spans="1:4" x14ac:dyDescent="0.25">
      <c r="A1405" s="167"/>
      <c r="B1405" s="166"/>
      <c r="C1405" s="166"/>
      <c r="D1405" s="166"/>
    </row>
    <row r="1406" spans="1:4" x14ac:dyDescent="0.25">
      <c r="A1406" s="167"/>
      <c r="B1406" s="166"/>
      <c r="C1406" s="166"/>
      <c r="D1406" s="166"/>
    </row>
    <row r="1407" spans="1:4" x14ac:dyDescent="0.25">
      <c r="A1407" s="167"/>
      <c r="B1407" s="166"/>
      <c r="C1407" s="166"/>
      <c r="D1407" s="166"/>
    </row>
    <row r="1408" spans="1:4" x14ac:dyDescent="0.25">
      <c r="A1408" s="167"/>
      <c r="B1408" s="166"/>
      <c r="C1408" s="166"/>
      <c r="D1408" s="166"/>
    </row>
    <row r="1409" spans="1:4" x14ac:dyDescent="0.25">
      <c r="A1409" s="167"/>
      <c r="B1409" s="166"/>
      <c r="C1409" s="166"/>
      <c r="D1409" s="166"/>
    </row>
    <row r="1410" spans="1:4" x14ac:dyDescent="0.25">
      <c r="A1410" s="167"/>
      <c r="B1410" s="166"/>
      <c r="C1410" s="166"/>
      <c r="D1410" s="166"/>
    </row>
    <row r="1411" spans="1:4" x14ac:dyDescent="0.25">
      <c r="A1411" s="167"/>
      <c r="B1411" s="166"/>
      <c r="C1411" s="166"/>
      <c r="D1411" s="166"/>
    </row>
    <row r="1412" spans="1:4" x14ac:dyDescent="0.25">
      <c r="A1412" s="167"/>
      <c r="B1412" s="166"/>
      <c r="C1412" s="166"/>
      <c r="D1412" s="166"/>
    </row>
    <row r="1413" spans="1:4" x14ac:dyDescent="0.25">
      <c r="A1413" s="167"/>
      <c r="B1413" s="166"/>
      <c r="C1413" s="166"/>
      <c r="D1413" s="166"/>
    </row>
    <row r="1414" spans="1:4" x14ac:dyDescent="0.25">
      <c r="A1414" s="167"/>
      <c r="B1414" s="166"/>
      <c r="C1414" s="166"/>
      <c r="D1414" s="166"/>
    </row>
    <row r="1415" spans="1:4" x14ac:dyDescent="0.25">
      <c r="A1415" s="167"/>
      <c r="B1415" s="166"/>
      <c r="C1415" s="166"/>
      <c r="D1415" s="166"/>
    </row>
    <row r="1416" spans="1:4" x14ac:dyDescent="0.25">
      <c r="A1416" s="167"/>
      <c r="B1416" s="166"/>
      <c r="C1416" s="166"/>
      <c r="D1416" s="166"/>
    </row>
    <row r="1417" spans="1:4" x14ac:dyDescent="0.25">
      <c r="A1417" s="167"/>
      <c r="B1417" s="166"/>
      <c r="C1417" s="166"/>
      <c r="D1417" s="166"/>
    </row>
    <row r="1418" spans="1:4" x14ac:dyDescent="0.25">
      <c r="A1418" s="167"/>
      <c r="B1418" s="166"/>
      <c r="C1418" s="166"/>
      <c r="D1418" s="166"/>
    </row>
    <row r="1419" spans="1:4" x14ac:dyDescent="0.25">
      <c r="A1419" s="167"/>
      <c r="B1419" s="166"/>
      <c r="C1419" s="166"/>
      <c r="D1419" s="166"/>
    </row>
    <row r="1420" spans="1:4" x14ac:dyDescent="0.25">
      <c r="A1420" s="167"/>
      <c r="B1420" s="166"/>
      <c r="C1420" s="166"/>
      <c r="D1420" s="166"/>
    </row>
    <row r="1421" spans="1:4" x14ac:dyDescent="0.25">
      <c r="A1421" s="167"/>
      <c r="B1421" s="166"/>
      <c r="C1421" s="166"/>
      <c r="D1421" s="166"/>
    </row>
    <row r="1422" spans="1:4" x14ac:dyDescent="0.25">
      <c r="A1422" s="167"/>
      <c r="B1422" s="166"/>
      <c r="C1422" s="166"/>
      <c r="D1422" s="166"/>
    </row>
    <row r="1423" spans="1:4" x14ac:dyDescent="0.25">
      <c r="A1423" s="167"/>
      <c r="B1423" s="166"/>
      <c r="C1423" s="166"/>
      <c r="D1423" s="166"/>
    </row>
    <row r="1424" spans="1:4" x14ac:dyDescent="0.25">
      <c r="A1424" s="167"/>
      <c r="B1424" s="166"/>
      <c r="C1424" s="166"/>
      <c r="D1424" s="166"/>
    </row>
    <row r="1425" spans="1:4" x14ac:dyDescent="0.25">
      <c r="A1425" s="167"/>
      <c r="B1425" s="166"/>
      <c r="C1425" s="166"/>
      <c r="D1425" s="166"/>
    </row>
    <row r="1426" spans="1:4" x14ac:dyDescent="0.25">
      <c r="A1426" s="167"/>
      <c r="B1426" s="166"/>
      <c r="C1426" s="166"/>
      <c r="D1426" s="166"/>
    </row>
    <row r="1427" spans="1:4" x14ac:dyDescent="0.25">
      <c r="A1427" s="167"/>
      <c r="B1427" s="166"/>
      <c r="C1427" s="166"/>
      <c r="D1427" s="166"/>
    </row>
    <row r="1428" spans="1:4" x14ac:dyDescent="0.25">
      <c r="A1428" s="167"/>
      <c r="B1428" s="166"/>
      <c r="C1428" s="166"/>
      <c r="D1428" s="166"/>
    </row>
    <row r="1429" spans="1:4" x14ac:dyDescent="0.25">
      <c r="A1429" s="167"/>
      <c r="B1429" s="166"/>
      <c r="C1429" s="166"/>
      <c r="D1429" s="166"/>
    </row>
    <row r="1430" spans="1:4" x14ac:dyDescent="0.25">
      <c r="A1430" s="167"/>
      <c r="B1430" s="166"/>
      <c r="C1430" s="166"/>
      <c r="D1430" s="166"/>
    </row>
    <row r="1431" spans="1:4" x14ac:dyDescent="0.25">
      <c r="A1431" s="167"/>
      <c r="B1431" s="166"/>
      <c r="C1431" s="166"/>
      <c r="D1431" s="166"/>
    </row>
    <row r="1432" spans="1:4" x14ac:dyDescent="0.25">
      <c r="A1432" s="167"/>
      <c r="B1432" s="166"/>
      <c r="C1432" s="166"/>
      <c r="D1432" s="166"/>
    </row>
    <row r="1433" spans="1:4" x14ac:dyDescent="0.25">
      <c r="A1433" s="167"/>
      <c r="B1433" s="166"/>
      <c r="C1433" s="166"/>
      <c r="D1433" s="166"/>
    </row>
    <row r="1434" spans="1:4" x14ac:dyDescent="0.25">
      <c r="A1434" s="167"/>
      <c r="B1434" s="166"/>
      <c r="C1434" s="166"/>
      <c r="D1434" s="166"/>
    </row>
    <row r="1435" spans="1:4" x14ac:dyDescent="0.25">
      <c r="A1435" s="167"/>
      <c r="B1435" s="166"/>
      <c r="C1435" s="166"/>
      <c r="D1435" s="166"/>
    </row>
    <row r="1436" spans="1:4" x14ac:dyDescent="0.25">
      <c r="A1436" s="167"/>
      <c r="B1436" s="166"/>
      <c r="C1436" s="166"/>
      <c r="D1436" s="166"/>
    </row>
    <row r="1437" spans="1:4" x14ac:dyDescent="0.25">
      <c r="A1437" s="167"/>
      <c r="B1437" s="166"/>
      <c r="C1437" s="166"/>
      <c r="D1437" s="166"/>
    </row>
    <row r="1438" spans="1:4" x14ac:dyDescent="0.25">
      <c r="A1438" s="167"/>
      <c r="B1438" s="166"/>
      <c r="C1438" s="166"/>
      <c r="D1438" s="166"/>
    </row>
    <row r="1439" spans="1:4" x14ac:dyDescent="0.25">
      <c r="A1439" s="167"/>
      <c r="B1439" s="166"/>
      <c r="C1439" s="166"/>
      <c r="D1439" s="166"/>
    </row>
    <row r="1440" spans="1:4" x14ac:dyDescent="0.25">
      <c r="A1440" s="167"/>
      <c r="B1440" s="166"/>
      <c r="C1440" s="166"/>
      <c r="D1440" s="166"/>
    </row>
    <row r="1441" spans="1:4" x14ac:dyDescent="0.25">
      <c r="A1441" s="167"/>
      <c r="B1441" s="166"/>
      <c r="C1441" s="166"/>
      <c r="D1441" s="166"/>
    </row>
    <row r="1442" spans="1:4" x14ac:dyDescent="0.25">
      <c r="A1442" s="167"/>
      <c r="B1442" s="166"/>
      <c r="C1442" s="166"/>
      <c r="D1442" s="166"/>
    </row>
    <row r="1443" spans="1:4" x14ac:dyDescent="0.25">
      <c r="A1443" s="167"/>
      <c r="B1443" s="166"/>
      <c r="C1443" s="166"/>
      <c r="D1443" s="166"/>
    </row>
    <row r="1444" spans="1:4" x14ac:dyDescent="0.25">
      <c r="A1444" s="167"/>
      <c r="B1444" s="166"/>
      <c r="C1444" s="166"/>
      <c r="D1444" s="166"/>
    </row>
    <row r="1445" spans="1:4" x14ac:dyDescent="0.25">
      <c r="A1445" s="167"/>
      <c r="B1445" s="166"/>
      <c r="C1445" s="166"/>
      <c r="D1445" s="166"/>
    </row>
    <row r="1446" spans="1:4" x14ac:dyDescent="0.25">
      <c r="A1446" s="167"/>
      <c r="B1446" s="166"/>
      <c r="C1446" s="166"/>
      <c r="D1446" s="166"/>
    </row>
    <row r="1447" spans="1:4" x14ac:dyDescent="0.25">
      <c r="A1447" s="167"/>
      <c r="B1447" s="166"/>
      <c r="C1447" s="166"/>
      <c r="D1447" s="166"/>
    </row>
    <row r="1448" spans="1:4" x14ac:dyDescent="0.25">
      <c r="A1448" s="167"/>
      <c r="B1448" s="166"/>
      <c r="C1448" s="166"/>
      <c r="D1448" s="166"/>
    </row>
    <row r="1449" spans="1:4" x14ac:dyDescent="0.25">
      <c r="A1449" s="167"/>
      <c r="B1449" s="166"/>
      <c r="C1449" s="166"/>
      <c r="D1449" s="166"/>
    </row>
    <row r="1450" spans="1:4" x14ac:dyDescent="0.25">
      <c r="A1450" s="167"/>
      <c r="B1450" s="166"/>
      <c r="C1450" s="166"/>
      <c r="D1450" s="166"/>
    </row>
    <row r="1451" spans="1:4" x14ac:dyDescent="0.25">
      <c r="A1451" s="167"/>
      <c r="B1451" s="166"/>
      <c r="C1451" s="166"/>
      <c r="D1451" s="166"/>
    </row>
    <row r="1452" spans="1:4" x14ac:dyDescent="0.25">
      <c r="A1452" s="167"/>
      <c r="B1452" s="166"/>
      <c r="C1452" s="166"/>
      <c r="D1452" s="166"/>
    </row>
    <row r="1453" spans="1:4" x14ac:dyDescent="0.25">
      <c r="A1453" s="167"/>
      <c r="B1453" s="166"/>
      <c r="C1453" s="166"/>
      <c r="D1453" s="166"/>
    </row>
    <row r="1454" spans="1:4" x14ac:dyDescent="0.25">
      <c r="A1454" s="167"/>
      <c r="B1454" s="166"/>
      <c r="C1454" s="166"/>
      <c r="D1454" s="166"/>
    </row>
    <row r="1455" spans="1:4" x14ac:dyDescent="0.25">
      <c r="A1455" s="167"/>
      <c r="B1455" s="166"/>
      <c r="C1455" s="166"/>
      <c r="D1455" s="166"/>
    </row>
    <row r="1456" spans="1:4" x14ac:dyDescent="0.25">
      <c r="A1456" s="167"/>
      <c r="B1456" s="166"/>
      <c r="C1456" s="166"/>
      <c r="D1456" s="166"/>
    </row>
    <row r="1457" spans="1:4" x14ac:dyDescent="0.25">
      <c r="A1457" s="167"/>
      <c r="B1457" s="166"/>
      <c r="C1457" s="166"/>
      <c r="D1457" s="166"/>
    </row>
    <row r="1458" spans="1:4" x14ac:dyDescent="0.25">
      <c r="A1458" s="167"/>
      <c r="B1458" s="166"/>
      <c r="C1458" s="166"/>
      <c r="D1458" s="166"/>
    </row>
    <row r="1459" spans="1:4" x14ac:dyDescent="0.25">
      <c r="A1459" s="167"/>
      <c r="B1459" s="166"/>
      <c r="C1459" s="166"/>
      <c r="D1459" s="166"/>
    </row>
    <row r="1460" spans="1:4" x14ac:dyDescent="0.25">
      <c r="A1460" s="167"/>
      <c r="B1460" s="166"/>
      <c r="C1460" s="166"/>
      <c r="D1460" s="166"/>
    </row>
    <row r="1461" spans="1:4" x14ac:dyDescent="0.25">
      <c r="A1461" s="167"/>
      <c r="B1461" s="166"/>
      <c r="C1461" s="166"/>
      <c r="D1461" s="166"/>
    </row>
    <row r="1462" spans="1:4" x14ac:dyDescent="0.25">
      <c r="A1462" s="167"/>
      <c r="B1462" s="166"/>
      <c r="C1462" s="166"/>
      <c r="D1462" s="166"/>
    </row>
    <row r="1463" spans="1:4" x14ac:dyDescent="0.25">
      <c r="A1463" s="167"/>
      <c r="B1463" s="166"/>
      <c r="C1463" s="166"/>
      <c r="D1463" s="166"/>
    </row>
    <row r="1464" spans="1:4" x14ac:dyDescent="0.25">
      <c r="A1464" s="167"/>
      <c r="B1464" s="166"/>
      <c r="C1464" s="166"/>
      <c r="D1464" s="166"/>
    </row>
    <row r="1465" spans="1:4" x14ac:dyDescent="0.25">
      <c r="A1465" s="167"/>
      <c r="B1465" s="166"/>
      <c r="C1465" s="166"/>
      <c r="D1465" s="166"/>
    </row>
    <row r="1466" spans="1:4" x14ac:dyDescent="0.25">
      <c r="A1466" s="167"/>
      <c r="B1466" s="166"/>
      <c r="C1466" s="166"/>
      <c r="D1466" s="166"/>
    </row>
    <row r="1467" spans="1:4" x14ac:dyDescent="0.25">
      <c r="A1467" s="167"/>
      <c r="B1467" s="166"/>
      <c r="C1467" s="166"/>
      <c r="D1467" s="166"/>
    </row>
    <row r="1468" spans="1:4" x14ac:dyDescent="0.25">
      <c r="A1468" s="167"/>
      <c r="B1468" s="166"/>
      <c r="C1468" s="166"/>
      <c r="D1468" s="166"/>
    </row>
    <row r="1469" spans="1:4" x14ac:dyDescent="0.25">
      <c r="A1469" s="167"/>
      <c r="B1469" s="166"/>
      <c r="C1469" s="166"/>
      <c r="D1469" s="166"/>
    </row>
    <row r="1470" spans="1:4" x14ac:dyDescent="0.25">
      <c r="A1470" s="167"/>
      <c r="B1470" s="166"/>
      <c r="C1470" s="166"/>
      <c r="D1470" s="166"/>
    </row>
    <row r="1471" spans="1:4" x14ac:dyDescent="0.25">
      <c r="A1471" s="167"/>
      <c r="B1471" s="166"/>
      <c r="C1471" s="166"/>
      <c r="D1471" s="166"/>
    </row>
    <row r="1472" spans="1:4" x14ac:dyDescent="0.25">
      <c r="A1472" s="167"/>
      <c r="B1472" s="166"/>
      <c r="C1472" s="166"/>
      <c r="D1472" s="166"/>
    </row>
    <row r="1473" spans="1:4" x14ac:dyDescent="0.25">
      <c r="A1473" s="167"/>
      <c r="B1473" s="166"/>
      <c r="C1473" s="166"/>
      <c r="D1473" s="166"/>
    </row>
    <row r="1474" spans="1:4" x14ac:dyDescent="0.25">
      <c r="A1474" s="167"/>
      <c r="B1474" s="166"/>
      <c r="C1474" s="166"/>
      <c r="D1474" s="166"/>
    </row>
    <row r="1475" spans="1:4" x14ac:dyDescent="0.25">
      <c r="A1475" s="167"/>
      <c r="B1475" s="166"/>
      <c r="C1475" s="166"/>
      <c r="D1475" s="166"/>
    </row>
    <row r="1476" spans="1:4" x14ac:dyDescent="0.25">
      <c r="A1476" s="167"/>
      <c r="B1476" s="166"/>
      <c r="C1476" s="166"/>
      <c r="D1476" s="166"/>
    </row>
    <row r="1477" spans="1:4" x14ac:dyDescent="0.25">
      <c r="A1477" s="167"/>
      <c r="B1477" s="166"/>
      <c r="C1477" s="166"/>
      <c r="D1477" s="166"/>
    </row>
    <row r="1478" spans="1:4" x14ac:dyDescent="0.25">
      <c r="A1478" s="167"/>
      <c r="B1478" s="166"/>
      <c r="C1478" s="166"/>
      <c r="D1478" s="166"/>
    </row>
    <row r="1479" spans="1:4" x14ac:dyDescent="0.25">
      <c r="A1479" s="167"/>
      <c r="B1479" s="166"/>
      <c r="C1479" s="166"/>
      <c r="D1479" s="166"/>
    </row>
    <row r="1480" spans="1:4" x14ac:dyDescent="0.25">
      <c r="A1480" s="167"/>
      <c r="B1480" s="166"/>
      <c r="C1480" s="166"/>
      <c r="D1480" s="166"/>
    </row>
    <row r="1481" spans="1:4" x14ac:dyDescent="0.25">
      <c r="A1481" s="167"/>
      <c r="B1481" s="166"/>
      <c r="C1481" s="166"/>
      <c r="D1481" s="166"/>
    </row>
    <row r="1482" spans="1:4" x14ac:dyDescent="0.25">
      <c r="A1482" s="167"/>
      <c r="B1482" s="166"/>
      <c r="C1482" s="166"/>
      <c r="D1482" s="166"/>
    </row>
    <row r="1483" spans="1:4" x14ac:dyDescent="0.25">
      <c r="A1483" s="167"/>
      <c r="B1483" s="166"/>
      <c r="C1483" s="166"/>
      <c r="D1483" s="166"/>
    </row>
    <row r="1484" spans="1:4" x14ac:dyDescent="0.25">
      <c r="A1484" s="167"/>
      <c r="B1484" s="166"/>
      <c r="C1484" s="166"/>
      <c r="D1484" s="166"/>
    </row>
    <row r="1485" spans="1:4" x14ac:dyDescent="0.25">
      <c r="A1485" s="167"/>
      <c r="B1485" s="166"/>
      <c r="C1485" s="166"/>
      <c r="D1485" s="166"/>
    </row>
    <row r="1486" spans="1:4" x14ac:dyDescent="0.25">
      <c r="A1486" s="167"/>
      <c r="B1486" s="166"/>
      <c r="C1486" s="166"/>
      <c r="D1486" s="166"/>
    </row>
    <row r="1487" spans="1:4" x14ac:dyDescent="0.25">
      <c r="A1487" s="167"/>
      <c r="B1487" s="166"/>
      <c r="C1487" s="166"/>
      <c r="D1487" s="166"/>
    </row>
    <row r="1488" spans="1:4" x14ac:dyDescent="0.25">
      <c r="A1488" s="167"/>
      <c r="B1488" s="166"/>
      <c r="C1488" s="166"/>
      <c r="D1488" s="166"/>
    </row>
    <row r="1489" spans="1:4" x14ac:dyDescent="0.25">
      <c r="A1489" s="167"/>
      <c r="B1489" s="166"/>
      <c r="C1489" s="166"/>
      <c r="D1489" s="166"/>
    </row>
    <row r="1490" spans="1:4" x14ac:dyDescent="0.25">
      <c r="A1490" s="167"/>
      <c r="B1490" s="166"/>
      <c r="C1490" s="166"/>
      <c r="D1490" s="166"/>
    </row>
    <row r="1491" spans="1:4" x14ac:dyDescent="0.25">
      <c r="A1491" s="167"/>
      <c r="B1491" s="166"/>
      <c r="C1491" s="166"/>
      <c r="D1491" s="166"/>
    </row>
    <row r="1492" spans="1:4" x14ac:dyDescent="0.25">
      <c r="A1492" s="167"/>
      <c r="B1492" s="166"/>
      <c r="C1492" s="166"/>
      <c r="D1492" s="166"/>
    </row>
    <row r="1493" spans="1:4" x14ac:dyDescent="0.25">
      <c r="A1493" s="167"/>
      <c r="B1493" s="166"/>
      <c r="C1493" s="166"/>
      <c r="D1493" s="166"/>
    </row>
    <row r="1494" spans="1:4" x14ac:dyDescent="0.25">
      <c r="A1494" s="167"/>
      <c r="B1494" s="166"/>
      <c r="C1494" s="166"/>
      <c r="D1494" s="166"/>
    </row>
    <row r="1495" spans="1:4" x14ac:dyDescent="0.25">
      <c r="A1495" s="167"/>
      <c r="B1495" s="166"/>
      <c r="C1495" s="166"/>
      <c r="D1495" s="166"/>
    </row>
    <row r="1496" spans="1:4" x14ac:dyDescent="0.25">
      <c r="A1496" s="167"/>
      <c r="B1496" s="166"/>
      <c r="C1496" s="166"/>
      <c r="D1496" s="166"/>
    </row>
    <row r="1497" spans="1:4" x14ac:dyDescent="0.25">
      <c r="A1497" s="167"/>
      <c r="B1497" s="166"/>
      <c r="C1497" s="166"/>
      <c r="D1497" s="166"/>
    </row>
    <row r="1498" spans="1:4" x14ac:dyDescent="0.25">
      <c r="A1498" s="167"/>
      <c r="B1498" s="166"/>
      <c r="C1498" s="166"/>
      <c r="D1498" s="166"/>
    </row>
    <row r="1499" spans="1:4" x14ac:dyDescent="0.25">
      <c r="A1499" s="167"/>
      <c r="B1499" s="166"/>
      <c r="C1499" s="166"/>
      <c r="D1499" s="166"/>
    </row>
    <row r="1500" spans="1:4" x14ac:dyDescent="0.25">
      <c r="A1500" s="167"/>
      <c r="B1500" s="166"/>
      <c r="C1500" s="166"/>
      <c r="D1500" s="166"/>
    </row>
    <row r="1501" spans="1:4" x14ac:dyDescent="0.25">
      <c r="A1501" s="167"/>
      <c r="B1501" s="166"/>
      <c r="C1501" s="166"/>
      <c r="D1501" s="166"/>
    </row>
    <row r="1502" spans="1:4" x14ac:dyDescent="0.25">
      <c r="A1502" s="167"/>
      <c r="B1502" s="166"/>
      <c r="C1502" s="166"/>
      <c r="D1502" s="166"/>
    </row>
    <row r="1503" spans="1:4" x14ac:dyDescent="0.25">
      <c r="A1503" s="167"/>
      <c r="B1503" s="166"/>
      <c r="C1503" s="166"/>
      <c r="D1503" s="166"/>
    </row>
    <row r="1504" spans="1:4" x14ac:dyDescent="0.25">
      <c r="A1504" s="167"/>
      <c r="B1504" s="166"/>
      <c r="C1504" s="166"/>
      <c r="D1504" s="166"/>
    </row>
    <row r="1505" spans="1:4" x14ac:dyDescent="0.25">
      <c r="A1505" s="167"/>
      <c r="B1505" s="166"/>
      <c r="C1505" s="166"/>
      <c r="D1505" s="166"/>
    </row>
    <row r="1506" spans="1:4" x14ac:dyDescent="0.25">
      <c r="A1506" s="167"/>
      <c r="B1506" s="166"/>
      <c r="C1506" s="166"/>
      <c r="D1506" s="166"/>
    </row>
    <row r="1507" spans="1:4" x14ac:dyDescent="0.25">
      <c r="A1507" s="167"/>
      <c r="B1507" s="166"/>
      <c r="C1507" s="166"/>
      <c r="D1507" s="166"/>
    </row>
    <row r="1508" spans="1:4" x14ac:dyDescent="0.25">
      <c r="A1508" s="167"/>
      <c r="B1508" s="166"/>
      <c r="C1508" s="166"/>
      <c r="D1508" s="166"/>
    </row>
    <row r="1509" spans="1:4" x14ac:dyDescent="0.25">
      <c r="A1509" s="167"/>
      <c r="B1509" s="166"/>
      <c r="C1509" s="166"/>
      <c r="D1509" s="166"/>
    </row>
    <row r="1510" spans="1:4" x14ac:dyDescent="0.25">
      <c r="A1510" s="167"/>
      <c r="B1510" s="166"/>
      <c r="C1510" s="166"/>
      <c r="D1510" s="166"/>
    </row>
    <row r="1511" spans="1:4" x14ac:dyDescent="0.25">
      <c r="A1511" s="167"/>
      <c r="B1511" s="166"/>
      <c r="C1511" s="166"/>
      <c r="D1511" s="166"/>
    </row>
    <row r="1512" spans="1:4" x14ac:dyDescent="0.25">
      <c r="A1512" s="167"/>
      <c r="B1512" s="166"/>
      <c r="C1512" s="166"/>
      <c r="D1512" s="166"/>
    </row>
    <row r="1513" spans="1:4" x14ac:dyDescent="0.25">
      <c r="A1513" s="167"/>
      <c r="B1513" s="166"/>
      <c r="C1513" s="166"/>
      <c r="D1513" s="166"/>
    </row>
    <row r="1514" spans="1:4" x14ac:dyDescent="0.25">
      <c r="A1514" s="167"/>
      <c r="B1514" s="166"/>
      <c r="C1514" s="166"/>
      <c r="D1514" s="166"/>
    </row>
    <row r="1515" spans="1:4" x14ac:dyDescent="0.25">
      <c r="A1515" s="167"/>
      <c r="B1515" s="166"/>
      <c r="C1515" s="166"/>
      <c r="D1515" s="166"/>
    </row>
    <row r="1516" spans="1:4" x14ac:dyDescent="0.25">
      <c r="A1516" s="167"/>
      <c r="B1516" s="166"/>
      <c r="C1516" s="166"/>
      <c r="D1516" s="166"/>
    </row>
    <row r="1517" spans="1:4" x14ac:dyDescent="0.25">
      <c r="A1517" s="167"/>
      <c r="B1517" s="166"/>
      <c r="C1517" s="166"/>
      <c r="D1517" s="166"/>
    </row>
    <row r="1518" spans="1:4" x14ac:dyDescent="0.25">
      <c r="A1518" s="167"/>
      <c r="B1518" s="166"/>
      <c r="C1518" s="166"/>
      <c r="D1518" s="166"/>
    </row>
    <row r="1519" spans="1:4" x14ac:dyDescent="0.25">
      <c r="A1519" s="167"/>
      <c r="B1519" s="166"/>
      <c r="C1519" s="166"/>
      <c r="D1519" s="166"/>
    </row>
    <row r="1520" spans="1:4" x14ac:dyDescent="0.25">
      <c r="A1520" s="167"/>
      <c r="B1520" s="166"/>
      <c r="C1520" s="166"/>
      <c r="D1520" s="166"/>
    </row>
    <row r="1521" spans="1:4" x14ac:dyDescent="0.25">
      <c r="A1521" s="167"/>
      <c r="B1521" s="166"/>
      <c r="C1521" s="166"/>
      <c r="D1521" s="166"/>
    </row>
    <row r="1522" spans="1:4" x14ac:dyDescent="0.25">
      <c r="A1522" s="167"/>
      <c r="B1522" s="166"/>
      <c r="C1522" s="166"/>
      <c r="D1522" s="166"/>
    </row>
    <row r="1523" spans="1:4" x14ac:dyDescent="0.25">
      <c r="A1523" s="167"/>
      <c r="B1523" s="166"/>
      <c r="C1523" s="166"/>
      <c r="D1523" s="166"/>
    </row>
    <row r="1524" spans="1:4" x14ac:dyDescent="0.25">
      <c r="A1524" s="167"/>
      <c r="B1524" s="166"/>
      <c r="C1524" s="166"/>
      <c r="D1524" s="166"/>
    </row>
    <row r="1525" spans="1:4" x14ac:dyDescent="0.25">
      <c r="A1525" s="167"/>
      <c r="B1525" s="166"/>
      <c r="C1525" s="166"/>
      <c r="D1525" s="166"/>
    </row>
    <row r="1526" spans="1:4" x14ac:dyDescent="0.25">
      <c r="A1526" s="167"/>
      <c r="B1526" s="166"/>
      <c r="C1526" s="166"/>
      <c r="D1526" s="166"/>
    </row>
    <row r="1527" spans="1:4" x14ac:dyDescent="0.25">
      <c r="A1527" s="167"/>
      <c r="B1527" s="166"/>
      <c r="C1527" s="166"/>
      <c r="D1527" s="166"/>
    </row>
    <row r="1528" spans="1:4" x14ac:dyDescent="0.25">
      <c r="A1528" s="167"/>
      <c r="B1528" s="166"/>
      <c r="C1528" s="166"/>
      <c r="D1528" s="166"/>
    </row>
    <row r="1529" spans="1:4" x14ac:dyDescent="0.25">
      <c r="A1529" s="167"/>
      <c r="B1529" s="166"/>
      <c r="C1529" s="166"/>
      <c r="D1529" s="166"/>
    </row>
    <row r="1530" spans="1:4" x14ac:dyDescent="0.25">
      <c r="A1530" s="167"/>
      <c r="B1530" s="166"/>
      <c r="C1530" s="166"/>
      <c r="D1530" s="166"/>
    </row>
    <row r="1531" spans="1:4" x14ac:dyDescent="0.25">
      <c r="A1531" s="167"/>
      <c r="B1531" s="166"/>
      <c r="C1531" s="166"/>
      <c r="D1531" s="166"/>
    </row>
    <row r="1532" spans="1:4" x14ac:dyDescent="0.25">
      <c r="A1532" s="167"/>
      <c r="B1532" s="166"/>
      <c r="C1532" s="166"/>
      <c r="D1532" s="166"/>
    </row>
    <row r="1533" spans="1:4" x14ac:dyDescent="0.25">
      <c r="A1533" s="167"/>
      <c r="B1533" s="166"/>
      <c r="C1533" s="166"/>
      <c r="D1533" s="166"/>
    </row>
    <row r="1534" spans="1:4" x14ac:dyDescent="0.25">
      <c r="A1534" s="167"/>
      <c r="B1534" s="166"/>
      <c r="C1534" s="166"/>
      <c r="D1534" s="166"/>
    </row>
    <row r="1535" spans="1:4" x14ac:dyDescent="0.25">
      <c r="A1535" s="167"/>
      <c r="B1535" s="166"/>
      <c r="C1535" s="166"/>
      <c r="D1535" s="166"/>
    </row>
    <row r="1536" spans="1:4" x14ac:dyDescent="0.25">
      <c r="A1536" s="167"/>
      <c r="B1536" s="166"/>
      <c r="C1536" s="166"/>
      <c r="D1536" s="166"/>
    </row>
    <row r="1537" spans="1:4" x14ac:dyDescent="0.25">
      <c r="A1537" s="167"/>
      <c r="B1537" s="166"/>
      <c r="C1537" s="166"/>
      <c r="D1537" s="166"/>
    </row>
    <row r="1538" spans="1:4" x14ac:dyDescent="0.25">
      <c r="A1538" s="167"/>
      <c r="B1538" s="166"/>
      <c r="C1538" s="166"/>
      <c r="D1538" s="166"/>
    </row>
    <row r="1539" spans="1:4" x14ac:dyDescent="0.25">
      <c r="A1539" s="167"/>
      <c r="B1539" s="166"/>
      <c r="C1539" s="166"/>
      <c r="D1539" s="166"/>
    </row>
    <row r="1540" spans="1:4" x14ac:dyDescent="0.25">
      <c r="A1540" s="167"/>
      <c r="B1540" s="166"/>
      <c r="C1540" s="166"/>
      <c r="D1540" s="166"/>
    </row>
    <row r="1541" spans="1:4" x14ac:dyDescent="0.25">
      <c r="A1541" s="167"/>
      <c r="B1541" s="166"/>
      <c r="C1541" s="166"/>
      <c r="D1541" s="166"/>
    </row>
    <row r="1542" spans="1:4" x14ac:dyDescent="0.25">
      <c r="A1542" s="167"/>
      <c r="B1542" s="166"/>
      <c r="C1542" s="166"/>
      <c r="D1542" s="166"/>
    </row>
    <row r="1543" spans="1:4" x14ac:dyDescent="0.25">
      <c r="A1543" s="167"/>
      <c r="B1543" s="166"/>
      <c r="C1543" s="166"/>
      <c r="D1543" s="166"/>
    </row>
    <row r="1544" spans="1:4" x14ac:dyDescent="0.25">
      <c r="A1544" s="167"/>
      <c r="B1544" s="166"/>
      <c r="C1544" s="166"/>
      <c r="D1544" s="166"/>
    </row>
    <row r="1545" spans="1:4" x14ac:dyDescent="0.25">
      <c r="A1545" s="167"/>
      <c r="B1545" s="166"/>
      <c r="C1545" s="166"/>
      <c r="D1545" s="166"/>
    </row>
    <row r="1546" spans="1:4" x14ac:dyDescent="0.25">
      <c r="A1546" s="167"/>
      <c r="B1546" s="166"/>
      <c r="C1546" s="166"/>
      <c r="D1546" s="166"/>
    </row>
    <row r="1547" spans="1:4" x14ac:dyDescent="0.25">
      <c r="A1547" s="167"/>
      <c r="B1547" s="166"/>
      <c r="C1547" s="166"/>
      <c r="D1547" s="166"/>
    </row>
    <row r="1548" spans="1:4" x14ac:dyDescent="0.25">
      <c r="A1548" s="167"/>
      <c r="B1548" s="166"/>
      <c r="C1548" s="166"/>
      <c r="D1548" s="166"/>
    </row>
    <row r="1549" spans="1:4" x14ac:dyDescent="0.25">
      <c r="A1549" s="167"/>
      <c r="B1549" s="166"/>
      <c r="C1549" s="166"/>
      <c r="D1549" s="166"/>
    </row>
    <row r="1550" spans="1:4" x14ac:dyDescent="0.25">
      <c r="A1550" s="167"/>
      <c r="B1550" s="166"/>
      <c r="C1550" s="166"/>
      <c r="D1550" s="166"/>
    </row>
    <row r="1551" spans="1:4" x14ac:dyDescent="0.25">
      <c r="A1551" s="167"/>
      <c r="B1551" s="166"/>
      <c r="C1551" s="166"/>
      <c r="D1551" s="166"/>
    </row>
    <row r="1552" spans="1:4" x14ac:dyDescent="0.25">
      <c r="A1552" s="167"/>
      <c r="B1552" s="166"/>
      <c r="C1552" s="166"/>
      <c r="D1552" s="166"/>
    </row>
    <row r="1553" spans="1:4" x14ac:dyDescent="0.25">
      <c r="A1553" s="167"/>
      <c r="B1553" s="166"/>
      <c r="C1553" s="166"/>
      <c r="D1553" s="166"/>
    </row>
    <row r="1554" spans="1:4" x14ac:dyDescent="0.25">
      <c r="A1554" s="167"/>
      <c r="B1554" s="166"/>
      <c r="C1554" s="166"/>
      <c r="D1554" s="166"/>
    </row>
    <row r="1555" spans="1:4" x14ac:dyDescent="0.25">
      <c r="A1555" s="167"/>
      <c r="B1555" s="166"/>
      <c r="C1555" s="166"/>
      <c r="D1555" s="166"/>
    </row>
    <row r="1556" spans="1:4" x14ac:dyDescent="0.25">
      <c r="A1556" s="167"/>
      <c r="B1556" s="166"/>
      <c r="C1556" s="166"/>
      <c r="D1556" s="166"/>
    </row>
    <row r="1557" spans="1:4" x14ac:dyDescent="0.25">
      <c r="A1557" s="167"/>
      <c r="B1557" s="166"/>
      <c r="C1557" s="166"/>
      <c r="D1557" s="166"/>
    </row>
    <row r="1558" spans="1:4" x14ac:dyDescent="0.25">
      <c r="A1558" s="167"/>
      <c r="B1558" s="166"/>
      <c r="C1558" s="166"/>
      <c r="D1558" s="166"/>
    </row>
    <row r="1559" spans="1:4" x14ac:dyDescent="0.25">
      <c r="A1559" s="167"/>
      <c r="B1559" s="166"/>
      <c r="C1559" s="166"/>
      <c r="D1559" s="166"/>
    </row>
    <row r="1560" spans="1:4" x14ac:dyDescent="0.25">
      <c r="A1560" s="167"/>
      <c r="B1560" s="166"/>
      <c r="C1560" s="166"/>
      <c r="D1560" s="166"/>
    </row>
    <row r="1561" spans="1:4" x14ac:dyDescent="0.25">
      <c r="A1561" s="167"/>
      <c r="B1561" s="166"/>
      <c r="C1561" s="166"/>
      <c r="D1561" s="166"/>
    </row>
    <row r="1562" spans="1:4" x14ac:dyDescent="0.25">
      <c r="A1562" s="167"/>
      <c r="B1562" s="166"/>
      <c r="C1562" s="166"/>
      <c r="D1562" s="166"/>
    </row>
    <row r="1563" spans="1:4" x14ac:dyDescent="0.25">
      <c r="A1563" s="167"/>
      <c r="B1563" s="166"/>
      <c r="C1563" s="166"/>
      <c r="D1563" s="166"/>
    </row>
    <row r="1564" spans="1:4" x14ac:dyDescent="0.25">
      <c r="A1564" s="167"/>
      <c r="B1564" s="166"/>
      <c r="C1564" s="166"/>
      <c r="D1564" s="166"/>
    </row>
    <row r="1565" spans="1:4" x14ac:dyDescent="0.25">
      <c r="A1565" s="167"/>
      <c r="B1565" s="166"/>
      <c r="C1565" s="166"/>
      <c r="D1565" s="166"/>
    </row>
    <row r="1566" spans="1:4" x14ac:dyDescent="0.25">
      <c r="A1566" s="167"/>
      <c r="B1566" s="166"/>
      <c r="C1566" s="166"/>
      <c r="D1566" s="166"/>
    </row>
    <row r="1567" spans="1:4" x14ac:dyDescent="0.25">
      <c r="A1567" s="167"/>
      <c r="B1567" s="166"/>
      <c r="C1567" s="166"/>
      <c r="D1567" s="166"/>
    </row>
    <row r="1568" spans="1:4" x14ac:dyDescent="0.25">
      <c r="A1568" s="167"/>
      <c r="B1568" s="166"/>
      <c r="C1568" s="166"/>
      <c r="D1568" s="166"/>
    </row>
    <row r="1569" spans="1:4" x14ac:dyDescent="0.25">
      <c r="A1569" s="167"/>
      <c r="B1569" s="166"/>
      <c r="C1569" s="166"/>
      <c r="D1569" s="166"/>
    </row>
    <row r="1570" spans="1:4" x14ac:dyDescent="0.25">
      <c r="A1570" s="167"/>
      <c r="B1570" s="166"/>
      <c r="C1570" s="166"/>
      <c r="D1570" s="166"/>
    </row>
    <row r="1571" spans="1:4" x14ac:dyDescent="0.25">
      <c r="A1571" s="167"/>
      <c r="B1571" s="166"/>
      <c r="C1571" s="166"/>
      <c r="D1571" s="166"/>
    </row>
    <row r="1572" spans="1:4" x14ac:dyDescent="0.25">
      <c r="A1572" s="167"/>
      <c r="B1572" s="166"/>
      <c r="C1572" s="166"/>
      <c r="D1572" s="166"/>
    </row>
    <row r="1573" spans="1:4" x14ac:dyDescent="0.25">
      <c r="A1573" s="167"/>
      <c r="B1573" s="166"/>
      <c r="C1573" s="166"/>
      <c r="D1573" s="166"/>
    </row>
    <row r="1574" spans="1:4" x14ac:dyDescent="0.25">
      <c r="A1574" s="167"/>
      <c r="B1574" s="166"/>
      <c r="C1574" s="166"/>
      <c r="D1574" s="166"/>
    </row>
    <row r="1575" spans="1:4" x14ac:dyDescent="0.25">
      <c r="A1575" s="167"/>
      <c r="B1575" s="166"/>
      <c r="C1575" s="166"/>
      <c r="D1575" s="166"/>
    </row>
    <row r="1576" spans="1:4" x14ac:dyDescent="0.25">
      <c r="A1576" s="167"/>
      <c r="B1576" s="166"/>
      <c r="C1576" s="166"/>
      <c r="D1576" s="166"/>
    </row>
    <row r="1577" spans="1:4" x14ac:dyDescent="0.25">
      <c r="A1577" s="167"/>
      <c r="B1577" s="166"/>
      <c r="C1577" s="166"/>
      <c r="D1577" s="166"/>
    </row>
    <row r="1578" spans="1:4" x14ac:dyDescent="0.25">
      <c r="A1578" s="167"/>
      <c r="B1578" s="166"/>
      <c r="C1578" s="166"/>
      <c r="D1578" s="166"/>
    </row>
    <row r="1579" spans="1:4" x14ac:dyDescent="0.25">
      <c r="A1579" s="167"/>
      <c r="B1579" s="166"/>
      <c r="C1579" s="166"/>
      <c r="D1579" s="166"/>
    </row>
    <row r="1580" spans="1:4" x14ac:dyDescent="0.25">
      <c r="A1580" s="167"/>
      <c r="B1580" s="166"/>
      <c r="C1580" s="166"/>
      <c r="D1580" s="166"/>
    </row>
    <row r="1581" spans="1:4" x14ac:dyDescent="0.25">
      <c r="A1581" s="167"/>
      <c r="B1581" s="166"/>
      <c r="C1581" s="166"/>
      <c r="D1581" s="166"/>
    </row>
    <row r="1582" spans="1:4" x14ac:dyDescent="0.25">
      <c r="A1582" s="167"/>
      <c r="B1582" s="166"/>
      <c r="C1582" s="166"/>
      <c r="D1582" s="166"/>
    </row>
    <row r="1583" spans="1:4" x14ac:dyDescent="0.25">
      <c r="A1583" s="167"/>
      <c r="B1583" s="166"/>
      <c r="C1583" s="166"/>
      <c r="D1583" s="166"/>
    </row>
    <row r="1584" spans="1:4" x14ac:dyDescent="0.25">
      <c r="A1584" s="167"/>
      <c r="B1584" s="166"/>
      <c r="C1584" s="166"/>
      <c r="D1584" s="166"/>
    </row>
    <row r="1585" spans="1:4" x14ac:dyDescent="0.25">
      <c r="A1585" s="167"/>
      <c r="B1585" s="166"/>
      <c r="C1585" s="166"/>
      <c r="D1585" s="166"/>
    </row>
    <row r="1586" spans="1:4" x14ac:dyDescent="0.25">
      <c r="A1586" s="167"/>
      <c r="B1586" s="166"/>
      <c r="C1586" s="166"/>
      <c r="D1586" s="166"/>
    </row>
    <row r="1587" spans="1:4" x14ac:dyDescent="0.25">
      <c r="A1587" s="167"/>
      <c r="B1587" s="166"/>
      <c r="C1587" s="166"/>
      <c r="D1587" s="166"/>
    </row>
    <row r="1588" spans="1:4" x14ac:dyDescent="0.25">
      <c r="A1588" s="167"/>
      <c r="B1588" s="166"/>
      <c r="C1588" s="166"/>
      <c r="D1588" s="166"/>
    </row>
    <row r="1589" spans="1:4" x14ac:dyDescent="0.25">
      <c r="A1589" s="167"/>
      <c r="B1589" s="166"/>
      <c r="C1589" s="166"/>
      <c r="D1589" s="166"/>
    </row>
    <row r="1590" spans="1:4" x14ac:dyDescent="0.25">
      <c r="A1590" s="167"/>
      <c r="B1590" s="166"/>
      <c r="C1590" s="166"/>
      <c r="D1590" s="166"/>
    </row>
    <row r="1591" spans="1:4" x14ac:dyDescent="0.25">
      <c r="A1591" s="167"/>
      <c r="B1591" s="166"/>
      <c r="C1591" s="166"/>
      <c r="D1591" s="166"/>
    </row>
    <row r="1592" spans="1:4" x14ac:dyDescent="0.25">
      <c r="A1592" s="167"/>
      <c r="B1592" s="166"/>
      <c r="C1592" s="166"/>
      <c r="D1592" s="166"/>
    </row>
    <row r="1593" spans="1:4" x14ac:dyDescent="0.25">
      <c r="A1593" s="167"/>
      <c r="B1593" s="166"/>
      <c r="C1593" s="166"/>
      <c r="D1593" s="166"/>
    </row>
    <row r="1594" spans="1:4" x14ac:dyDescent="0.25">
      <c r="A1594" s="167"/>
      <c r="B1594" s="166"/>
      <c r="C1594" s="166"/>
      <c r="D1594" s="166"/>
    </row>
    <row r="1595" spans="1:4" x14ac:dyDescent="0.25">
      <c r="A1595" s="167"/>
      <c r="B1595" s="166"/>
      <c r="C1595" s="166"/>
      <c r="D1595" s="166"/>
    </row>
    <row r="1596" spans="1:4" x14ac:dyDescent="0.25">
      <c r="A1596" s="167"/>
      <c r="B1596" s="166"/>
      <c r="C1596" s="166"/>
      <c r="D1596" s="166"/>
    </row>
    <row r="1597" spans="1:4" x14ac:dyDescent="0.25">
      <c r="A1597" s="167"/>
      <c r="B1597" s="166"/>
      <c r="C1597" s="166"/>
      <c r="D1597" s="166"/>
    </row>
    <row r="1598" spans="1:4" x14ac:dyDescent="0.25">
      <c r="A1598" s="167"/>
      <c r="B1598" s="166"/>
      <c r="C1598" s="166"/>
      <c r="D1598" s="166"/>
    </row>
    <row r="1599" spans="1:4" x14ac:dyDescent="0.25">
      <c r="A1599" s="167"/>
      <c r="B1599" s="166"/>
      <c r="C1599" s="166"/>
      <c r="D1599" s="166"/>
    </row>
    <row r="1600" spans="1:4" x14ac:dyDescent="0.25">
      <c r="A1600" s="167"/>
      <c r="B1600" s="166"/>
      <c r="C1600" s="166"/>
      <c r="D1600" s="166"/>
    </row>
    <row r="1601" spans="1:4" x14ac:dyDescent="0.25">
      <c r="A1601" s="167"/>
      <c r="B1601" s="166"/>
      <c r="C1601" s="166"/>
      <c r="D1601" s="166"/>
    </row>
    <row r="1602" spans="1:4" x14ac:dyDescent="0.25">
      <c r="A1602" s="167"/>
      <c r="B1602" s="166"/>
      <c r="C1602" s="166"/>
      <c r="D1602" s="166"/>
    </row>
    <row r="1603" spans="1:4" x14ac:dyDescent="0.25">
      <c r="A1603" s="167"/>
      <c r="B1603" s="166"/>
      <c r="C1603" s="166"/>
      <c r="D1603" s="166"/>
    </row>
    <row r="1604" spans="1:4" x14ac:dyDescent="0.25">
      <c r="A1604" s="167"/>
      <c r="B1604" s="166"/>
      <c r="C1604" s="166"/>
      <c r="D1604" s="166"/>
    </row>
    <row r="1605" spans="1:4" x14ac:dyDescent="0.25">
      <c r="A1605" s="167"/>
      <c r="B1605" s="166"/>
      <c r="C1605" s="166"/>
      <c r="D1605" s="166"/>
    </row>
    <row r="1606" spans="1:4" x14ac:dyDescent="0.25">
      <c r="A1606" s="167"/>
      <c r="B1606" s="166"/>
      <c r="C1606" s="166"/>
      <c r="D1606" s="166"/>
    </row>
    <row r="1607" spans="1:4" x14ac:dyDescent="0.25">
      <c r="A1607" s="167"/>
      <c r="B1607" s="166"/>
      <c r="C1607" s="166"/>
      <c r="D1607" s="166"/>
    </row>
    <row r="1608" spans="1:4" x14ac:dyDescent="0.25">
      <c r="A1608" s="167"/>
      <c r="B1608" s="166"/>
      <c r="C1608" s="166"/>
      <c r="D1608" s="166"/>
    </row>
    <row r="1609" spans="1:4" x14ac:dyDescent="0.25">
      <c r="A1609" s="167"/>
      <c r="B1609" s="166"/>
      <c r="C1609" s="166"/>
      <c r="D1609" s="166"/>
    </row>
    <row r="1610" spans="1:4" x14ac:dyDescent="0.25">
      <c r="A1610" s="167"/>
      <c r="B1610" s="166"/>
      <c r="C1610" s="166"/>
      <c r="D1610" s="166"/>
    </row>
    <row r="1611" spans="1:4" x14ac:dyDescent="0.25">
      <c r="A1611" s="167"/>
      <c r="B1611" s="166"/>
      <c r="C1611" s="166"/>
      <c r="D1611" s="166"/>
    </row>
    <row r="1612" spans="1:4" x14ac:dyDescent="0.25">
      <c r="A1612" s="167"/>
      <c r="B1612" s="166"/>
      <c r="C1612" s="166"/>
      <c r="D1612" s="166"/>
    </row>
    <row r="1613" spans="1:4" x14ac:dyDescent="0.25">
      <c r="A1613" s="167"/>
      <c r="B1613" s="166"/>
      <c r="C1613" s="166"/>
      <c r="D1613" s="166"/>
    </row>
    <row r="1614" spans="1:4" x14ac:dyDescent="0.25">
      <c r="A1614" s="167"/>
      <c r="B1614" s="166"/>
      <c r="C1614" s="166"/>
      <c r="D1614" s="166"/>
    </row>
    <row r="1615" spans="1:4" x14ac:dyDescent="0.25">
      <c r="A1615" s="167"/>
      <c r="B1615" s="166"/>
      <c r="C1615" s="166"/>
      <c r="D1615" s="166"/>
    </row>
    <row r="1616" spans="1:4" x14ac:dyDescent="0.25">
      <c r="A1616" s="167"/>
      <c r="B1616" s="166"/>
      <c r="C1616" s="166"/>
      <c r="D1616" s="166"/>
    </row>
    <row r="1617" spans="1:4" x14ac:dyDescent="0.25">
      <c r="A1617" s="167"/>
      <c r="B1617" s="166"/>
      <c r="C1617" s="166"/>
      <c r="D1617" s="166"/>
    </row>
    <row r="1618" spans="1:4" x14ac:dyDescent="0.25">
      <c r="A1618" s="167"/>
      <c r="B1618" s="166"/>
      <c r="C1618" s="166"/>
      <c r="D1618" s="166"/>
    </row>
    <row r="1619" spans="1:4" x14ac:dyDescent="0.25">
      <c r="A1619" s="167"/>
      <c r="B1619" s="166"/>
      <c r="C1619" s="166"/>
      <c r="D1619" s="166"/>
    </row>
    <row r="1620" spans="1:4" x14ac:dyDescent="0.25">
      <c r="A1620" s="167"/>
      <c r="B1620" s="166"/>
      <c r="C1620" s="166"/>
      <c r="D1620" s="166"/>
    </row>
    <row r="1621" spans="1:4" x14ac:dyDescent="0.25">
      <c r="A1621" s="167"/>
      <c r="B1621" s="166"/>
      <c r="C1621" s="166"/>
      <c r="D1621" s="166"/>
    </row>
    <row r="1622" spans="1:4" x14ac:dyDescent="0.25">
      <c r="A1622" s="167"/>
      <c r="B1622" s="166"/>
      <c r="C1622" s="166"/>
      <c r="D1622" s="166"/>
    </row>
    <row r="1623" spans="1:4" x14ac:dyDescent="0.25">
      <c r="A1623" s="167"/>
      <c r="B1623" s="166"/>
      <c r="C1623" s="166"/>
      <c r="D1623" s="166"/>
    </row>
    <row r="1624" spans="1:4" x14ac:dyDescent="0.25">
      <c r="A1624" s="167"/>
      <c r="B1624" s="166"/>
      <c r="C1624" s="166"/>
      <c r="D1624" s="166"/>
    </row>
    <row r="1625" spans="1:4" x14ac:dyDescent="0.25">
      <c r="A1625" s="167"/>
      <c r="B1625" s="166"/>
      <c r="C1625" s="166"/>
      <c r="D1625" s="166"/>
    </row>
    <row r="1626" spans="1:4" x14ac:dyDescent="0.25">
      <c r="A1626" s="167"/>
      <c r="B1626" s="166"/>
      <c r="C1626" s="166"/>
      <c r="D1626" s="166"/>
    </row>
    <row r="1627" spans="1:4" x14ac:dyDescent="0.25">
      <c r="A1627" s="167"/>
      <c r="B1627" s="166"/>
      <c r="C1627" s="166"/>
      <c r="D1627" s="166"/>
    </row>
    <row r="1628" spans="1:4" x14ac:dyDescent="0.25">
      <c r="A1628" s="167"/>
      <c r="B1628" s="166"/>
      <c r="C1628" s="166"/>
      <c r="D1628" s="166"/>
    </row>
    <row r="1629" spans="1:4" x14ac:dyDescent="0.25">
      <c r="A1629" s="167"/>
      <c r="B1629" s="166"/>
      <c r="C1629" s="166"/>
      <c r="D1629" s="166"/>
    </row>
    <row r="1630" spans="1:4" x14ac:dyDescent="0.25">
      <c r="A1630" s="167"/>
      <c r="B1630" s="166"/>
      <c r="C1630" s="166"/>
      <c r="D1630" s="166"/>
    </row>
    <row r="1631" spans="1:4" x14ac:dyDescent="0.25">
      <c r="A1631" s="167"/>
      <c r="B1631" s="166"/>
      <c r="C1631" s="166"/>
      <c r="D1631" s="166"/>
    </row>
    <row r="1632" spans="1:4" x14ac:dyDescent="0.25">
      <c r="A1632" s="167"/>
      <c r="B1632" s="166"/>
      <c r="C1632" s="166"/>
      <c r="D1632" s="166"/>
    </row>
    <row r="1633" spans="1:4" x14ac:dyDescent="0.25">
      <c r="A1633" s="167"/>
      <c r="B1633" s="166"/>
      <c r="C1633" s="166"/>
      <c r="D1633" s="166"/>
    </row>
    <row r="1634" spans="1:4" x14ac:dyDescent="0.25">
      <c r="A1634" s="167"/>
      <c r="B1634" s="166"/>
      <c r="C1634" s="166"/>
      <c r="D1634" s="166"/>
    </row>
    <row r="1635" spans="1:4" x14ac:dyDescent="0.25">
      <c r="A1635" s="167"/>
      <c r="B1635" s="166"/>
      <c r="C1635" s="166"/>
      <c r="D1635" s="166"/>
    </row>
    <row r="1636" spans="1:4" x14ac:dyDescent="0.25">
      <c r="A1636" s="167"/>
      <c r="B1636" s="166"/>
      <c r="C1636" s="166"/>
      <c r="D1636" s="166"/>
    </row>
    <row r="1637" spans="1:4" x14ac:dyDescent="0.25">
      <c r="A1637" s="167"/>
      <c r="B1637" s="166"/>
      <c r="C1637" s="166"/>
      <c r="D1637" s="166"/>
    </row>
    <row r="1638" spans="1:4" x14ac:dyDescent="0.25">
      <c r="A1638" s="167"/>
      <c r="B1638" s="166"/>
      <c r="C1638" s="166"/>
      <c r="D1638" s="166"/>
    </row>
    <row r="1639" spans="1:4" x14ac:dyDescent="0.25">
      <c r="A1639" s="167"/>
      <c r="B1639" s="166"/>
      <c r="C1639" s="166"/>
      <c r="D1639" s="166"/>
    </row>
    <row r="1640" spans="1:4" x14ac:dyDescent="0.25">
      <c r="A1640" s="167"/>
      <c r="B1640" s="166"/>
      <c r="C1640" s="166"/>
      <c r="D1640" s="166"/>
    </row>
    <row r="1641" spans="1:4" x14ac:dyDescent="0.25">
      <c r="A1641" s="167"/>
      <c r="B1641" s="166"/>
      <c r="C1641" s="166"/>
      <c r="D1641" s="166"/>
    </row>
    <row r="1642" spans="1:4" x14ac:dyDescent="0.25">
      <c r="A1642" s="167"/>
      <c r="B1642" s="166"/>
      <c r="C1642" s="166"/>
      <c r="D1642" s="166"/>
    </row>
    <row r="1643" spans="1:4" x14ac:dyDescent="0.25">
      <c r="A1643" s="167"/>
      <c r="B1643" s="166"/>
      <c r="C1643" s="166"/>
      <c r="D1643" s="166"/>
    </row>
    <row r="1644" spans="1:4" x14ac:dyDescent="0.25">
      <c r="A1644" s="167"/>
      <c r="B1644" s="166"/>
      <c r="C1644" s="166"/>
      <c r="D1644" s="166"/>
    </row>
    <row r="1645" spans="1:4" x14ac:dyDescent="0.25">
      <c r="A1645" s="167"/>
      <c r="B1645" s="166"/>
      <c r="C1645" s="166"/>
      <c r="D1645" s="166"/>
    </row>
    <row r="1646" spans="1:4" x14ac:dyDescent="0.25">
      <c r="A1646" s="167"/>
      <c r="B1646" s="166"/>
      <c r="C1646" s="166"/>
      <c r="D1646" s="166"/>
    </row>
    <row r="1647" spans="1:4" x14ac:dyDescent="0.25">
      <c r="A1647" s="167"/>
      <c r="B1647" s="166"/>
      <c r="C1647" s="166"/>
      <c r="D1647" s="166"/>
    </row>
    <row r="1648" spans="1:4" x14ac:dyDescent="0.25">
      <c r="A1648" s="167"/>
      <c r="B1648" s="166"/>
      <c r="C1648" s="166"/>
      <c r="D1648" s="166"/>
    </row>
    <row r="1649" spans="1:4" x14ac:dyDescent="0.25">
      <c r="A1649" s="167"/>
      <c r="B1649" s="166"/>
      <c r="C1649" s="166"/>
      <c r="D1649" s="166"/>
    </row>
    <row r="1650" spans="1:4" x14ac:dyDescent="0.25">
      <c r="A1650" s="167"/>
      <c r="B1650" s="166"/>
      <c r="C1650" s="166"/>
      <c r="D1650" s="166"/>
    </row>
    <row r="1651" spans="1:4" x14ac:dyDescent="0.25">
      <c r="A1651" s="167"/>
      <c r="B1651" s="166"/>
      <c r="C1651" s="166"/>
      <c r="D1651" s="166"/>
    </row>
    <row r="1652" spans="1:4" x14ac:dyDescent="0.25">
      <c r="A1652" s="167"/>
      <c r="B1652" s="166"/>
      <c r="C1652" s="166"/>
      <c r="D1652" s="166"/>
    </row>
    <row r="1653" spans="1:4" x14ac:dyDescent="0.25">
      <c r="A1653" s="167"/>
      <c r="B1653" s="166"/>
      <c r="C1653" s="166"/>
      <c r="D1653" s="166"/>
    </row>
    <row r="1654" spans="1:4" x14ac:dyDescent="0.25">
      <c r="A1654" s="167"/>
      <c r="B1654" s="166"/>
      <c r="C1654" s="166"/>
      <c r="D1654" s="166"/>
    </row>
    <row r="1655" spans="1:4" x14ac:dyDescent="0.25">
      <c r="A1655" s="167"/>
      <c r="B1655" s="166"/>
      <c r="C1655" s="166"/>
      <c r="D1655" s="166"/>
    </row>
    <row r="1656" spans="1:4" x14ac:dyDescent="0.25">
      <c r="A1656" s="167"/>
      <c r="B1656" s="166"/>
      <c r="C1656" s="166"/>
      <c r="D1656" s="166"/>
    </row>
    <row r="1657" spans="1:4" x14ac:dyDescent="0.25">
      <c r="A1657" s="167"/>
      <c r="B1657" s="166"/>
      <c r="C1657" s="166"/>
      <c r="D1657" s="166"/>
    </row>
    <row r="1658" spans="1:4" x14ac:dyDescent="0.25">
      <c r="A1658" s="167"/>
      <c r="B1658" s="166"/>
      <c r="C1658" s="166"/>
      <c r="D1658" s="166"/>
    </row>
    <row r="1659" spans="1:4" x14ac:dyDescent="0.25">
      <c r="A1659" s="167"/>
      <c r="B1659" s="166"/>
      <c r="C1659" s="166"/>
      <c r="D1659" s="166"/>
    </row>
    <row r="1660" spans="1:4" x14ac:dyDescent="0.25">
      <c r="A1660" s="167"/>
      <c r="B1660" s="166"/>
      <c r="C1660" s="166"/>
      <c r="D1660" s="166"/>
    </row>
    <row r="1661" spans="1:4" x14ac:dyDescent="0.25">
      <c r="A1661" s="167"/>
      <c r="B1661" s="166"/>
      <c r="C1661" s="166"/>
      <c r="D1661" s="166"/>
    </row>
    <row r="1662" spans="1:4" x14ac:dyDescent="0.25">
      <c r="A1662" s="167"/>
      <c r="B1662" s="166"/>
      <c r="C1662" s="166"/>
      <c r="D1662" s="166"/>
    </row>
    <row r="1663" spans="1:4" x14ac:dyDescent="0.25">
      <c r="A1663" s="167"/>
      <c r="B1663" s="166"/>
      <c r="C1663" s="166"/>
      <c r="D1663" s="166"/>
    </row>
    <row r="1664" spans="1:4" x14ac:dyDescent="0.25">
      <c r="A1664" s="167"/>
      <c r="B1664" s="166"/>
      <c r="C1664" s="166"/>
      <c r="D1664" s="166"/>
    </row>
    <row r="1665" spans="1:4" x14ac:dyDescent="0.25">
      <c r="A1665" s="167"/>
      <c r="B1665" s="166"/>
      <c r="C1665" s="166"/>
      <c r="D1665" s="166"/>
    </row>
    <row r="1666" spans="1:4" x14ac:dyDescent="0.25">
      <c r="A1666" s="167"/>
      <c r="B1666" s="166"/>
      <c r="C1666" s="166"/>
      <c r="D1666" s="166"/>
    </row>
    <row r="1667" spans="1:4" x14ac:dyDescent="0.25">
      <c r="A1667" s="167"/>
      <c r="B1667" s="166"/>
      <c r="C1667" s="166"/>
      <c r="D1667" s="166"/>
    </row>
    <row r="1668" spans="1:4" x14ac:dyDescent="0.25">
      <c r="A1668" s="167"/>
      <c r="B1668" s="166"/>
      <c r="C1668" s="166"/>
      <c r="D1668" s="166"/>
    </row>
    <row r="1669" spans="1:4" x14ac:dyDescent="0.25">
      <c r="A1669" s="167"/>
      <c r="B1669" s="166"/>
      <c r="C1669" s="166"/>
      <c r="D1669" s="166"/>
    </row>
    <row r="1670" spans="1:4" x14ac:dyDescent="0.25">
      <c r="A1670" s="167"/>
      <c r="B1670" s="166"/>
      <c r="C1670" s="166"/>
      <c r="D1670" s="166"/>
    </row>
    <row r="1671" spans="1:4" x14ac:dyDescent="0.25">
      <c r="A1671" s="167"/>
      <c r="B1671" s="166"/>
      <c r="C1671" s="166"/>
      <c r="D1671" s="166"/>
    </row>
    <row r="1672" spans="1:4" x14ac:dyDescent="0.25">
      <c r="A1672" s="167"/>
      <c r="B1672" s="166"/>
      <c r="C1672" s="166"/>
      <c r="D1672" s="166"/>
    </row>
    <row r="1673" spans="1:4" x14ac:dyDescent="0.25">
      <c r="A1673" s="167"/>
      <c r="B1673" s="166"/>
      <c r="C1673" s="166"/>
      <c r="D1673" s="166"/>
    </row>
    <row r="1674" spans="1:4" x14ac:dyDescent="0.25">
      <c r="A1674" s="167"/>
      <c r="B1674" s="166"/>
      <c r="C1674" s="166"/>
      <c r="D1674" s="166"/>
    </row>
    <row r="1675" spans="1:4" x14ac:dyDescent="0.25">
      <c r="A1675" s="167"/>
      <c r="B1675" s="166"/>
      <c r="C1675" s="166"/>
      <c r="D1675" s="166"/>
    </row>
    <row r="1676" spans="1:4" x14ac:dyDescent="0.25">
      <c r="A1676" s="167"/>
      <c r="B1676" s="166"/>
      <c r="C1676" s="166"/>
      <c r="D1676" s="166"/>
    </row>
    <row r="1677" spans="1:4" x14ac:dyDescent="0.25">
      <c r="A1677" s="167"/>
      <c r="B1677" s="166"/>
      <c r="C1677" s="166"/>
      <c r="D1677" s="166"/>
    </row>
    <row r="1678" spans="1:4" x14ac:dyDescent="0.25">
      <c r="A1678" s="167"/>
      <c r="B1678" s="166"/>
      <c r="C1678" s="166"/>
      <c r="D1678" s="166"/>
    </row>
    <row r="1679" spans="1:4" x14ac:dyDescent="0.25">
      <c r="A1679" s="167"/>
      <c r="B1679" s="166"/>
      <c r="C1679" s="166"/>
      <c r="D1679" s="166"/>
    </row>
    <row r="1680" spans="1:4" x14ac:dyDescent="0.25">
      <c r="A1680" s="167"/>
      <c r="B1680" s="166"/>
      <c r="C1680" s="166"/>
      <c r="D1680" s="166"/>
    </row>
    <row r="1681" spans="1:4" x14ac:dyDescent="0.25">
      <c r="A1681" s="167"/>
      <c r="B1681" s="166"/>
      <c r="C1681" s="166"/>
      <c r="D1681" s="166"/>
    </row>
    <row r="1682" spans="1:4" x14ac:dyDescent="0.25">
      <c r="A1682" s="167"/>
      <c r="B1682" s="166"/>
      <c r="C1682" s="166"/>
      <c r="D1682" s="166"/>
    </row>
    <row r="1683" spans="1:4" x14ac:dyDescent="0.25">
      <c r="A1683" s="167"/>
      <c r="B1683" s="166"/>
      <c r="C1683" s="166"/>
      <c r="D1683" s="166"/>
    </row>
    <row r="1684" spans="1:4" x14ac:dyDescent="0.25">
      <c r="A1684" s="167"/>
      <c r="B1684" s="166"/>
      <c r="C1684" s="166"/>
      <c r="D1684" s="166"/>
    </row>
    <row r="1685" spans="1:4" x14ac:dyDescent="0.25">
      <c r="A1685" s="167"/>
      <c r="B1685" s="166"/>
      <c r="C1685" s="166"/>
      <c r="D1685" s="166"/>
    </row>
    <row r="1686" spans="1:4" x14ac:dyDescent="0.25">
      <c r="A1686" s="167"/>
      <c r="B1686" s="166"/>
      <c r="C1686" s="166"/>
      <c r="D1686" s="166"/>
    </row>
    <row r="1687" spans="1:4" x14ac:dyDescent="0.25">
      <c r="A1687" s="167"/>
      <c r="B1687" s="166"/>
      <c r="C1687" s="166"/>
      <c r="D1687" s="166"/>
    </row>
    <row r="1688" spans="1:4" x14ac:dyDescent="0.25">
      <c r="A1688" s="167"/>
      <c r="B1688" s="166"/>
      <c r="C1688" s="166"/>
      <c r="D1688" s="166"/>
    </row>
    <row r="1689" spans="1:4" x14ac:dyDescent="0.25">
      <c r="A1689" s="167"/>
      <c r="B1689" s="166"/>
      <c r="C1689" s="166"/>
      <c r="D1689" s="166"/>
    </row>
    <row r="1690" spans="1:4" x14ac:dyDescent="0.25">
      <c r="A1690" s="167"/>
      <c r="B1690" s="166"/>
      <c r="C1690" s="166"/>
      <c r="D1690" s="166"/>
    </row>
    <row r="1691" spans="1:4" x14ac:dyDescent="0.25">
      <c r="A1691" s="167"/>
      <c r="B1691" s="166"/>
      <c r="C1691" s="166"/>
      <c r="D1691" s="166"/>
    </row>
    <row r="1692" spans="1:4" x14ac:dyDescent="0.25">
      <c r="A1692" s="167"/>
      <c r="B1692" s="166"/>
      <c r="C1692" s="166"/>
      <c r="D1692" s="166"/>
    </row>
    <row r="1693" spans="1:4" x14ac:dyDescent="0.25">
      <c r="A1693" s="167"/>
      <c r="B1693" s="166"/>
      <c r="C1693" s="166"/>
      <c r="D1693" s="166"/>
    </row>
    <row r="1694" spans="1:4" x14ac:dyDescent="0.25">
      <c r="A1694" s="167"/>
      <c r="B1694" s="166"/>
      <c r="C1694" s="166"/>
      <c r="D1694" s="166"/>
    </row>
    <row r="1695" spans="1:4" x14ac:dyDescent="0.25">
      <c r="A1695" s="167"/>
      <c r="B1695" s="166"/>
      <c r="C1695" s="166"/>
      <c r="D1695" s="166"/>
    </row>
    <row r="1696" spans="1:4" x14ac:dyDescent="0.25">
      <c r="A1696" s="167"/>
      <c r="B1696" s="166"/>
      <c r="C1696" s="166"/>
      <c r="D1696" s="166"/>
    </row>
    <row r="1697" spans="1:4" x14ac:dyDescent="0.25">
      <c r="A1697" s="167"/>
      <c r="B1697" s="166"/>
      <c r="C1697" s="166"/>
      <c r="D1697" s="166"/>
    </row>
    <row r="1698" spans="1:4" x14ac:dyDescent="0.25">
      <c r="A1698" s="167"/>
      <c r="B1698" s="166"/>
      <c r="C1698" s="166"/>
      <c r="D1698" s="166"/>
    </row>
    <row r="1699" spans="1:4" x14ac:dyDescent="0.25">
      <c r="A1699" s="167"/>
      <c r="B1699" s="166"/>
      <c r="C1699" s="166"/>
      <c r="D1699" s="166"/>
    </row>
    <row r="1700" spans="1:4" x14ac:dyDescent="0.25">
      <c r="A1700" s="167"/>
      <c r="B1700" s="166"/>
      <c r="C1700" s="166"/>
      <c r="D1700" s="166"/>
    </row>
    <row r="1701" spans="1:4" x14ac:dyDescent="0.25">
      <c r="A1701" s="167"/>
      <c r="B1701" s="166"/>
      <c r="C1701" s="166"/>
      <c r="D1701" s="166"/>
    </row>
    <row r="1702" spans="1:4" x14ac:dyDescent="0.25">
      <c r="A1702" s="167"/>
      <c r="B1702" s="166"/>
      <c r="C1702" s="166"/>
      <c r="D1702" s="166"/>
    </row>
    <row r="1703" spans="1:4" x14ac:dyDescent="0.25">
      <c r="A1703" s="167"/>
      <c r="B1703" s="166"/>
      <c r="C1703" s="166"/>
      <c r="D1703" s="166"/>
    </row>
    <row r="1704" spans="1:4" x14ac:dyDescent="0.25">
      <c r="A1704" s="167"/>
      <c r="B1704" s="166"/>
      <c r="C1704" s="166"/>
      <c r="D1704" s="166"/>
    </row>
    <row r="1705" spans="1:4" x14ac:dyDescent="0.25">
      <c r="A1705" s="167"/>
      <c r="B1705" s="166"/>
      <c r="C1705" s="166"/>
      <c r="D1705" s="166"/>
    </row>
    <row r="1706" spans="1:4" x14ac:dyDescent="0.25">
      <c r="A1706" s="167"/>
      <c r="B1706" s="166"/>
      <c r="C1706" s="166"/>
      <c r="D1706" s="166"/>
    </row>
    <row r="1707" spans="1:4" x14ac:dyDescent="0.25">
      <c r="A1707" s="167"/>
      <c r="B1707" s="166"/>
      <c r="C1707" s="166"/>
      <c r="D1707" s="166"/>
    </row>
    <row r="1708" spans="1:4" x14ac:dyDescent="0.25">
      <c r="A1708" s="167"/>
      <c r="B1708" s="166"/>
      <c r="C1708" s="166"/>
      <c r="D1708" s="166"/>
    </row>
    <row r="1709" spans="1:4" x14ac:dyDescent="0.25">
      <c r="A1709" s="167"/>
      <c r="B1709" s="166"/>
      <c r="C1709" s="166"/>
      <c r="D1709" s="166"/>
    </row>
    <row r="1710" spans="1:4" x14ac:dyDescent="0.25">
      <c r="A1710" s="167"/>
      <c r="B1710" s="166"/>
      <c r="C1710" s="166"/>
      <c r="D1710" s="166"/>
    </row>
    <row r="1711" spans="1:4" x14ac:dyDescent="0.25">
      <c r="A1711" s="167"/>
      <c r="B1711" s="166"/>
      <c r="C1711" s="166"/>
      <c r="D1711" s="166"/>
    </row>
    <row r="1712" spans="1:4" x14ac:dyDescent="0.25">
      <c r="A1712" s="167"/>
      <c r="B1712" s="166"/>
      <c r="C1712" s="166"/>
      <c r="D1712" s="166"/>
    </row>
    <row r="1713" spans="1:4" x14ac:dyDescent="0.25">
      <c r="A1713" s="167"/>
      <c r="B1713" s="166"/>
      <c r="C1713" s="166"/>
      <c r="D1713" s="166"/>
    </row>
    <row r="1714" spans="1:4" x14ac:dyDescent="0.25">
      <c r="A1714" s="167"/>
      <c r="B1714" s="166"/>
      <c r="C1714" s="166"/>
      <c r="D1714" s="166"/>
    </row>
    <row r="1715" spans="1:4" x14ac:dyDescent="0.25">
      <c r="A1715" s="167"/>
      <c r="B1715" s="166"/>
      <c r="C1715" s="166"/>
      <c r="D1715" s="166"/>
    </row>
    <row r="1716" spans="1:4" x14ac:dyDescent="0.25">
      <c r="A1716" s="167"/>
      <c r="B1716" s="166"/>
      <c r="C1716" s="166"/>
      <c r="D1716" s="166"/>
    </row>
    <row r="1717" spans="1:4" x14ac:dyDescent="0.25">
      <c r="A1717" s="167"/>
      <c r="B1717" s="166"/>
      <c r="C1717" s="166"/>
      <c r="D1717" s="166"/>
    </row>
    <row r="1718" spans="1:4" x14ac:dyDescent="0.25">
      <c r="A1718" s="167"/>
      <c r="B1718" s="166"/>
      <c r="C1718" s="166"/>
      <c r="D1718" s="166"/>
    </row>
    <row r="1719" spans="1:4" x14ac:dyDescent="0.25">
      <c r="A1719" s="167"/>
      <c r="B1719" s="166"/>
      <c r="C1719" s="166"/>
      <c r="D1719" s="166"/>
    </row>
    <row r="1720" spans="1:4" x14ac:dyDescent="0.25">
      <c r="A1720" s="167"/>
      <c r="B1720" s="166"/>
      <c r="C1720" s="166"/>
      <c r="D1720" s="166"/>
    </row>
    <row r="1721" spans="1:4" x14ac:dyDescent="0.25">
      <c r="A1721" s="167"/>
      <c r="B1721" s="166"/>
      <c r="C1721" s="166"/>
      <c r="D1721" s="166"/>
    </row>
    <row r="1722" spans="1:4" x14ac:dyDescent="0.25">
      <c r="A1722" s="167"/>
      <c r="B1722" s="166"/>
      <c r="C1722" s="166"/>
      <c r="D1722" s="166"/>
    </row>
    <row r="1723" spans="1:4" x14ac:dyDescent="0.25">
      <c r="A1723" s="167"/>
      <c r="B1723" s="166"/>
      <c r="C1723" s="166"/>
      <c r="D1723" s="166"/>
    </row>
    <row r="1724" spans="1:4" x14ac:dyDescent="0.25">
      <c r="A1724" s="167"/>
      <c r="B1724" s="166"/>
      <c r="C1724" s="166"/>
      <c r="D1724" s="166"/>
    </row>
    <row r="1725" spans="1:4" x14ac:dyDescent="0.25">
      <c r="A1725" s="167"/>
      <c r="B1725" s="166"/>
      <c r="C1725" s="166"/>
      <c r="D1725" s="166"/>
    </row>
    <row r="1726" spans="1:4" x14ac:dyDescent="0.25">
      <c r="A1726" s="167"/>
      <c r="B1726" s="166"/>
      <c r="C1726" s="166"/>
      <c r="D1726" s="166"/>
    </row>
    <row r="1727" spans="1:4" x14ac:dyDescent="0.25">
      <c r="A1727" s="167"/>
      <c r="B1727" s="166"/>
      <c r="C1727" s="166"/>
      <c r="D1727" s="166"/>
    </row>
    <row r="1728" spans="1:4" x14ac:dyDescent="0.25">
      <c r="A1728" s="167"/>
      <c r="B1728" s="166"/>
      <c r="C1728" s="166"/>
      <c r="D1728" s="166"/>
    </row>
    <row r="1729" spans="1:4" x14ac:dyDescent="0.25">
      <c r="A1729" s="167"/>
      <c r="B1729" s="166"/>
      <c r="C1729" s="166"/>
      <c r="D1729" s="166"/>
    </row>
    <row r="1730" spans="1:4" x14ac:dyDescent="0.25">
      <c r="A1730" s="167"/>
      <c r="B1730" s="166"/>
      <c r="C1730" s="166"/>
      <c r="D1730" s="166"/>
    </row>
    <row r="1731" spans="1:4" x14ac:dyDescent="0.25">
      <c r="A1731" s="167"/>
      <c r="B1731" s="166"/>
      <c r="C1731" s="166"/>
      <c r="D1731" s="166"/>
    </row>
    <row r="1732" spans="1:4" x14ac:dyDescent="0.25">
      <c r="A1732" s="167"/>
      <c r="B1732" s="166"/>
      <c r="C1732" s="166"/>
      <c r="D1732" s="166"/>
    </row>
    <row r="1733" spans="1:4" x14ac:dyDescent="0.25">
      <c r="A1733" s="167"/>
      <c r="B1733" s="166"/>
      <c r="C1733" s="166"/>
      <c r="D1733" s="166"/>
    </row>
    <row r="1734" spans="1:4" x14ac:dyDescent="0.25">
      <c r="A1734" s="167"/>
      <c r="B1734" s="166"/>
      <c r="C1734" s="166"/>
      <c r="D1734" s="166"/>
    </row>
    <row r="1735" spans="1:4" x14ac:dyDescent="0.25">
      <c r="A1735" s="167"/>
      <c r="B1735" s="166"/>
      <c r="C1735" s="166"/>
      <c r="D1735" s="166"/>
    </row>
    <row r="1736" spans="1:4" x14ac:dyDescent="0.25">
      <c r="A1736" s="167"/>
      <c r="B1736" s="166"/>
      <c r="C1736" s="166"/>
      <c r="D1736" s="166"/>
    </row>
    <row r="1737" spans="1:4" x14ac:dyDescent="0.25">
      <c r="A1737" s="167"/>
      <c r="B1737" s="166"/>
      <c r="C1737" s="166"/>
      <c r="D1737" s="166"/>
    </row>
    <row r="1738" spans="1:4" x14ac:dyDescent="0.25">
      <c r="A1738" s="167"/>
      <c r="B1738" s="166"/>
      <c r="C1738" s="166"/>
      <c r="D1738" s="166"/>
    </row>
    <row r="1739" spans="1:4" x14ac:dyDescent="0.25">
      <c r="A1739" s="167"/>
      <c r="B1739" s="166"/>
      <c r="C1739" s="166"/>
      <c r="D1739" s="166"/>
    </row>
    <row r="1740" spans="1:4" x14ac:dyDescent="0.25">
      <c r="A1740" s="167"/>
      <c r="B1740" s="166"/>
      <c r="C1740" s="166"/>
      <c r="D1740" s="166"/>
    </row>
    <row r="1741" spans="1:4" x14ac:dyDescent="0.25">
      <c r="A1741" s="167"/>
      <c r="B1741" s="166"/>
      <c r="C1741" s="166"/>
      <c r="D1741" s="166"/>
    </row>
    <row r="1742" spans="1:4" x14ac:dyDescent="0.25">
      <c r="A1742" s="167"/>
      <c r="B1742" s="166"/>
      <c r="C1742" s="166"/>
      <c r="D1742" s="166"/>
    </row>
    <row r="1743" spans="1:4" x14ac:dyDescent="0.25">
      <c r="A1743" s="167"/>
      <c r="B1743" s="166"/>
      <c r="C1743" s="166"/>
      <c r="D1743" s="166"/>
    </row>
    <row r="1744" spans="1:4" x14ac:dyDescent="0.25">
      <c r="A1744" s="167"/>
      <c r="B1744" s="166"/>
      <c r="C1744" s="166"/>
      <c r="D1744" s="166"/>
    </row>
    <row r="1745" spans="1:4" x14ac:dyDescent="0.25">
      <c r="A1745" s="167"/>
      <c r="B1745" s="166"/>
      <c r="C1745" s="166"/>
      <c r="D1745" s="166"/>
    </row>
    <row r="1746" spans="1:4" x14ac:dyDescent="0.25">
      <c r="A1746" s="167"/>
      <c r="B1746" s="166"/>
      <c r="C1746" s="166"/>
      <c r="D1746" s="166"/>
    </row>
    <row r="1747" spans="1:4" x14ac:dyDescent="0.25">
      <c r="A1747" s="167"/>
      <c r="B1747" s="166"/>
      <c r="C1747" s="166"/>
      <c r="D1747" s="166"/>
    </row>
    <row r="1748" spans="1:4" x14ac:dyDescent="0.25">
      <c r="A1748" s="167"/>
      <c r="B1748" s="166"/>
      <c r="C1748" s="166"/>
      <c r="D1748" s="166"/>
    </row>
    <row r="1749" spans="1:4" x14ac:dyDescent="0.25">
      <c r="A1749" s="167"/>
      <c r="B1749" s="166"/>
      <c r="C1749" s="166"/>
      <c r="D1749" s="166"/>
    </row>
    <row r="1750" spans="1:4" x14ac:dyDescent="0.25">
      <c r="A1750" s="167"/>
      <c r="B1750" s="166"/>
      <c r="C1750" s="166"/>
      <c r="D1750" s="166"/>
    </row>
    <row r="1751" spans="1:4" x14ac:dyDescent="0.25">
      <c r="A1751" s="167"/>
      <c r="B1751" s="166"/>
      <c r="C1751" s="166"/>
      <c r="D1751" s="166"/>
    </row>
    <row r="1752" spans="1:4" x14ac:dyDescent="0.25">
      <c r="A1752" s="167"/>
      <c r="B1752" s="166"/>
      <c r="C1752" s="166"/>
      <c r="D1752" s="166"/>
    </row>
    <row r="1753" spans="1:4" x14ac:dyDescent="0.25">
      <c r="A1753" s="167"/>
      <c r="B1753" s="166"/>
      <c r="C1753" s="166"/>
      <c r="D1753" s="166"/>
    </row>
    <row r="1754" spans="1:4" x14ac:dyDescent="0.25">
      <c r="A1754" s="167"/>
      <c r="B1754" s="166"/>
      <c r="C1754" s="166"/>
      <c r="D1754" s="166"/>
    </row>
    <row r="1755" spans="1:4" x14ac:dyDescent="0.25">
      <c r="A1755" s="167"/>
      <c r="B1755" s="166"/>
      <c r="C1755" s="166"/>
      <c r="D1755" s="166"/>
    </row>
    <row r="1756" spans="1:4" x14ac:dyDescent="0.25">
      <c r="A1756" s="167"/>
      <c r="B1756" s="166"/>
      <c r="C1756" s="166"/>
      <c r="D1756" s="166"/>
    </row>
    <row r="1757" spans="1:4" x14ac:dyDescent="0.25">
      <c r="A1757" s="167"/>
      <c r="B1757" s="166"/>
      <c r="C1757" s="166"/>
      <c r="D1757" s="166"/>
    </row>
    <row r="1758" spans="1:4" x14ac:dyDescent="0.25">
      <c r="A1758" s="167"/>
      <c r="B1758" s="166"/>
      <c r="C1758" s="166"/>
      <c r="D1758" s="166"/>
    </row>
    <row r="1759" spans="1:4" x14ac:dyDescent="0.25">
      <c r="A1759" s="167"/>
      <c r="B1759" s="166"/>
      <c r="C1759" s="166"/>
      <c r="D1759" s="166"/>
    </row>
    <row r="1760" spans="1:4" x14ac:dyDescent="0.25">
      <c r="A1760" s="167"/>
      <c r="B1760" s="166"/>
      <c r="C1760" s="166"/>
      <c r="D1760" s="166"/>
    </row>
    <row r="1761" spans="1:4" x14ac:dyDescent="0.25">
      <c r="A1761" s="167"/>
      <c r="B1761" s="166"/>
      <c r="C1761" s="166"/>
      <c r="D1761" s="166"/>
    </row>
    <row r="1762" spans="1:4" x14ac:dyDescent="0.25">
      <c r="A1762" s="167"/>
      <c r="B1762" s="166"/>
      <c r="C1762" s="166"/>
      <c r="D1762" s="166"/>
    </row>
    <row r="1763" spans="1:4" x14ac:dyDescent="0.25">
      <c r="A1763" s="167"/>
      <c r="B1763" s="166"/>
      <c r="C1763" s="166"/>
      <c r="D1763" s="166"/>
    </row>
    <row r="1764" spans="1:4" x14ac:dyDescent="0.25">
      <c r="A1764" s="167"/>
      <c r="B1764" s="166"/>
      <c r="C1764" s="166"/>
      <c r="D1764" s="166"/>
    </row>
    <row r="1765" spans="1:4" x14ac:dyDescent="0.25">
      <c r="A1765" s="167"/>
      <c r="B1765" s="166"/>
      <c r="C1765" s="166"/>
      <c r="D1765" s="166"/>
    </row>
    <row r="1766" spans="1:4" x14ac:dyDescent="0.25">
      <c r="A1766" s="167"/>
      <c r="B1766" s="166"/>
      <c r="C1766" s="166"/>
      <c r="D1766" s="166"/>
    </row>
    <row r="1767" spans="1:4" x14ac:dyDescent="0.25">
      <c r="A1767" s="167"/>
      <c r="B1767" s="166"/>
      <c r="C1767" s="166"/>
      <c r="D1767" s="166"/>
    </row>
    <row r="1768" spans="1:4" x14ac:dyDescent="0.25">
      <c r="A1768" s="167"/>
      <c r="B1768" s="166"/>
      <c r="C1768" s="166"/>
      <c r="D1768" s="166"/>
    </row>
    <row r="1769" spans="1:4" x14ac:dyDescent="0.25">
      <c r="A1769" s="167"/>
      <c r="B1769" s="166"/>
      <c r="C1769" s="166"/>
      <c r="D1769" s="166"/>
    </row>
    <row r="1770" spans="1:4" x14ac:dyDescent="0.25">
      <c r="A1770" s="167"/>
      <c r="B1770" s="166"/>
      <c r="C1770" s="166"/>
      <c r="D1770" s="166"/>
    </row>
    <row r="1771" spans="1:4" x14ac:dyDescent="0.25">
      <c r="A1771" s="167"/>
      <c r="B1771" s="166"/>
      <c r="C1771" s="166"/>
      <c r="D1771" s="166"/>
    </row>
    <row r="1772" spans="1:4" x14ac:dyDescent="0.25">
      <c r="A1772" s="167"/>
      <c r="B1772" s="166"/>
      <c r="C1772" s="166"/>
      <c r="D1772" s="166"/>
    </row>
    <row r="1773" spans="1:4" x14ac:dyDescent="0.25">
      <c r="A1773" s="167"/>
      <c r="B1773" s="166"/>
      <c r="C1773" s="166"/>
      <c r="D1773" s="166"/>
    </row>
    <row r="1774" spans="1:4" x14ac:dyDescent="0.25">
      <c r="A1774" s="167"/>
      <c r="B1774" s="166"/>
      <c r="C1774" s="166"/>
      <c r="D1774" s="166"/>
    </row>
    <row r="1775" spans="1:4" x14ac:dyDescent="0.25">
      <c r="A1775" s="167"/>
      <c r="B1775" s="166"/>
      <c r="C1775" s="166"/>
      <c r="D1775" s="166"/>
    </row>
    <row r="1776" spans="1:4" x14ac:dyDescent="0.25">
      <c r="A1776" s="167"/>
      <c r="B1776" s="166"/>
      <c r="C1776" s="166"/>
      <c r="D1776" s="166"/>
    </row>
    <row r="1777" spans="1:4" x14ac:dyDescent="0.25">
      <c r="A1777" s="167"/>
      <c r="B1777" s="166"/>
      <c r="C1777" s="166"/>
      <c r="D1777" s="166"/>
    </row>
    <row r="1778" spans="1:4" x14ac:dyDescent="0.25">
      <c r="A1778" s="167"/>
      <c r="B1778" s="166"/>
      <c r="C1778" s="166"/>
      <c r="D1778" s="166"/>
    </row>
    <row r="1779" spans="1:4" x14ac:dyDescent="0.25">
      <c r="A1779" s="167"/>
      <c r="B1779" s="166"/>
      <c r="C1779" s="166"/>
      <c r="D1779" s="166"/>
    </row>
    <row r="1780" spans="1:4" x14ac:dyDescent="0.25">
      <c r="A1780" s="167"/>
      <c r="B1780" s="166"/>
      <c r="C1780" s="166"/>
      <c r="D1780" s="166"/>
    </row>
    <row r="1781" spans="1:4" x14ac:dyDescent="0.25">
      <c r="A1781" s="167"/>
      <c r="B1781" s="166"/>
      <c r="C1781" s="166"/>
      <c r="D1781" s="166"/>
    </row>
    <row r="1782" spans="1:4" x14ac:dyDescent="0.25">
      <c r="A1782" s="167"/>
      <c r="B1782" s="166"/>
      <c r="C1782" s="166"/>
      <c r="D1782" s="166"/>
    </row>
    <row r="1783" spans="1:4" x14ac:dyDescent="0.25">
      <c r="A1783" s="167"/>
      <c r="B1783" s="166"/>
      <c r="C1783" s="166"/>
      <c r="D1783" s="166"/>
    </row>
    <row r="1784" spans="1:4" x14ac:dyDescent="0.25">
      <c r="A1784" s="167"/>
      <c r="B1784" s="166"/>
      <c r="C1784" s="166"/>
      <c r="D1784" s="166"/>
    </row>
    <row r="1785" spans="1:4" x14ac:dyDescent="0.25">
      <c r="A1785" s="167"/>
      <c r="B1785" s="166"/>
      <c r="C1785" s="166"/>
      <c r="D1785" s="166"/>
    </row>
    <row r="1786" spans="1:4" x14ac:dyDescent="0.25">
      <c r="A1786" s="167"/>
      <c r="B1786" s="166"/>
      <c r="C1786" s="166"/>
      <c r="D1786" s="166"/>
    </row>
    <row r="1787" spans="1:4" x14ac:dyDescent="0.25">
      <c r="A1787" s="167"/>
      <c r="B1787" s="166"/>
      <c r="C1787" s="166"/>
      <c r="D1787" s="166"/>
    </row>
    <row r="1788" spans="1:4" x14ac:dyDescent="0.25">
      <c r="A1788" s="167"/>
      <c r="B1788" s="166"/>
      <c r="C1788" s="166"/>
      <c r="D1788" s="166"/>
    </row>
    <row r="1789" spans="1:4" x14ac:dyDescent="0.25">
      <c r="A1789" s="167"/>
      <c r="B1789" s="166"/>
      <c r="C1789" s="166"/>
      <c r="D1789" s="166"/>
    </row>
    <row r="1790" spans="1:4" x14ac:dyDescent="0.25">
      <c r="A1790" s="167"/>
      <c r="B1790" s="166"/>
      <c r="C1790" s="166"/>
      <c r="D1790" s="166"/>
    </row>
    <row r="1791" spans="1:4" x14ac:dyDescent="0.25">
      <c r="A1791" s="167"/>
      <c r="B1791" s="166"/>
      <c r="C1791" s="166"/>
      <c r="D1791" s="166"/>
    </row>
    <row r="1792" spans="1:4" x14ac:dyDescent="0.25">
      <c r="A1792" s="167"/>
      <c r="B1792" s="166"/>
      <c r="C1792" s="166"/>
      <c r="D1792" s="166"/>
    </row>
    <row r="1793" spans="1:4" x14ac:dyDescent="0.25">
      <c r="A1793" s="167"/>
      <c r="B1793" s="166"/>
      <c r="C1793" s="166"/>
      <c r="D1793" s="166"/>
    </row>
    <row r="1794" spans="1:4" x14ac:dyDescent="0.25">
      <c r="A1794" s="167"/>
      <c r="B1794" s="166"/>
      <c r="C1794" s="166"/>
      <c r="D1794" s="166"/>
    </row>
    <row r="1795" spans="1:4" x14ac:dyDescent="0.25">
      <c r="A1795" s="167"/>
      <c r="B1795" s="166"/>
      <c r="C1795" s="166"/>
      <c r="D1795" s="166"/>
    </row>
    <row r="1796" spans="1:4" x14ac:dyDescent="0.25">
      <c r="A1796" s="167"/>
      <c r="B1796" s="166"/>
      <c r="C1796" s="166"/>
      <c r="D1796" s="166"/>
    </row>
    <row r="1797" spans="1:4" x14ac:dyDescent="0.25">
      <c r="A1797" s="167"/>
      <c r="B1797" s="166"/>
      <c r="C1797" s="166"/>
      <c r="D1797" s="166"/>
    </row>
    <row r="1798" spans="1:4" x14ac:dyDescent="0.25">
      <c r="A1798" s="167"/>
      <c r="B1798" s="166"/>
      <c r="C1798" s="166"/>
      <c r="D1798" s="166"/>
    </row>
    <row r="1799" spans="1:4" x14ac:dyDescent="0.25">
      <c r="A1799" s="167"/>
      <c r="B1799" s="166"/>
      <c r="C1799" s="166"/>
      <c r="D1799" s="166"/>
    </row>
    <row r="1800" spans="1:4" x14ac:dyDescent="0.25">
      <c r="A1800" s="167"/>
      <c r="B1800" s="166"/>
      <c r="C1800" s="166"/>
      <c r="D1800" s="166"/>
    </row>
    <row r="1801" spans="1:4" x14ac:dyDescent="0.25">
      <c r="A1801" s="167"/>
      <c r="B1801" s="166"/>
      <c r="C1801" s="166"/>
      <c r="D1801" s="166"/>
    </row>
    <row r="1802" spans="1:4" x14ac:dyDescent="0.25">
      <c r="A1802" s="167"/>
      <c r="B1802" s="166"/>
      <c r="C1802" s="166"/>
      <c r="D1802" s="166"/>
    </row>
    <row r="1803" spans="1:4" x14ac:dyDescent="0.25">
      <c r="A1803" s="167"/>
      <c r="B1803" s="166"/>
      <c r="C1803" s="166"/>
      <c r="D1803" s="166"/>
    </row>
    <row r="1804" spans="1:4" x14ac:dyDescent="0.25">
      <c r="A1804" s="167"/>
      <c r="B1804" s="166"/>
      <c r="C1804" s="166"/>
      <c r="D1804" s="166"/>
    </row>
    <row r="1805" spans="1:4" x14ac:dyDescent="0.25">
      <c r="A1805" s="167"/>
      <c r="B1805" s="166"/>
      <c r="C1805" s="166"/>
      <c r="D1805" s="166"/>
    </row>
    <row r="1806" spans="1:4" x14ac:dyDescent="0.25">
      <c r="A1806" s="167"/>
      <c r="B1806" s="166"/>
      <c r="C1806" s="166"/>
      <c r="D1806" s="166"/>
    </row>
    <row r="1807" spans="1:4" x14ac:dyDescent="0.25">
      <c r="A1807" s="167"/>
      <c r="B1807" s="166"/>
      <c r="C1807" s="166"/>
      <c r="D1807" s="166"/>
    </row>
    <row r="1808" spans="1:4" x14ac:dyDescent="0.25">
      <c r="A1808" s="167"/>
      <c r="B1808" s="166"/>
      <c r="C1808" s="166"/>
      <c r="D1808" s="166"/>
    </row>
    <row r="1809" spans="1:4" x14ac:dyDescent="0.25">
      <c r="A1809" s="167"/>
      <c r="B1809" s="166"/>
      <c r="C1809" s="166"/>
      <c r="D1809" s="166"/>
    </row>
    <row r="1810" spans="1:4" x14ac:dyDescent="0.25">
      <c r="A1810" s="167"/>
      <c r="B1810" s="166"/>
      <c r="C1810" s="166"/>
      <c r="D1810" s="166"/>
    </row>
    <row r="1811" spans="1:4" x14ac:dyDescent="0.25">
      <c r="A1811" s="167"/>
      <c r="B1811" s="166"/>
      <c r="C1811" s="166"/>
      <c r="D1811" s="166"/>
    </row>
    <row r="1812" spans="1:4" x14ac:dyDescent="0.25">
      <c r="A1812" s="167"/>
      <c r="B1812" s="166"/>
      <c r="C1812" s="166"/>
      <c r="D1812" s="166"/>
    </row>
    <row r="1813" spans="1:4" x14ac:dyDescent="0.25">
      <c r="A1813" s="167"/>
      <c r="B1813" s="166"/>
      <c r="C1813" s="166"/>
      <c r="D1813" s="166"/>
    </row>
    <row r="1814" spans="1:4" x14ac:dyDescent="0.25">
      <c r="A1814" s="167"/>
      <c r="B1814" s="166"/>
      <c r="C1814" s="166"/>
      <c r="D1814" s="166"/>
    </row>
    <row r="1815" spans="1:4" x14ac:dyDescent="0.25">
      <c r="A1815" s="167"/>
      <c r="B1815" s="166"/>
      <c r="C1815" s="166"/>
      <c r="D1815" s="166"/>
    </row>
    <row r="1816" spans="1:4" x14ac:dyDescent="0.25">
      <c r="A1816" s="167"/>
      <c r="B1816" s="166"/>
      <c r="C1816" s="166"/>
      <c r="D1816" s="166"/>
    </row>
    <row r="1817" spans="1:4" x14ac:dyDescent="0.25">
      <c r="A1817" s="167"/>
      <c r="B1817" s="166"/>
      <c r="C1817" s="166"/>
      <c r="D1817" s="166"/>
    </row>
    <row r="1818" spans="1:4" x14ac:dyDescent="0.25">
      <c r="A1818" s="167"/>
      <c r="B1818" s="166"/>
      <c r="C1818" s="166"/>
      <c r="D1818" s="166"/>
    </row>
    <row r="1819" spans="1:4" x14ac:dyDescent="0.25">
      <c r="A1819" s="167"/>
      <c r="B1819" s="166"/>
      <c r="C1819" s="166"/>
      <c r="D1819" s="166"/>
    </row>
    <row r="1820" spans="1:4" x14ac:dyDescent="0.25">
      <c r="A1820" s="167"/>
      <c r="B1820" s="166"/>
      <c r="C1820" s="166"/>
      <c r="D1820" s="166"/>
    </row>
    <row r="1821" spans="1:4" x14ac:dyDescent="0.25">
      <c r="A1821" s="167"/>
      <c r="B1821" s="166"/>
      <c r="C1821" s="166"/>
      <c r="D1821" s="166"/>
    </row>
    <row r="1822" spans="1:4" x14ac:dyDescent="0.25">
      <c r="A1822" s="167"/>
      <c r="B1822" s="166"/>
      <c r="C1822" s="166"/>
      <c r="D1822" s="166"/>
    </row>
    <row r="1823" spans="1:4" x14ac:dyDescent="0.25">
      <c r="A1823" s="167"/>
      <c r="B1823" s="166"/>
      <c r="C1823" s="166"/>
      <c r="D1823" s="166"/>
    </row>
    <row r="1824" spans="1:4" x14ac:dyDescent="0.25">
      <c r="A1824" s="167"/>
      <c r="B1824" s="166"/>
      <c r="C1824" s="166"/>
      <c r="D1824" s="166"/>
    </row>
    <row r="1825" spans="1:4" x14ac:dyDescent="0.25">
      <c r="A1825" s="167"/>
      <c r="B1825" s="166"/>
      <c r="C1825" s="166"/>
      <c r="D1825" s="166"/>
    </row>
    <row r="1826" spans="1:4" x14ac:dyDescent="0.25">
      <c r="A1826" s="167"/>
      <c r="B1826" s="166"/>
      <c r="C1826" s="166"/>
      <c r="D1826" s="166"/>
    </row>
    <row r="1827" spans="1:4" x14ac:dyDescent="0.25">
      <c r="A1827" s="167"/>
      <c r="B1827" s="166"/>
      <c r="C1827" s="166"/>
      <c r="D1827" s="166"/>
    </row>
    <row r="1828" spans="1:4" x14ac:dyDescent="0.25">
      <c r="A1828" s="167"/>
      <c r="B1828" s="166"/>
      <c r="C1828" s="166"/>
      <c r="D1828" s="166"/>
    </row>
    <row r="1829" spans="1:4" x14ac:dyDescent="0.25">
      <c r="A1829" s="167"/>
      <c r="B1829" s="166"/>
      <c r="C1829" s="166"/>
      <c r="D1829" s="166"/>
    </row>
    <row r="1830" spans="1:4" x14ac:dyDescent="0.25">
      <c r="A1830" s="167"/>
      <c r="B1830" s="166"/>
      <c r="C1830" s="166"/>
      <c r="D1830" s="166"/>
    </row>
    <row r="1831" spans="1:4" x14ac:dyDescent="0.25">
      <c r="A1831" s="167"/>
      <c r="B1831" s="166"/>
      <c r="C1831" s="166"/>
      <c r="D1831" s="166"/>
    </row>
    <row r="1832" spans="1:4" x14ac:dyDescent="0.25">
      <c r="A1832" s="167"/>
      <c r="B1832" s="166"/>
      <c r="C1832" s="166"/>
      <c r="D1832" s="166"/>
    </row>
    <row r="1833" spans="1:4" x14ac:dyDescent="0.25">
      <c r="A1833" s="167"/>
      <c r="B1833" s="166"/>
      <c r="C1833" s="166"/>
      <c r="D1833" s="166"/>
    </row>
    <row r="1834" spans="1:4" x14ac:dyDescent="0.25">
      <c r="A1834" s="167"/>
      <c r="B1834" s="166"/>
      <c r="C1834" s="166"/>
      <c r="D1834" s="166"/>
    </row>
    <row r="1835" spans="1:4" x14ac:dyDescent="0.25">
      <c r="A1835" s="167"/>
      <c r="B1835" s="166"/>
      <c r="C1835" s="166"/>
      <c r="D1835" s="166"/>
    </row>
    <row r="1836" spans="1:4" x14ac:dyDescent="0.25">
      <c r="A1836" s="167"/>
      <c r="B1836" s="166"/>
      <c r="C1836" s="166"/>
      <c r="D1836" s="166"/>
    </row>
    <row r="1837" spans="1:4" x14ac:dyDescent="0.25">
      <c r="A1837" s="167"/>
      <c r="B1837" s="166"/>
      <c r="C1837" s="166"/>
      <c r="D1837" s="166"/>
    </row>
    <row r="1838" spans="1:4" x14ac:dyDescent="0.25">
      <c r="A1838" s="167"/>
      <c r="B1838" s="166"/>
      <c r="C1838" s="166"/>
      <c r="D1838" s="166"/>
    </row>
    <row r="1839" spans="1:4" x14ac:dyDescent="0.25">
      <c r="A1839" s="167"/>
      <c r="B1839" s="166"/>
      <c r="C1839" s="166"/>
      <c r="D1839" s="166"/>
    </row>
    <row r="1840" spans="1:4" x14ac:dyDescent="0.25">
      <c r="A1840" s="167"/>
      <c r="B1840" s="166"/>
      <c r="C1840" s="166"/>
      <c r="D1840" s="166"/>
    </row>
    <row r="1841" spans="1:4" x14ac:dyDescent="0.25">
      <c r="A1841" s="167"/>
      <c r="B1841" s="166"/>
      <c r="C1841" s="166"/>
      <c r="D1841" s="166"/>
    </row>
    <row r="1842" spans="1:4" x14ac:dyDescent="0.25">
      <c r="A1842" s="167"/>
      <c r="B1842" s="166"/>
      <c r="C1842" s="166"/>
      <c r="D1842" s="166"/>
    </row>
    <row r="1843" spans="1:4" x14ac:dyDescent="0.25">
      <c r="A1843" s="167"/>
      <c r="B1843" s="166"/>
      <c r="C1843" s="166"/>
      <c r="D1843" s="166"/>
    </row>
    <row r="1844" spans="1:4" x14ac:dyDescent="0.25">
      <c r="A1844" s="167"/>
      <c r="B1844" s="166"/>
      <c r="C1844" s="166"/>
      <c r="D1844" s="166"/>
    </row>
    <row r="1845" spans="1:4" x14ac:dyDescent="0.25">
      <c r="A1845" s="167"/>
      <c r="B1845" s="166"/>
      <c r="C1845" s="166"/>
      <c r="D1845" s="166"/>
    </row>
    <row r="1846" spans="1:4" x14ac:dyDescent="0.25">
      <c r="A1846" s="167"/>
      <c r="B1846" s="166"/>
      <c r="C1846" s="166"/>
      <c r="D1846" s="166"/>
    </row>
    <row r="1847" spans="1:4" x14ac:dyDescent="0.25">
      <c r="A1847" s="167"/>
      <c r="B1847" s="166"/>
      <c r="C1847" s="166"/>
      <c r="D1847" s="166"/>
    </row>
    <row r="1848" spans="1:4" x14ac:dyDescent="0.25">
      <c r="A1848" s="167"/>
      <c r="B1848" s="166"/>
      <c r="C1848" s="166"/>
      <c r="D1848" s="166"/>
    </row>
    <row r="1849" spans="1:4" x14ac:dyDescent="0.25">
      <c r="A1849" s="167"/>
      <c r="B1849" s="166"/>
      <c r="C1849" s="166"/>
      <c r="D1849" s="166"/>
    </row>
    <row r="1850" spans="1:4" x14ac:dyDescent="0.25">
      <c r="A1850" s="167"/>
      <c r="B1850" s="166"/>
      <c r="C1850" s="166"/>
      <c r="D1850" s="166"/>
    </row>
    <row r="1851" spans="1:4" x14ac:dyDescent="0.25">
      <c r="A1851" s="167"/>
      <c r="B1851" s="166"/>
      <c r="C1851" s="166"/>
      <c r="D1851" s="166"/>
    </row>
    <row r="1852" spans="1:4" x14ac:dyDescent="0.25">
      <c r="A1852" s="167"/>
      <c r="B1852" s="166"/>
      <c r="C1852" s="166"/>
      <c r="D1852" s="166"/>
    </row>
    <row r="1853" spans="1:4" x14ac:dyDescent="0.25">
      <c r="A1853" s="167"/>
      <c r="B1853" s="166"/>
      <c r="C1853" s="166"/>
      <c r="D1853" s="166"/>
    </row>
    <row r="1854" spans="1:4" x14ac:dyDescent="0.25">
      <c r="A1854" s="167"/>
      <c r="B1854" s="166"/>
      <c r="C1854" s="166"/>
      <c r="D1854" s="166"/>
    </row>
    <row r="1855" spans="1:4" x14ac:dyDescent="0.25">
      <c r="A1855" s="167"/>
      <c r="B1855" s="166"/>
      <c r="C1855" s="166"/>
      <c r="D1855" s="166"/>
    </row>
    <row r="1856" spans="1:4" x14ac:dyDescent="0.25">
      <c r="A1856" s="167"/>
      <c r="B1856" s="166"/>
      <c r="C1856" s="166"/>
      <c r="D1856" s="166"/>
    </row>
    <row r="1857" spans="1:4" x14ac:dyDescent="0.25">
      <c r="A1857" s="167"/>
      <c r="B1857" s="166"/>
      <c r="C1857" s="166"/>
      <c r="D1857" s="166"/>
    </row>
    <row r="1858" spans="1:4" x14ac:dyDescent="0.25">
      <c r="A1858" s="167"/>
      <c r="B1858" s="166"/>
      <c r="C1858" s="166"/>
      <c r="D1858" s="166"/>
    </row>
    <row r="1859" spans="1:4" x14ac:dyDescent="0.25">
      <c r="A1859" s="167"/>
      <c r="B1859" s="166"/>
      <c r="C1859" s="166"/>
      <c r="D1859" s="166"/>
    </row>
    <row r="1860" spans="1:4" x14ac:dyDescent="0.25">
      <c r="A1860" s="167"/>
      <c r="B1860" s="166"/>
      <c r="C1860" s="166"/>
      <c r="D1860" s="166"/>
    </row>
    <row r="1861" spans="1:4" x14ac:dyDescent="0.25">
      <c r="A1861" s="167"/>
      <c r="B1861" s="166"/>
      <c r="C1861" s="166"/>
      <c r="D1861" s="166"/>
    </row>
    <row r="1862" spans="1:4" x14ac:dyDescent="0.25">
      <c r="A1862" s="167"/>
      <c r="B1862" s="166"/>
      <c r="C1862" s="166"/>
      <c r="D1862" s="166"/>
    </row>
    <row r="1863" spans="1:4" x14ac:dyDescent="0.25">
      <c r="A1863" s="167"/>
      <c r="B1863" s="166"/>
      <c r="C1863" s="166"/>
      <c r="D1863" s="166"/>
    </row>
    <row r="1864" spans="1:4" x14ac:dyDescent="0.25">
      <c r="A1864" s="167"/>
      <c r="B1864" s="166"/>
      <c r="C1864" s="166"/>
      <c r="D1864" s="166"/>
    </row>
    <row r="1865" spans="1:4" x14ac:dyDescent="0.25">
      <c r="A1865" s="167"/>
      <c r="B1865" s="166"/>
      <c r="C1865" s="166"/>
      <c r="D1865" s="166"/>
    </row>
    <row r="1866" spans="1:4" x14ac:dyDescent="0.25">
      <c r="A1866" s="167"/>
      <c r="B1866" s="166"/>
      <c r="C1866" s="166"/>
      <c r="D1866" s="166"/>
    </row>
    <row r="1867" spans="1:4" x14ac:dyDescent="0.25">
      <c r="A1867" s="167"/>
      <c r="B1867" s="166"/>
      <c r="C1867" s="166"/>
      <c r="D1867" s="166"/>
    </row>
    <row r="1868" spans="1:4" x14ac:dyDescent="0.25">
      <c r="A1868" s="167"/>
      <c r="B1868" s="166"/>
      <c r="C1868" s="166"/>
      <c r="D1868" s="166"/>
    </row>
    <row r="1869" spans="1:4" x14ac:dyDescent="0.25">
      <c r="A1869" s="167"/>
      <c r="B1869" s="166"/>
      <c r="C1869" s="166"/>
      <c r="D1869" s="166"/>
    </row>
    <row r="1870" spans="1:4" x14ac:dyDescent="0.25">
      <c r="A1870" s="167"/>
      <c r="B1870" s="166"/>
      <c r="C1870" s="166"/>
      <c r="D1870" s="166"/>
    </row>
    <row r="1871" spans="1:4" x14ac:dyDescent="0.25">
      <c r="A1871" s="167"/>
      <c r="B1871" s="166"/>
      <c r="C1871" s="166"/>
      <c r="D1871" s="166"/>
    </row>
    <row r="1872" spans="1:4" x14ac:dyDescent="0.25">
      <c r="A1872" s="167"/>
      <c r="B1872" s="166"/>
      <c r="C1872" s="166"/>
      <c r="D1872" s="166"/>
    </row>
    <row r="1873" spans="1:4" x14ac:dyDescent="0.25">
      <c r="A1873" s="167"/>
      <c r="B1873" s="166"/>
      <c r="C1873" s="166"/>
      <c r="D1873" s="166"/>
    </row>
    <row r="1874" spans="1:4" x14ac:dyDescent="0.25">
      <c r="A1874" s="167"/>
      <c r="B1874" s="166"/>
      <c r="C1874" s="166"/>
      <c r="D1874" s="166"/>
    </row>
    <row r="1875" spans="1:4" x14ac:dyDescent="0.25">
      <c r="A1875" s="167"/>
      <c r="B1875" s="166"/>
      <c r="C1875" s="166"/>
      <c r="D1875" s="166"/>
    </row>
    <row r="1876" spans="1:4" x14ac:dyDescent="0.25">
      <c r="A1876" s="167"/>
      <c r="B1876" s="166"/>
      <c r="C1876" s="166"/>
      <c r="D1876" s="166"/>
    </row>
    <row r="1877" spans="1:4" x14ac:dyDescent="0.25">
      <c r="A1877" s="167"/>
      <c r="B1877" s="166"/>
      <c r="C1877" s="166"/>
      <c r="D1877" s="166"/>
    </row>
    <row r="1878" spans="1:4" x14ac:dyDescent="0.25">
      <c r="A1878" s="167"/>
      <c r="B1878" s="166"/>
      <c r="C1878" s="166"/>
      <c r="D1878" s="166"/>
    </row>
    <row r="1879" spans="1:4" x14ac:dyDescent="0.25">
      <c r="A1879" s="167"/>
      <c r="B1879" s="166"/>
      <c r="C1879" s="166"/>
      <c r="D1879" s="166"/>
    </row>
    <row r="1880" spans="1:4" x14ac:dyDescent="0.25">
      <c r="A1880" s="167"/>
      <c r="B1880" s="166"/>
      <c r="C1880" s="166"/>
      <c r="D1880" s="166"/>
    </row>
    <row r="1881" spans="1:4" x14ac:dyDescent="0.25">
      <c r="A1881" s="167"/>
      <c r="B1881" s="166"/>
      <c r="C1881" s="166"/>
      <c r="D1881" s="166"/>
    </row>
    <row r="1882" spans="1:4" x14ac:dyDescent="0.25">
      <c r="A1882" s="167"/>
      <c r="B1882" s="166"/>
      <c r="C1882" s="166"/>
      <c r="D1882" s="166"/>
    </row>
    <row r="1883" spans="1:4" x14ac:dyDescent="0.25">
      <c r="A1883" s="167"/>
      <c r="B1883" s="166"/>
      <c r="C1883" s="166"/>
      <c r="D1883" s="166"/>
    </row>
    <row r="1884" spans="1:4" x14ac:dyDescent="0.25">
      <c r="A1884" s="167"/>
      <c r="B1884" s="166"/>
      <c r="C1884" s="166"/>
      <c r="D1884" s="166"/>
    </row>
    <row r="1885" spans="1:4" x14ac:dyDescent="0.25">
      <c r="A1885" s="167"/>
      <c r="B1885" s="166"/>
      <c r="C1885" s="166"/>
      <c r="D1885" s="166"/>
    </row>
    <row r="1886" spans="1:4" x14ac:dyDescent="0.25">
      <c r="A1886" s="167"/>
      <c r="B1886" s="166"/>
      <c r="C1886" s="166"/>
      <c r="D1886" s="166"/>
    </row>
    <row r="1887" spans="1:4" x14ac:dyDescent="0.25">
      <c r="A1887" s="167"/>
      <c r="B1887" s="166"/>
      <c r="C1887" s="166"/>
      <c r="D1887" s="166"/>
    </row>
    <row r="1888" spans="1:4" x14ac:dyDescent="0.25">
      <c r="A1888" s="167"/>
      <c r="B1888" s="166"/>
      <c r="C1888" s="166"/>
      <c r="D1888" s="166"/>
    </row>
    <row r="1889" spans="1:4" x14ac:dyDescent="0.25">
      <c r="A1889" s="167"/>
      <c r="B1889" s="166"/>
      <c r="C1889" s="166"/>
      <c r="D1889" s="166"/>
    </row>
    <row r="1890" spans="1:4" x14ac:dyDescent="0.25">
      <c r="A1890" s="167"/>
      <c r="B1890" s="166"/>
      <c r="C1890" s="166"/>
      <c r="D1890" s="166"/>
    </row>
    <row r="1891" spans="1:4" x14ac:dyDescent="0.25">
      <c r="A1891" s="167"/>
      <c r="B1891" s="166"/>
      <c r="C1891" s="166"/>
      <c r="D1891" s="166"/>
    </row>
    <row r="1892" spans="1:4" x14ac:dyDescent="0.25">
      <c r="A1892" s="167"/>
      <c r="B1892" s="166"/>
      <c r="C1892" s="166"/>
      <c r="D1892" s="166"/>
    </row>
    <row r="1893" spans="1:4" x14ac:dyDescent="0.25">
      <c r="A1893" s="167"/>
      <c r="B1893" s="166"/>
      <c r="C1893" s="166"/>
      <c r="D1893" s="166"/>
    </row>
    <row r="1894" spans="1:4" x14ac:dyDescent="0.25">
      <c r="A1894" s="167"/>
      <c r="B1894" s="166"/>
      <c r="C1894" s="166"/>
      <c r="D1894" s="166"/>
    </row>
    <row r="1895" spans="1:4" x14ac:dyDescent="0.25">
      <c r="A1895" s="167"/>
      <c r="B1895" s="166"/>
      <c r="C1895" s="166"/>
      <c r="D1895" s="166"/>
    </row>
    <row r="1896" spans="1:4" x14ac:dyDescent="0.25">
      <c r="A1896" s="167"/>
      <c r="B1896" s="166"/>
      <c r="C1896" s="166"/>
      <c r="D1896" s="166"/>
    </row>
    <row r="1897" spans="1:4" x14ac:dyDescent="0.25">
      <c r="A1897" s="167"/>
      <c r="B1897" s="166"/>
      <c r="C1897" s="166"/>
      <c r="D1897" s="166"/>
    </row>
    <row r="1898" spans="1:4" x14ac:dyDescent="0.25">
      <c r="A1898" s="167"/>
      <c r="B1898" s="166"/>
      <c r="C1898" s="166"/>
      <c r="D1898" s="166"/>
    </row>
    <row r="1899" spans="1:4" x14ac:dyDescent="0.25">
      <c r="A1899" s="167"/>
      <c r="B1899" s="166"/>
      <c r="C1899" s="166"/>
      <c r="D1899" s="166"/>
    </row>
    <row r="1900" spans="1:4" x14ac:dyDescent="0.25">
      <c r="A1900" s="167"/>
      <c r="B1900" s="166"/>
      <c r="C1900" s="166"/>
      <c r="D1900" s="166"/>
    </row>
    <row r="1901" spans="1:4" x14ac:dyDescent="0.25">
      <c r="A1901" s="167"/>
      <c r="B1901" s="166"/>
      <c r="C1901" s="166"/>
      <c r="D1901" s="166"/>
    </row>
    <row r="1902" spans="1:4" x14ac:dyDescent="0.25">
      <c r="A1902" s="167"/>
      <c r="B1902" s="166"/>
      <c r="C1902" s="166"/>
      <c r="D1902" s="166"/>
    </row>
    <row r="1903" spans="1:4" x14ac:dyDescent="0.25">
      <c r="A1903" s="167"/>
      <c r="B1903" s="166"/>
      <c r="C1903" s="166"/>
      <c r="D1903" s="166"/>
    </row>
    <row r="1904" spans="1:4" x14ac:dyDescent="0.25">
      <c r="A1904" s="167"/>
      <c r="B1904" s="166"/>
      <c r="C1904" s="166"/>
      <c r="D1904" s="166"/>
    </row>
    <row r="1905" spans="1:4" x14ac:dyDescent="0.25">
      <c r="A1905" s="167"/>
      <c r="B1905" s="166"/>
      <c r="C1905" s="166"/>
      <c r="D1905" s="166"/>
    </row>
    <row r="1906" spans="1:4" x14ac:dyDescent="0.25">
      <c r="A1906" s="167"/>
      <c r="B1906" s="166"/>
      <c r="C1906" s="166"/>
      <c r="D1906" s="166"/>
    </row>
    <row r="1907" spans="1:4" x14ac:dyDescent="0.25">
      <c r="A1907" s="167"/>
      <c r="B1907" s="166"/>
      <c r="C1907" s="166"/>
      <c r="D1907" s="166"/>
    </row>
    <row r="1908" spans="1:4" x14ac:dyDescent="0.25">
      <c r="A1908" s="167"/>
      <c r="B1908" s="166"/>
      <c r="C1908" s="166"/>
      <c r="D1908" s="166"/>
    </row>
    <row r="1909" spans="1:4" x14ac:dyDescent="0.25">
      <c r="A1909" s="167"/>
      <c r="B1909" s="166"/>
      <c r="C1909" s="166"/>
      <c r="D1909" s="166"/>
    </row>
    <row r="1910" spans="1:4" x14ac:dyDescent="0.25">
      <c r="A1910" s="167"/>
      <c r="B1910" s="166"/>
      <c r="C1910" s="166"/>
      <c r="D1910" s="166"/>
    </row>
    <row r="1911" spans="1:4" x14ac:dyDescent="0.25">
      <c r="A1911" s="167"/>
      <c r="B1911" s="166"/>
      <c r="C1911" s="166"/>
      <c r="D1911" s="166"/>
    </row>
    <row r="1912" spans="1:4" x14ac:dyDescent="0.25">
      <c r="A1912" s="167"/>
      <c r="B1912" s="166"/>
      <c r="C1912" s="166"/>
      <c r="D1912" s="166"/>
    </row>
    <row r="1913" spans="1:4" x14ac:dyDescent="0.25">
      <c r="A1913" s="167"/>
      <c r="B1913" s="166"/>
      <c r="C1913" s="166"/>
      <c r="D1913" s="166"/>
    </row>
    <row r="1914" spans="1:4" x14ac:dyDescent="0.25">
      <c r="A1914" s="167"/>
      <c r="B1914" s="166"/>
      <c r="C1914" s="166"/>
      <c r="D1914" s="166"/>
    </row>
    <row r="1915" spans="1:4" x14ac:dyDescent="0.25">
      <c r="A1915" s="167"/>
      <c r="B1915" s="166"/>
      <c r="C1915" s="166"/>
      <c r="D1915" s="166"/>
    </row>
    <row r="1916" spans="1:4" x14ac:dyDescent="0.25">
      <c r="A1916" s="167"/>
      <c r="B1916" s="166"/>
      <c r="C1916" s="166"/>
      <c r="D1916" s="166"/>
    </row>
    <row r="1917" spans="1:4" x14ac:dyDescent="0.25">
      <c r="A1917" s="167"/>
      <c r="B1917" s="166"/>
      <c r="C1917" s="166"/>
      <c r="D1917" s="166"/>
    </row>
    <row r="1918" spans="1:4" x14ac:dyDescent="0.25">
      <c r="A1918" s="167"/>
      <c r="B1918" s="166"/>
      <c r="C1918" s="166"/>
      <c r="D1918" s="166"/>
    </row>
    <row r="1919" spans="1:4" x14ac:dyDescent="0.25">
      <c r="A1919" s="167"/>
      <c r="B1919" s="166"/>
      <c r="C1919" s="166"/>
      <c r="D1919" s="166"/>
    </row>
    <row r="1920" spans="1:4" x14ac:dyDescent="0.25">
      <c r="A1920" s="167"/>
      <c r="B1920" s="166"/>
      <c r="C1920" s="166"/>
      <c r="D1920" s="166"/>
    </row>
    <row r="1921" spans="1:4" x14ac:dyDescent="0.25">
      <c r="A1921" s="167"/>
      <c r="B1921" s="166"/>
      <c r="C1921" s="166"/>
      <c r="D1921" s="166"/>
    </row>
    <row r="1922" spans="1:4" x14ac:dyDescent="0.25">
      <c r="A1922" s="167"/>
      <c r="B1922" s="166"/>
      <c r="C1922" s="166"/>
      <c r="D1922" s="166"/>
    </row>
    <row r="1923" spans="1:4" x14ac:dyDescent="0.25">
      <c r="A1923" s="167"/>
      <c r="B1923" s="166"/>
      <c r="C1923" s="166"/>
      <c r="D1923" s="166"/>
    </row>
    <row r="1924" spans="1:4" x14ac:dyDescent="0.25">
      <c r="A1924" s="167"/>
      <c r="B1924" s="166"/>
      <c r="C1924" s="166"/>
      <c r="D1924" s="166"/>
    </row>
    <row r="1925" spans="1:4" x14ac:dyDescent="0.25">
      <c r="A1925" s="167"/>
      <c r="B1925" s="166"/>
      <c r="C1925" s="166"/>
      <c r="D1925" s="166"/>
    </row>
    <row r="1926" spans="1:4" x14ac:dyDescent="0.25">
      <c r="A1926" s="167"/>
      <c r="B1926" s="166"/>
      <c r="C1926" s="166"/>
      <c r="D1926" s="166"/>
    </row>
    <row r="1927" spans="1:4" x14ac:dyDescent="0.25">
      <c r="A1927" s="167"/>
      <c r="B1927" s="166"/>
      <c r="C1927" s="166"/>
      <c r="D1927" s="166"/>
    </row>
    <row r="1928" spans="1:4" x14ac:dyDescent="0.25">
      <c r="A1928" s="167"/>
      <c r="B1928" s="166"/>
      <c r="C1928" s="166"/>
      <c r="D1928" s="166"/>
    </row>
    <row r="1929" spans="1:4" x14ac:dyDescent="0.25">
      <c r="A1929" s="167"/>
      <c r="B1929" s="166"/>
      <c r="C1929" s="166"/>
      <c r="D1929" s="166"/>
    </row>
    <row r="1930" spans="1:4" x14ac:dyDescent="0.25">
      <c r="A1930" s="167"/>
      <c r="B1930" s="166"/>
      <c r="C1930" s="166"/>
      <c r="D1930" s="166"/>
    </row>
    <row r="1931" spans="1:4" x14ac:dyDescent="0.25">
      <c r="A1931" s="167"/>
      <c r="B1931" s="166"/>
      <c r="C1931" s="166"/>
      <c r="D1931" s="166"/>
    </row>
    <row r="1932" spans="1:4" x14ac:dyDescent="0.25">
      <c r="A1932" s="167"/>
      <c r="B1932" s="166"/>
      <c r="C1932" s="166"/>
      <c r="D1932" s="166"/>
    </row>
    <row r="1933" spans="1:4" x14ac:dyDescent="0.25">
      <c r="A1933" s="167"/>
      <c r="B1933" s="166"/>
      <c r="C1933" s="166"/>
      <c r="D1933" s="166"/>
    </row>
    <row r="1934" spans="1:4" x14ac:dyDescent="0.25">
      <c r="A1934" s="167"/>
      <c r="B1934" s="166"/>
      <c r="C1934" s="166"/>
      <c r="D1934" s="166"/>
    </row>
    <row r="1935" spans="1:4" x14ac:dyDescent="0.25">
      <c r="A1935" s="167"/>
      <c r="B1935" s="166"/>
      <c r="C1935" s="166"/>
      <c r="D1935" s="166"/>
    </row>
    <row r="1936" spans="1:4" x14ac:dyDescent="0.25">
      <c r="A1936" s="167"/>
      <c r="B1936" s="166"/>
      <c r="C1936" s="166"/>
      <c r="D1936" s="166"/>
    </row>
    <row r="1937" spans="1:4" x14ac:dyDescent="0.25">
      <c r="A1937" s="167"/>
      <c r="B1937" s="166"/>
      <c r="C1937" s="166"/>
      <c r="D1937" s="166"/>
    </row>
    <row r="1938" spans="1:4" x14ac:dyDescent="0.25">
      <c r="A1938" s="167"/>
      <c r="B1938" s="166"/>
      <c r="C1938" s="166"/>
      <c r="D1938" s="166"/>
    </row>
    <row r="1939" spans="1:4" x14ac:dyDescent="0.25">
      <c r="A1939" s="167"/>
      <c r="B1939" s="166"/>
      <c r="C1939" s="166"/>
      <c r="D1939" s="166"/>
    </row>
    <row r="1940" spans="1:4" x14ac:dyDescent="0.25">
      <c r="A1940" s="167"/>
      <c r="B1940" s="166"/>
      <c r="C1940" s="166"/>
      <c r="D1940" s="166"/>
    </row>
    <row r="1941" spans="1:4" x14ac:dyDescent="0.25">
      <c r="A1941" s="167"/>
      <c r="B1941" s="166"/>
      <c r="C1941" s="166"/>
      <c r="D1941" s="166"/>
    </row>
    <row r="1942" spans="1:4" x14ac:dyDescent="0.25">
      <c r="A1942" s="167"/>
      <c r="B1942" s="166"/>
      <c r="C1942" s="166"/>
      <c r="D1942" s="166"/>
    </row>
    <row r="1943" spans="1:4" x14ac:dyDescent="0.25">
      <c r="A1943" s="167"/>
      <c r="B1943" s="166"/>
      <c r="C1943" s="166"/>
      <c r="D1943" s="166"/>
    </row>
    <row r="1944" spans="1:4" x14ac:dyDescent="0.25">
      <c r="A1944" s="167"/>
      <c r="B1944" s="166"/>
      <c r="C1944" s="166"/>
      <c r="D1944" s="166"/>
    </row>
    <row r="1945" spans="1:4" x14ac:dyDescent="0.25">
      <c r="A1945" s="167"/>
      <c r="B1945" s="166"/>
      <c r="C1945" s="166"/>
      <c r="D1945" s="166"/>
    </row>
    <row r="1946" spans="1:4" x14ac:dyDescent="0.25">
      <c r="A1946" s="167"/>
      <c r="B1946" s="166"/>
      <c r="C1946" s="166"/>
      <c r="D1946" s="166"/>
    </row>
    <row r="1947" spans="1:4" x14ac:dyDescent="0.25">
      <c r="A1947" s="167"/>
      <c r="B1947" s="166"/>
      <c r="C1947" s="166"/>
      <c r="D1947" s="166"/>
    </row>
    <row r="1948" spans="1:4" x14ac:dyDescent="0.25">
      <c r="A1948" s="167"/>
      <c r="B1948" s="166"/>
      <c r="C1948" s="166"/>
      <c r="D1948" s="166"/>
    </row>
    <row r="1949" spans="1:4" x14ac:dyDescent="0.25">
      <c r="A1949" s="167"/>
      <c r="B1949" s="166"/>
      <c r="C1949" s="166"/>
      <c r="D1949" s="166"/>
    </row>
    <row r="1950" spans="1:4" x14ac:dyDescent="0.25">
      <c r="A1950" s="167"/>
      <c r="B1950" s="166"/>
      <c r="C1950" s="166"/>
      <c r="D1950" s="166"/>
    </row>
    <row r="1951" spans="1:4" x14ac:dyDescent="0.25">
      <c r="A1951" s="167"/>
      <c r="B1951" s="166"/>
      <c r="C1951" s="166"/>
      <c r="D1951" s="166"/>
    </row>
    <row r="1952" spans="1:4" x14ac:dyDescent="0.25">
      <c r="A1952" s="167"/>
      <c r="B1952" s="166"/>
      <c r="C1952" s="166"/>
      <c r="D1952" s="166"/>
    </row>
    <row r="1953" spans="1:4" x14ac:dyDescent="0.25">
      <c r="A1953" s="167"/>
      <c r="B1953" s="166"/>
      <c r="C1953" s="166"/>
      <c r="D1953" s="166"/>
    </row>
    <row r="1954" spans="1:4" x14ac:dyDescent="0.25">
      <c r="A1954" s="167"/>
      <c r="B1954" s="166"/>
      <c r="C1954" s="166"/>
      <c r="D1954" s="166"/>
    </row>
    <row r="1955" spans="1:4" x14ac:dyDescent="0.25">
      <c r="A1955" s="167"/>
      <c r="B1955" s="166"/>
      <c r="C1955" s="166"/>
      <c r="D1955" s="166"/>
    </row>
    <row r="1956" spans="1:4" x14ac:dyDescent="0.25">
      <c r="A1956" s="167"/>
      <c r="B1956" s="166"/>
      <c r="C1956" s="166"/>
      <c r="D1956" s="166"/>
    </row>
    <row r="1957" spans="1:4" x14ac:dyDescent="0.25">
      <c r="A1957" s="167"/>
      <c r="B1957" s="166"/>
      <c r="C1957" s="166"/>
      <c r="D1957" s="166"/>
    </row>
    <row r="1958" spans="1:4" x14ac:dyDescent="0.25">
      <c r="A1958" s="167"/>
      <c r="B1958" s="166"/>
      <c r="C1958" s="166"/>
      <c r="D1958" s="166"/>
    </row>
    <row r="1959" spans="1:4" x14ac:dyDescent="0.25">
      <c r="A1959" s="167"/>
      <c r="B1959" s="166"/>
      <c r="C1959" s="166"/>
      <c r="D1959" s="166"/>
    </row>
    <row r="1960" spans="1:4" x14ac:dyDescent="0.25">
      <c r="A1960" s="167"/>
      <c r="B1960" s="166"/>
      <c r="C1960" s="166"/>
      <c r="D1960" s="166"/>
    </row>
    <row r="1961" spans="1:4" x14ac:dyDescent="0.25">
      <c r="A1961" s="167"/>
      <c r="B1961" s="166"/>
      <c r="C1961" s="166"/>
      <c r="D1961" s="166"/>
    </row>
    <row r="1962" spans="1:4" x14ac:dyDescent="0.25">
      <c r="A1962" s="167"/>
      <c r="B1962" s="166"/>
      <c r="C1962" s="166"/>
      <c r="D1962" s="166"/>
    </row>
    <row r="1963" spans="1:4" x14ac:dyDescent="0.25">
      <c r="A1963" s="167"/>
      <c r="B1963" s="166"/>
      <c r="C1963" s="166"/>
      <c r="D1963" s="166"/>
    </row>
    <row r="1964" spans="1:4" x14ac:dyDescent="0.25">
      <c r="A1964" s="167"/>
      <c r="B1964" s="166"/>
      <c r="C1964" s="166"/>
      <c r="D1964" s="166"/>
    </row>
    <row r="1965" spans="1:4" x14ac:dyDescent="0.25">
      <c r="A1965" s="167"/>
      <c r="B1965" s="166"/>
      <c r="C1965" s="166"/>
      <c r="D1965" s="166"/>
    </row>
    <row r="1966" spans="1:4" x14ac:dyDescent="0.25">
      <c r="A1966" s="167"/>
      <c r="B1966" s="166"/>
      <c r="C1966" s="166"/>
      <c r="D1966" s="166"/>
    </row>
    <row r="1967" spans="1:4" x14ac:dyDescent="0.25">
      <c r="A1967" s="167"/>
      <c r="B1967" s="166"/>
      <c r="C1967" s="166"/>
      <c r="D1967" s="166"/>
    </row>
    <row r="1968" spans="1:4" x14ac:dyDescent="0.25">
      <c r="A1968" s="167"/>
      <c r="B1968" s="166"/>
      <c r="C1968" s="166"/>
      <c r="D1968" s="166"/>
    </row>
    <row r="1969" spans="1:4" x14ac:dyDescent="0.25">
      <c r="A1969" s="167"/>
      <c r="B1969" s="166"/>
      <c r="C1969" s="166"/>
      <c r="D1969" s="166"/>
    </row>
    <row r="1970" spans="1:4" x14ac:dyDescent="0.25">
      <c r="A1970" s="167"/>
      <c r="B1970" s="166"/>
      <c r="C1970" s="166"/>
      <c r="D1970" s="166"/>
    </row>
    <row r="1971" spans="1:4" x14ac:dyDescent="0.25">
      <c r="A1971" s="167"/>
      <c r="B1971" s="166"/>
      <c r="C1971" s="166"/>
      <c r="D1971" s="166"/>
    </row>
    <row r="1972" spans="1:4" x14ac:dyDescent="0.25">
      <c r="A1972" s="167"/>
      <c r="B1972" s="166"/>
      <c r="C1972" s="166"/>
      <c r="D1972" s="166"/>
    </row>
    <row r="1973" spans="1:4" x14ac:dyDescent="0.25">
      <c r="A1973" s="167"/>
      <c r="B1973" s="166"/>
      <c r="C1973" s="166"/>
      <c r="D1973" s="166"/>
    </row>
    <row r="1974" spans="1:4" x14ac:dyDescent="0.25">
      <c r="A1974" s="167"/>
      <c r="B1974" s="166"/>
      <c r="C1974" s="166"/>
      <c r="D1974" s="166"/>
    </row>
    <row r="1975" spans="1:4" x14ac:dyDescent="0.25">
      <c r="A1975" s="167"/>
      <c r="B1975" s="166"/>
      <c r="C1975" s="166"/>
      <c r="D1975" s="166"/>
    </row>
    <row r="1976" spans="1:4" x14ac:dyDescent="0.25">
      <c r="A1976" s="167"/>
      <c r="B1976" s="166"/>
      <c r="C1976" s="166"/>
      <c r="D1976" s="166"/>
    </row>
    <row r="1977" spans="1:4" x14ac:dyDescent="0.25">
      <c r="A1977" s="167"/>
      <c r="B1977" s="166"/>
      <c r="C1977" s="166"/>
      <c r="D1977" s="166"/>
    </row>
    <row r="1978" spans="1:4" x14ac:dyDescent="0.25">
      <c r="A1978" s="167"/>
      <c r="B1978" s="166"/>
      <c r="C1978" s="166"/>
      <c r="D1978" s="166"/>
    </row>
    <row r="1979" spans="1:4" x14ac:dyDescent="0.25">
      <c r="A1979" s="167"/>
      <c r="B1979" s="166"/>
      <c r="C1979" s="166"/>
      <c r="D1979" s="166"/>
    </row>
    <row r="1980" spans="1:4" x14ac:dyDescent="0.25">
      <c r="A1980" s="167"/>
      <c r="B1980" s="166"/>
      <c r="C1980" s="166"/>
      <c r="D1980" s="166"/>
    </row>
    <row r="1981" spans="1:4" x14ac:dyDescent="0.25">
      <c r="A1981" s="167"/>
      <c r="B1981" s="166"/>
      <c r="C1981" s="166"/>
      <c r="D1981" s="166"/>
    </row>
    <row r="1982" spans="1:4" x14ac:dyDescent="0.25">
      <c r="A1982" s="167"/>
      <c r="B1982" s="166"/>
      <c r="C1982" s="166"/>
      <c r="D1982" s="166"/>
    </row>
    <row r="1983" spans="1:4" x14ac:dyDescent="0.25">
      <c r="A1983" s="167"/>
      <c r="B1983" s="166"/>
      <c r="C1983" s="166"/>
      <c r="D1983" s="166"/>
    </row>
    <row r="1984" spans="1:4" x14ac:dyDescent="0.25">
      <c r="A1984" s="167"/>
      <c r="B1984" s="166"/>
      <c r="C1984" s="166"/>
      <c r="D1984" s="166"/>
    </row>
    <row r="1985" spans="1:4" x14ac:dyDescent="0.25">
      <c r="A1985" s="167"/>
      <c r="B1985" s="166"/>
      <c r="C1985" s="166"/>
      <c r="D1985" s="166"/>
    </row>
    <row r="1986" spans="1:4" x14ac:dyDescent="0.25">
      <c r="A1986" s="167"/>
      <c r="B1986" s="166"/>
      <c r="C1986" s="166"/>
      <c r="D1986" s="166"/>
    </row>
    <row r="1987" spans="1:4" x14ac:dyDescent="0.25">
      <c r="A1987" s="167"/>
      <c r="B1987" s="166"/>
      <c r="C1987" s="166"/>
      <c r="D1987" s="166"/>
    </row>
    <row r="1988" spans="1:4" x14ac:dyDescent="0.25">
      <c r="A1988" s="167"/>
      <c r="B1988" s="166"/>
      <c r="C1988" s="166"/>
      <c r="D1988" s="166"/>
    </row>
    <row r="1989" spans="1:4" x14ac:dyDescent="0.25">
      <c r="A1989" s="167"/>
      <c r="B1989" s="166"/>
      <c r="C1989" s="166"/>
      <c r="D1989" s="166"/>
    </row>
    <row r="1990" spans="1:4" x14ac:dyDescent="0.25">
      <c r="A1990" s="167"/>
      <c r="B1990" s="166"/>
      <c r="C1990" s="166"/>
      <c r="D1990" s="166"/>
    </row>
    <row r="1991" spans="1:4" x14ac:dyDescent="0.25">
      <c r="A1991" s="167"/>
      <c r="B1991" s="166"/>
      <c r="C1991" s="166"/>
      <c r="D1991" s="166"/>
    </row>
    <row r="1992" spans="1:4" x14ac:dyDescent="0.25">
      <c r="A1992" s="167"/>
      <c r="B1992" s="166"/>
      <c r="C1992" s="166"/>
      <c r="D1992" s="166"/>
    </row>
    <row r="1993" spans="1:4" x14ac:dyDescent="0.25">
      <c r="A1993" s="167"/>
      <c r="B1993" s="166"/>
      <c r="C1993" s="166"/>
      <c r="D1993" s="166"/>
    </row>
    <row r="1994" spans="1:4" x14ac:dyDescent="0.25">
      <c r="A1994" s="167"/>
      <c r="B1994" s="166"/>
      <c r="C1994" s="166"/>
      <c r="D1994" s="166"/>
    </row>
    <row r="1995" spans="1:4" x14ac:dyDescent="0.25">
      <c r="A1995" s="167"/>
      <c r="B1995" s="166"/>
      <c r="C1995" s="166"/>
      <c r="D1995" s="166"/>
    </row>
    <row r="1996" spans="1:4" x14ac:dyDescent="0.25">
      <c r="A1996" s="167"/>
      <c r="B1996" s="166"/>
      <c r="C1996" s="166"/>
      <c r="D1996" s="166"/>
    </row>
    <row r="1997" spans="1:4" x14ac:dyDescent="0.25">
      <c r="A1997" s="167"/>
      <c r="B1997" s="166"/>
      <c r="C1997" s="166"/>
      <c r="D1997" s="166"/>
    </row>
    <row r="1998" spans="1:4" x14ac:dyDescent="0.25">
      <c r="A1998" s="167"/>
      <c r="B1998" s="166"/>
      <c r="C1998" s="166"/>
      <c r="D1998" s="166"/>
    </row>
    <row r="1999" spans="1:4" x14ac:dyDescent="0.25">
      <c r="A1999" s="167"/>
      <c r="B1999" s="166"/>
      <c r="C1999" s="166"/>
      <c r="D1999" s="166"/>
    </row>
    <row r="2000" spans="1:4" x14ac:dyDescent="0.25">
      <c r="A2000" s="167"/>
      <c r="B2000" s="166"/>
      <c r="C2000" s="166"/>
      <c r="D2000" s="166"/>
    </row>
    <row r="2001" spans="1:4" x14ac:dyDescent="0.25">
      <c r="A2001" s="167"/>
      <c r="B2001" s="166"/>
      <c r="C2001" s="166"/>
      <c r="D2001" s="166"/>
    </row>
    <row r="2002" spans="1:4" x14ac:dyDescent="0.25">
      <c r="A2002" s="167"/>
      <c r="B2002" s="166"/>
      <c r="C2002" s="166"/>
      <c r="D2002" s="166"/>
    </row>
    <row r="2003" spans="1:4" x14ac:dyDescent="0.25">
      <c r="A2003" s="167"/>
      <c r="B2003" s="166"/>
      <c r="C2003" s="166"/>
      <c r="D2003" s="166"/>
    </row>
    <row r="2004" spans="1:4" x14ac:dyDescent="0.25">
      <c r="A2004" s="167"/>
      <c r="B2004" s="166"/>
      <c r="C2004" s="166"/>
      <c r="D2004" s="166"/>
    </row>
    <row r="2005" spans="1:4" x14ac:dyDescent="0.25">
      <c r="A2005" s="167"/>
      <c r="B2005" s="166"/>
      <c r="C2005" s="166"/>
      <c r="D2005" s="166"/>
    </row>
    <row r="2006" spans="1:4" x14ac:dyDescent="0.25">
      <c r="A2006" s="167"/>
      <c r="B2006" s="166"/>
      <c r="C2006" s="166"/>
      <c r="D2006" s="166"/>
    </row>
    <row r="2007" spans="1:4" x14ac:dyDescent="0.25">
      <c r="A2007" s="167"/>
      <c r="B2007" s="166"/>
      <c r="C2007" s="166"/>
      <c r="D2007" s="166"/>
    </row>
    <row r="2008" spans="1:4" x14ac:dyDescent="0.25">
      <c r="A2008" s="167"/>
      <c r="B2008" s="166"/>
      <c r="C2008" s="166"/>
      <c r="D2008" s="166"/>
    </row>
    <row r="2009" spans="1:4" x14ac:dyDescent="0.25">
      <c r="A2009" s="167"/>
      <c r="B2009" s="166"/>
      <c r="C2009" s="166"/>
      <c r="D2009" s="166"/>
    </row>
    <row r="2010" spans="1:4" x14ac:dyDescent="0.25">
      <c r="A2010" s="167"/>
      <c r="B2010" s="166"/>
      <c r="C2010" s="166"/>
      <c r="D2010" s="166"/>
    </row>
    <row r="2011" spans="1:4" x14ac:dyDescent="0.25">
      <c r="A2011" s="167"/>
      <c r="B2011" s="166"/>
      <c r="C2011" s="166"/>
      <c r="D2011" s="166"/>
    </row>
    <row r="2012" spans="1:4" x14ac:dyDescent="0.25">
      <c r="A2012" s="167"/>
      <c r="B2012" s="166"/>
      <c r="C2012" s="166"/>
      <c r="D2012" s="166"/>
    </row>
    <row r="2013" spans="1:4" x14ac:dyDescent="0.25">
      <c r="A2013" s="167"/>
      <c r="B2013" s="166"/>
      <c r="C2013" s="166"/>
      <c r="D2013" s="166"/>
    </row>
    <row r="2014" spans="1:4" x14ac:dyDescent="0.25">
      <c r="A2014" s="167"/>
      <c r="B2014" s="166"/>
      <c r="C2014" s="166"/>
      <c r="D2014" s="166"/>
    </row>
    <row r="2015" spans="1:4" x14ac:dyDescent="0.25">
      <c r="A2015" s="167"/>
      <c r="B2015" s="166"/>
      <c r="C2015" s="166"/>
      <c r="D2015" s="166"/>
    </row>
    <row r="2016" spans="1:4" x14ac:dyDescent="0.25">
      <c r="A2016" s="167"/>
      <c r="B2016" s="166"/>
      <c r="C2016" s="166"/>
      <c r="D2016" s="166"/>
    </row>
    <row r="2017" spans="1:4" x14ac:dyDescent="0.25">
      <c r="A2017" s="167"/>
      <c r="B2017" s="166"/>
      <c r="C2017" s="166"/>
      <c r="D2017" s="166"/>
    </row>
    <row r="2018" spans="1:4" x14ac:dyDescent="0.25">
      <c r="A2018" s="167"/>
      <c r="B2018" s="166"/>
      <c r="C2018" s="166"/>
      <c r="D2018" s="166"/>
    </row>
    <row r="2019" spans="1:4" x14ac:dyDescent="0.25">
      <c r="A2019" s="167"/>
      <c r="B2019" s="166"/>
      <c r="C2019" s="166"/>
      <c r="D2019" s="166"/>
    </row>
    <row r="2020" spans="1:4" x14ac:dyDescent="0.25">
      <c r="A2020" s="167"/>
      <c r="B2020" s="166"/>
      <c r="C2020" s="166"/>
      <c r="D2020" s="166"/>
    </row>
    <row r="2021" spans="1:4" x14ac:dyDescent="0.25">
      <c r="A2021" s="167"/>
      <c r="B2021" s="166"/>
      <c r="C2021" s="166"/>
      <c r="D2021" s="166"/>
    </row>
    <row r="2022" spans="1:4" x14ac:dyDescent="0.25">
      <c r="A2022" s="167"/>
      <c r="B2022" s="166"/>
      <c r="C2022" s="166"/>
      <c r="D2022" s="166"/>
    </row>
    <row r="2023" spans="1:4" x14ac:dyDescent="0.25">
      <c r="A2023" s="167"/>
      <c r="B2023" s="166"/>
      <c r="C2023" s="166"/>
      <c r="D2023" s="166"/>
    </row>
    <row r="2024" spans="1:4" x14ac:dyDescent="0.25">
      <c r="A2024" s="167"/>
      <c r="B2024" s="166"/>
      <c r="C2024" s="166"/>
      <c r="D2024" s="166"/>
    </row>
    <row r="2025" spans="1:4" x14ac:dyDescent="0.25">
      <c r="A2025" s="167"/>
      <c r="B2025" s="166"/>
      <c r="C2025" s="166"/>
      <c r="D2025" s="166"/>
    </row>
    <row r="2026" spans="1:4" x14ac:dyDescent="0.25">
      <c r="A2026" s="167"/>
      <c r="B2026" s="166"/>
      <c r="C2026" s="166"/>
      <c r="D2026" s="166"/>
    </row>
    <row r="2027" spans="1:4" x14ac:dyDescent="0.25">
      <c r="A2027" s="167"/>
      <c r="B2027" s="166"/>
      <c r="C2027" s="166"/>
      <c r="D2027" s="166"/>
    </row>
    <row r="2028" spans="1:4" x14ac:dyDescent="0.25">
      <c r="A2028" s="167"/>
      <c r="B2028" s="166"/>
      <c r="C2028" s="166"/>
      <c r="D2028" s="166"/>
    </row>
    <row r="2029" spans="1:4" x14ac:dyDescent="0.25">
      <c r="A2029" s="167"/>
      <c r="B2029" s="166"/>
      <c r="C2029" s="166"/>
      <c r="D2029" s="166"/>
    </row>
    <row r="2030" spans="1:4" x14ac:dyDescent="0.25">
      <c r="A2030" s="167"/>
      <c r="B2030" s="166"/>
      <c r="C2030" s="166"/>
      <c r="D2030" s="166"/>
    </row>
    <row r="2031" spans="1:4" x14ac:dyDescent="0.25">
      <c r="A2031" s="167"/>
      <c r="B2031" s="166"/>
      <c r="C2031" s="166"/>
      <c r="D2031" s="166"/>
    </row>
    <row r="2032" spans="1:4" x14ac:dyDescent="0.25">
      <c r="A2032" s="167"/>
      <c r="B2032" s="166"/>
      <c r="C2032" s="166"/>
      <c r="D2032" s="166"/>
    </row>
    <row r="2033" spans="1:4" x14ac:dyDescent="0.25">
      <c r="A2033" s="167"/>
      <c r="B2033" s="166"/>
      <c r="C2033" s="166"/>
      <c r="D2033" s="166"/>
    </row>
    <row r="2034" spans="1:4" x14ac:dyDescent="0.25">
      <c r="A2034" s="167"/>
      <c r="B2034" s="166"/>
      <c r="C2034" s="166"/>
      <c r="D2034" s="166"/>
    </row>
    <row r="2035" spans="1:4" x14ac:dyDescent="0.25">
      <c r="A2035" s="167"/>
      <c r="B2035" s="166"/>
      <c r="C2035" s="166"/>
      <c r="D2035" s="166"/>
    </row>
    <row r="2036" spans="1:4" x14ac:dyDescent="0.25">
      <c r="A2036" s="167"/>
      <c r="B2036" s="166"/>
      <c r="C2036" s="166"/>
      <c r="D2036" s="166"/>
    </row>
    <row r="2037" spans="1:4" x14ac:dyDescent="0.25">
      <c r="A2037" s="167"/>
      <c r="B2037" s="166"/>
      <c r="C2037" s="166"/>
      <c r="D2037" s="166"/>
    </row>
    <row r="2038" spans="1:4" x14ac:dyDescent="0.25">
      <c r="A2038" s="167"/>
      <c r="B2038" s="166"/>
      <c r="C2038" s="166"/>
      <c r="D2038" s="166"/>
    </row>
    <row r="2039" spans="1:4" x14ac:dyDescent="0.25">
      <c r="A2039" s="167"/>
      <c r="B2039" s="166"/>
      <c r="C2039" s="166"/>
      <c r="D2039" s="166"/>
    </row>
    <row r="2040" spans="1:4" x14ac:dyDescent="0.25">
      <c r="A2040" s="167"/>
      <c r="B2040" s="166"/>
      <c r="C2040" s="166"/>
      <c r="D2040" s="166"/>
    </row>
    <row r="2041" spans="1:4" x14ac:dyDescent="0.25">
      <c r="A2041" s="167"/>
      <c r="B2041" s="166"/>
      <c r="C2041" s="166"/>
      <c r="D2041" s="166"/>
    </row>
    <row r="2042" spans="1:4" x14ac:dyDescent="0.25">
      <c r="A2042" s="167"/>
      <c r="B2042" s="166"/>
      <c r="C2042" s="166"/>
      <c r="D2042" s="166"/>
    </row>
    <row r="2043" spans="1:4" x14ac:dyDescent="0.25">
      <c r="A2043" s="167"/>
      <c r="B2043" s="166"/>
      <c r="C2043" s="166"/>
      <c r="D2043" s="166"/>
    </row>
    <row r="2044" spans="1:4" x14ac:dyDescent="0.25">
      <c r="A2044" s="167"/>
      <c r="B2044" s="166"/>
      <c r="C2044" s="166"/>
      <c r="D2044" s="166"/>
    </row>
    <row r="2045" spans="1:4" x14ac:dyDescent="0.25">
      <c r="A2045" s="167"/>
      <c r="B2045" s="166"/>
      <c r="C2045" s="166"/>
      <c r="D2045" s="166"/>
    </row>
    <row r="2046" spans="1:4" x14ac:dyDescent="0.25">
      <c r="A2046" s="167"/>
      <c r="B2046" s="166"/>
      <c r="C2046" s="166"/>
      <c r="D2046" s="166"/>
    </row>
    <row r="2047" spans="1:4" x14ac:dyDescent="0.25">
      <c r="A2047" s="167"/>
      <c r="B2047" s="166"/>
      <c r="C2047" s="166"/>
      <c r="D2047" s="166"/>
    </row>
    <row r="2048" spans="1:4" x14ac:dyDescent="0.25">
      <c r="A2048" s="167"/>
      <c r="B2048" s="166"/>
      <c r="C2048" s="166"/>
      <c r="D2048" s="166"/>
    </row>
    <row r="2049" spans="1:4" x14ac:dyDescent="0.25">
      <c r="A2049" s="167"/>
      <c r="B2049" s="166"/>
      <c r="C2049" s="166"/>
      <c r="D2049" s="166"/>
    </row>
    <row r="2050" spans="1:4" x14ac:dyDescent="0.25">
      <c r="A2050" s="167"/>
      <c r="B2050" s="166"/>
      <c r="C2050" s="166"/>
      <c r="D2050" s="166"/>
    </row>
    <row r="2051" spans="1:4" x14ac:dyDescent="0.25">
      <c r="A2051" s="167"/>
      <c r="B2051" s="166"/>
      <c r="C2051" s="166"/>
      <c r="D2051" s="166"/>
    </row>
    <row r="2052" spans="1:4" x14ac:dyDescent="0.25">
      <c r="A2052" s="167"/>
      <c r="B2052" s="166"/>
      <c r="C2052" s="166"/>
      <c r="D2052" s="166"/>
    </row>
    <row r="2053" spans="1:4" x14ac:dyDescent="0.25">
      <c r="A2053" s="167"/>
      <c r="B2053" s="166"/>
      <c r="C2053" s="166"/>
      <c r="D2053" s="166"/>
    </row>
    <row r="2054" spans="1:4" x14ac:dyDescent="0.25">
      <c r="A2054" s="167"/>
      <c r="B2054" s="166"/>
      <c r="C2054" s="166"/>
      <c r="D2054" s="166"/>
    </row>
    <row r="2055" spans="1:4" x14ac:dyDescent="0.25">
      <c r="A2055" s="167"/>
      <c r="B2055" s="166"/>
      <c r="C2055" s="166"/>
      <c r="D2055" s="166"/>
    </row>
    <row r="2056" spans="1:4" x14ac:dyDescent="0.25">
      <c r="A2056" s="167"/>
      <c r="B2056" s="166"/>
      <c r="C2056" s="166"/>
      <c r="D2056" s="166"/>
    </row>
    <row r="2057" spans="1:4" x14ac:dyDescent="0.25">
      <c r="A2057" s="167"/>
      <c r="B2057" s="166"/>
      <c r="C2057" s="166"/>
      <c r="D2057" s="166"/>
    </row>
    <row r="2058" spans="1:4" x14ac:dyDescent="0.25">
      <c r="A2058" s="167"/>
      <c r="B2058" s="166"/>
      <c r="C2058" s="166"/>
      <c r="D2058" s="166"/>
    </row>
    <row r="2059" spans="1:4" x14ac:dyDescent="0.25">
      <c r="A2059" s="167"/>
      <c r="B2059" s="166"/>
      <c r="C2059" s="166"/>
      <c r="D2059" s="166"/>
    </row>
    <row r="2060" spans="1:4" x14ac:dyDescent="0.25">
      <c r="A2060" s="167"/>
      <c r="B2060" s="166"/>
      <c r="C2060" s="166"/>
      <c r="D2060" s="166"/>
    </row>
    <row r="2061" spans="1:4" x14ac:dyDescent="0.25">
      <c r="A2061" s="167"/>
      <c r="B2061" s="166"/>
      <c r="C2061" s="166"/>
      <c r="D2061" s="166"/>
    </row>
    <row r="2062" spans="1:4" x14ac:dyDescent="0.25">
      <c r="A2062" s="167"/>
      <c r="B2062" s="166"/>
      <c r="C2062" s="166"/>
      <c r="D2062" s="166"/>
    </row>
    <row r="2063" spans="1:4" x14ac:dyDescent="0.25">
      <c r="A2063" s="167"/>
      <c r="B2063" s="166"/>
      <c r="C2063" s="166"/>
      <c r="D2063" s="166"/>
    </row>
    <row r="2064" spans="1:4" x14ac:dyDescent="0.25">
      <c r="A2064" s="167"/>
      <c r="B2064" s="166"/>
      <c r="C2064" s="166"/>
      <c r="D2064" s="166"/>
    </row>
    <row r="2065" spans="1:4" x14ac:dyDescent="0.25">
      <c r="A2065" s="167"/>
      <c r="B2065" s="166"/>
      <c r="C2065" s="166"/>
      <c r="D2065" s="166"/>
    </row>
    <row r="2066" spans="1:4" x14ac:dyDescent="0.25">
      <c r="A2066" s="167"/>
      <c r="B2066" s="166"/>
      <c r="C2066" s="166"/>
      <c r="D2066" s="166"/>
    </row>
    <row r="2067" spans="1:4" x14ac:dyDescent="0.25">
      <c r="A2067" s="167"/>
      <c r="B2067" s="166"/>
      <c r="C2067" s="166"/>
      <c r="D2067" s="166"/>
    </row>
    <row r="2068" spans="1:4" x14ac:dyDescent="0.25">
      <c r="A2068" s="167"/>
      <c r="B2068" s="166"/>
      <c r="C2068" s="166"/>
      <c r="D2068" s="166"/>
    </row>
    <row r="2069" spans="1:4" x14ac:dyDescent="0.25">
      <c r="A2069" s="167"/>
      <c r="B2069" s="166"/>
      <c r="C2069" s="166"/>
      <c r="D2069" s="166"/>
    </row>
    <row r="2070" spans="1:4" x14ac:dyDescent="0.25">
      <c r="A2070" s="167"/>
      <c r="B2070" s="166"/>
      <c r="C2070" s="166"/>
      <c r="D2070" s="166"/>
    </row>
    <row r="2071" spans="1:4" x14ac:dyDescent="0.25">
      <c r="A2071" s="167"/>
      <c r="B2071" s="166"/>
      <c r="C2071" s="166"/>
      <c r="D2071" s="166"/>
    </row>
    <row r="2072" spans="1:4" x14ac:dyDescent="0.25">
      <c r="A2072" s="167"/>
      <c r="B2072" s="166"/>
      <c r="C2072" s="166"/>
      <c r="D2072" s="166"/>
    </row>
    <row r="2073" spans="1:4" x14ac:dyDescent="0.25">
      <c r="A2073" s="167"/>
      <c r="B2073" s="166"/>
      <c r="C2073" s="166"/>
      <c r="D2073" s="166"/>
    </row>
    <row r="2074" spans="1:4" x14ac:dyDescent="0.25">
      <c r="A2074" s="167"/>
      <c r="B2074" s="166"/>
      <c r="C2074" s="166"/>
      <c r="D2074" s="166"/>
    </row>
    <row r="2075" spans="1:4" x14ac:dyDescent="0.25">
      <c r="A2075" s="167"/>
      <c r="B2075" s="166"/>
      <c r="C2075" s="166"/>
      <c r="D2075" s="166"/>
    </row>
    <row r="2076" spans="1:4" x14ac:dyDescent="0.25">
      <c r="A2076" s="167"/>
      <c r="B2076" s="166"/>
      <c r="C2076" s="166"/>
      <c r="D2076" s="166"/>
    </row>
    <row r="2077" spans="1:4" x14ac:dyDescent="0.25">
      <c r="A2077" s="167"/>
      <c r="B2077" s="166"/>
      <c r="C2077" s="166"/>
      <c r="D2077" s="166"/>
    </row>
    <row r="2078" spans="1:4" x14ac:dyDescent="0.25">
      <c r="A2078" s="167"/>
      <c r="B2078" s="166"/>
      <c r="C2078" s="166"/>
      <c r="D2078" s="166"/>
    </row>
    <row r="2079" spans="1:4" x14ac:dyDescent="0.25">
      <c r="A2079" s="167"/>
      <c r="B2079" s="166"/>
      <c r="C2079" s="166"/>
      <c r="D2079" s="166"/>
    </row>
    <row r="2080" spans="1:4" x14ac:dyDescent="0.25">
      <c r="A2080" s="167"/>
      <c r="B2080" s="166"/>
      <c r="C2080" s="166"/>
      <c r="D2080" s="166"/>
    </row>
    <row r="2081" spans="1:4" x14ac:dyDescent="0.25">
      <c r="A2081" s="167"/>
      <c r="B2081" s="166"/>
      <c r="C2081" s="166"/>
      <c r="D2081" s="166"/>
    </row>
    <row r="2082" spans="1:4" x14ac:dyDescent="0.25">
      <c r="A2082" s="167"/>
      <c r="B2082" s="166"/>
      <c r="C2082" s="166"/>
      <c r="D2082" s="166"/>
    </row>
    <row r="2083" spans="1:4" x14ac:dyDescent="0.25">
      <c r="A2083" s="167"/>
      <c r="B2083" s="166"/>
      <c r="C2083" s="166"/>
      <c r="D2083" s="166"/>
    </row>
    <row r="2084" spans="1:4" x14ac:dyDescent="0.25">
      <c r="A2084" s="167"/>
      <c r="B2084" s="166"/>
      <c r="C2084" s="166"/>
      <c r="D2084" s="166"/>
    </row>
    <row r="2085" spans="1:4" x14ac:dyDescent="0.25">
      <c r="A2085" s="167"/>
      <c r="B2085" s="166"/>
      <c r="C2085" s="166"/>
      <c r="D2085" s="166"/>
    </row>
    <row r="2086" spans="1:4" x14ac:dyDescent="0.25">
      <c r="A2086" s="167"/>
      <c r="B2086" s="166"/>
      <c r="C2086" s="166"/>
      <c r="D2086" s="166"/>
    </row>
    <row r="2087" spans="1:4" x14ac:dyDescent="0.25">
      <c r="A2087" s="167"/>
      <c r="B2087" s="166"/>
      <c r="C2087" s="166"/>
      <c r="D2087" s="166"/>
    </row>
    <row r="2088" spans="1:4" x14ac:dyDescent="0.25">
      <c r="A2088" s="167"/>
      <c r="B2088" s="166"/>
      <c r="C2088" s="166"/>
      <c r="D2088" s="166"/>
    </row>
    <row r="2089" spans="1:4" x14ac:dyDescent="0.25">
      <c r="A2089" s="167"/>
      <c r="B2089" s="166"/>
      <c r="C2089" s="166"/>
      <c r="D2089" s="166"/>
    </row>
    <row r="2090" spans="1:4" x14ac:dyDescent="0.25">
      <c r="A2090" s="167"/>
      <c r="B2090" s="166"/>
      <c r="C2090" s="166"/>
      <c r="D2090" s="166"/>
    </row>
    <row r="2091" spans="1:4" x14ac:dyDescent="0.25">
      <c r="A2091" s="167"/>
      <c r="B2091" s="166"/>
      <c r="C2091" s="166"/>
      <c r="D2091" s="166"/>
    </row>
    <row r="2092" spans="1:4" x14ac:dyDescent="0.25">
      <c r="A2092" s="167"/>
      <c r="B2092" s="166"/>
      <c r="C2092" s="166"/>
      <c r="D2092" s="166"/>
    </row>
    <row r="2093" spans="1:4" x14ac:dyDescent="0.25">
      <c r="A2093" s="167"/>
      <c r="B2093" s="166"/>
      <c r="C2093" s="166"/>
      <c r="D2093" s="166"/>
    </row>
    <row r="2094" spans="1:4" x14ac:dyDescent="0.25">
      <c r="A2094" s="167"/>
      <c r="B2094" s="166"/>
      <c r="C2094" s="166"/>
      <c r="D2094" s="166"/>
    </row>
    <row r="2095" spans="1:4" x14ac:dyDescent="0.25">
      <c r="A2095" s="167"/>
      <c r="B2095" s="166"/>
      <c r="C2095" s="166"/>
      <c r="D2095" s="166"/>
    </row>
    <row r="2096" spans="1:4" x14ac:dyDescent="0.25">
      <c r="A2096" s="167"/>
      <c r="B2096" s="166"/>
      <c r="C2096" s="166"/>
      <c r="D2096" s="166"/>
    </row>
    <row r="2097" spans="1:4" x14ac:dyDescent="0.25">
      <c r="A2097" s="167"/>
      <c r="B2097" s="166"/>
      <c r="C2097" s="166"/>
      <c r="D2097" s="166"/>
    </row>
    <row r="2098" spans="1:4" x14ac:dyDescent="0.25">
      <c r="A2098" s="167"/>
      <c r="B2098" s="166"/>
      <c r="C2098" s="166"/>
      <c r="D2098" s="166"/>
    </row>
    <row r="2099" spans="1:4" x14ac:dyDescent="0.25">
      <c r="A2099" s="167"/>
      <c r="B2099" s="166"/>
      <c r="C2099" s="166"/>
      <c r="D2099" s="166"/>
    </row>
    <row r="2100" spans="1:4" x14ac:dyDescent="0.25">
      <c r="A2100" s="167"/>
      <c r="B2100" s="166"/>
      <c r="C2100" s="166"/>
      <c r="D2100" s="166"/>
    </row>
    <row r="2101" spans="1:4" x14ac:dyDescent="0.25">
      <c r="A2101" s="167"/>
      <c r="B2101" s="166"/>
      <c r="C2101" s="166"/>
      <c r="D2101" s="166"/>
    </row>
    <row r="2102" spans="1:4" x14ac:dyDescent="0.25">
      <c r="A2102" s="167"/>
      <c r="B2102" s="166"/>
      <c r="C2102" s="166"/>
      <c r="D2102" s="166"/>
    </row>
    <row r="2103" spans="1:4" x14ac:dyDescent="0.25">
      <c r="A2103" s="167"/>
      <c r="B2103" s="166"/>
      <c r="C2103" s="166"/>
      <c r="D2103" s="166"/>
    </row>
    <row r="2104" spans="1:4" x14ac:dyDescent="0.25">
      <c r="A2104" s="167"/>
      <c r="B2104" s="166"/>
      <c r="C2104" s="166"/>
      <c r="D2104" s="166"/>
    </row>
    <row r="2105" spans="1:4" x14ac:dyDescent="0.25">
      <c r="A2105" s="167"/>
      <c r="B2105" s="166"/>
      <c r="C2105" s="166"/>
      <c r="D2105" s="166"/>
    </row>
    <row r="2106" spans="1:4" x14ac:dyDescent="0.25">
      <c r="A2106" s="167"/>
      <c r="B2106" s="166"/>
      <c r="C2106" s="166"/>
      <c r="D2106" s="166"/>
    </row>
    <row r="2107" spans="1:4" x14ac:dyDescent="0.25">
      <c r="A2107" s="167"/>
      <c r="B2107" s="166"/>
      <c r="C2107" s="166"/>
      <c r="D2107" s="166"/>
    </row>
    <row r="2108" spans="1:4" x14ac:dyDescent="0.25">
      <c r="A2108" s="167"/>
      <c r="B2108" s="166"/>
      <c r="C2108" s="166"/>
      <c r="D2108" s="166"/>
    </row>
    <row r="2109" spans="1:4" x14ac:dyDescent="0.25">
      <c r="A2109" s="167"/>
      <c r="B2109" s="166"/>
      <c r="C2109" s="166"/>
      <c r="D2109" s="166"/>
    </row>
    <row r="2110" spans="1:4" x14ac:dyDescent="0.25">
      <c r="A2110" s="167"/>
      <c r="B2110" s="166"/>
      <c r="C2110" s="166"/>
      <c r="D2110" s="166"/>
    </row>
    <row r="2111" spans="1:4" x14ac:dyDescent="0.25">
      <c r="A2111" s="167"/>
      <c r="B2111" s="166"/>
      <c r="C2111" s="166"/>
      <c r="D2111" s="166"/>
    </row>
    <row r="2112" spans="1:4" x14ac:dyDescent="0.25">
      <c r="A2112" s="167"/>
      <c r="B2112" s="166"/>
      <c r="C2112" s="166"/>
      <c r="D2112" s="166"/>
    </row>
    <row r="2113" spans="1:4" x14ac:dyDescent="0.25">
      <c r="A2113" s="167"/>
      <c r="B2113" s="166"/>
      <c r="C2113" s="166"/>
      <c r="D2113" s="166"/>
    </row>
    <row r="2114" spans="1:4" x14ac:dyDescent="0.25">
      <c r="A2114" s="167"/>
      <c r="B2114" s="166"/>
      <c r="C2114" s="166"/>
      <c r="D2114" s="166"/>
    </row>
    <row r="2115" spans="1:4" x14ac:dyDescent="0.25">
      <c r="A2115" s="167"/>
      <c r="B2115" s="166"/>
      <c r="C2115" s="166"/>
      <c r="D2115" s="166"/>
    </row>
    <row r="2116" spans="1:4" x14ac:dyDescent="0.25">
      <c r="A2116" s="167"/>
      <c r="B2116" s="166"/>
      <c r="C2116" s="166"/>
      <c r="D2116" s="166"/>
    </row>
    <row r="2117" spans="1:4" x14ac:dyDescent="0.25">
      <c r="A2117" s="167"/>
      <c r="B2117" s="166"/>
      <c r="C2117" s="166"/>
      <c r="D2117" s="166"/>
    </row>
    <row r="2118" spans="1:4" x14ac:dyDescent="0.25">
      <c r="A2118" s="167"/>
      <c r="B2118" s="166"/>
      <c r="C2118" s="166"/>
      <c r="D2118" s="166"/>
    </row>
    <row r="2119" spans="1:4" x14ac:dyDescent="0.25">
      <c r="A2119" s="167"/>
      <c r="B2119" s="166"/>
      <c r="C2119" s="166"/>
      <c r="D2119" s="166"/>
    </row>
    <row r="2120" spans="1:4" x14ac:dyDescent="0.25">
      <c r="A2120" s="167"/>
      <c r="B2120" s="166"/>
      <c r="C2120" s="166"/>
      <c r="D2120" s="166"/>
    </row>
    <row r="2121" spans="1:4" x14ac:dyDescent="0.25">
      <c r="A2121" s="167"/>
      <c r="B2121" s="166"/>
      <c r="C2121" s="166"/>
      <c r="D2121" s="166"/>
    </row>
    <row r="2122" spans="1:4" x14ac:dyDescent="0.25">
      <c r="A2122" s="167"/>
      <c r="B2122" s="166"/>
      <c r="C2122" s="166"/>
      <c r="D2122" s="166"/>
    </row>
    <row r="2123" spans="1:4" x14ac:dyDescent="0.25">
      <c r="A2123" s="167"/>
      <c r="B2123" s="166"/>
      <c r="C2123" s="166"/>
      <c r="D2123" s="166"/>
    </row>
    <row r="2124" spans="1:4" x14ac:dyDescent="0.25">
      <c r="A2124" s="167"/>
      <c r="B2124" s="166"/>
      <c r="C2124" s="166"/>
      <c r="D2124" s="166"/>
    </row>
    <row r="2125" spans="1:4" x14ac:dyDescent="0.25">
      <c r="A2125" s="167"/>
      <c r="B2125" s="166"/>
      <c r="C2125" s="166"/>
      <c r="D2125" s="166"/>
    </row>
    <row r="2126" spans="1:4" x14ac:dyDescent="0.25">
      <c r="A2126" s="167"/>
      <c r="B2126" s="166"/>
      <c r="C2126" s="166"/>
      <c r="D2126" s="166"/>
    </row>
    <row r="2127" spans="1:4" x14ac:dyDescent="0.25">
      <c r="A2127" s="167"/>
      <c r="B2127" s="166"/>
      <c r="C2127" s="166"/>
      <c r="D2127" s="166"/>
    </row>
    <row r="2128" spans="1:4" x14ac:dyDescent="0.25">
      <c r="A2128" s="167"/>
      <c r="B2128" s="166"/>
      <c r="C2128" s="166"/>
      <c r="D2128" s="166"/>
    </row>
    <row r="2129" spans="1:4" x14ac:dyDescent="0.25">
      <c r="A2129" s="167"/>
      <c r="B2129" s="166"/>
      <c r="C2129" s="166"/>
      <c r="D2129" s="166"/>
    </row>
    <row r="2130" spans="1:4" x14ac:dyDescent="0.25">
      <c r="A2130" s="167"/>
      <c r="B2130" s="166"/>
      <c r="C2130" s="166"/>
      <c r="D2130" s="166"/>
    </row>
    <row r="2131" spans="1:4" x14ac:dyDescent="0.25">
      <c r="A2131" s="167"/>
      <c r="B2131" s="166"/>
      <c r="C2131" s="166"/>
      <c r="D2131" s="166"/>
    </row>
    <row r="2132" spans="1:4" x14ac:dyDescent="0.25">
      <c r="A2132" s="167"/>
      <c r="B2132" s="166"/>
      <c r="C2132" s="166"/>
      <c r="D2132" s="166"/>
    </row>
    <row r="2133" spans="1:4" x14ac:dyDescent="0.25">
      <c r="A2133" s="167"/>
      <c r="B2133" s="166"/>
      <c r="C2133" s="166"/>
      <c r="D2133" s="166"/>
    </row>
    <row r="2134" spans="1:4" x14ac:dyDescent="0.25">
      <c r="A2134" s="167"/>
      <c r="B2134" s="166"/>
      <c r="C2134" s="166"/>
      <c r="D2134" s="166"/>
    </row>
    <row r="2135" spans="1:4" x14ac:dyDescent="0.25">
      <c r="A2135" s="167"/>
      <c r="B2135" s="166"/>
      <c r="C2135" s="166"/>
      <c r="D2135" s="166"/>
    </row>
    <row r="2136" spans="1:4" x14ac:dyDescent="0.25">
      <c r="A2136" s="167"/>
      <c r="B2136" s="166"/>
      <c r="C2136" s="166"/>
      <c r="D2136" s="166"/>
    </row>
    <row r="2137" spans="1:4" x14ac:dyDescent="0.25">
      <c r="A2137" s="167"/>
      <c r="B2137" s="166"/>
      <c r="C2137" s="166"/>
      <c r="D2137" s="166"/>
    </row>
    <row r="2138" spans="1:4" x14ac:dyDescent="0.25">
      <c r="A2138" s="167"/>
      <c r="B2138" s="166"/>
      <c r="C2138" s="166"/>
      <c r="D2138" s="166"/>
    </row>
    <row r="2139" spans="1:4" x14ac:dyDescent="0.25">
      <c r="A2139" s="167"/>
      <c r="B2139" s="166"/>
      <c r="C2139" s="166"/>
      <c r="D2139" s="166"/>
    </row>
    <row r="2140" spans="1:4" x14ac:dyDescent="0.25">
      <c r="A2140" s="167"/>
      <c r="B2140" s="166"/>
      <c r="C2140" s="166"/>
      <c r="D2140" s="166"/>
    </row>
    <row r="2141" spans="1:4" x14ac:dyDescent="0.25">
      <c r="A2141" s="167"/>
      <c r="B2141" s="166"/>
      <c r="C2141" s="166"/>
      <c r="D2141" s="166"/>
    </row>
    <row r="2142" spans="1:4" x14ac:dyDescent="0.25">
      <c r="A2142" s="167"/>
      <c r="B2142" s="166"/>
      <c r="C2142" s="166"/>
      <c r="D2142" s="166"/>
    </row>
    <row r="2143" spans="1:4" x14ac:dyDescent="0.25">
      <c r="A2143" s="167"/>
      <c r="B2143" s="166"/>
      <c r="C2143" s="166"/>
      <c r="D2143" s="166"/>
    </row>
    <row r="2144" spans="1:4" x14ac:dyDescent="0.25">
      <c r="A2144" s="167"/>
      <c r="B2144" s="166"/>
      <c r="C2144" s="166"/>
      <c r="D2144" s="166"/>
    </row>
    <row r="2145" spans="1:4" x14ac:dyDescent="0.25">
      <c r="A2145" s="167"/>
      <c r="B2145" s="166"/>
      <c r="C2145" s="166"/>
      <c r="D2145" s="166"/>
    </row>
    <row r="2146" spans="1:4" x14ac:dyDescent="0.25">
      <c r="A2146" s="167"/>
      <c r="B2146" s="166"/>
      <c r="C2146" s="166"/>
      <c r="D2146" s="166"/>
    </row>
    <row r="2147" spans="1:4" x14ac:dyDescent="0.25">
      <c r="A2147" s="167"/>
      <c r="B2147" s="166"/>
      <c r="C2147" s="166"/>
      <c r="D2147" s="166"/>
    </row>
    <row r="2148" spans="1:4" x14ac:dyDescent="0.25">
      <c r="A2148" s="167"/>
      <c r="B2148" s="166"/>
      <c r="C2148" s="166"/>
      <c r="D2148" s="166"/>
    </row>
    <row r="2149" spans="1:4" x14ac:dyDescent="0.25">
      <c r="A2149" s="167"/>
      <c r="B2149" s="166"/>
      <c r="C2149" s="166"/>
      <c r="D2149" s="166"/>
    </row>
    <row r="2150" spans="1:4" x14ac:dyDescent="0.25">
      <c r="A2150" s="167"/>
      <c r="B2150" s="166"/>
      <c r="C2150" s="166"/>
      <c r="D2150" s="166"/>
    </row>
    <row r="2151" spans="1:4" x14ac:dyDescent="0.25">
      <c r="A2151" s="167"/>
      <c r="B2151" s="166"/>
      <c r="C2151" s="166"/>
      <c r="D2151" s="166"/>
    </row>
    <row r="2152" spans="1:4" x14ac:dyDescent="0.25">
      <c r="A2152" s="167"/>
      <c r="B2152" s="166"/>
      <c r="C2152" s="166"/>
      <c r="D2152" s="166"/>
    </row>
    <row r="2153" spans="1:4" x14ac:dyDescent="0.25">
      <c r="A2153" s="167"/>
      <c r="B2153" s="166"/>
      <c r="C2153" s="166"/>
      <c r="D2153" s="166"/>
    </row>
    <row r="2154" spans="1:4" x14ac:dyDescent="0.25">
      <c r="A2154" s="167"/>
      <c r="B2154" s="166"/>
      <c r="C2154" s="166"/>
      <c r="D2154" s="166"/>
    </row>
    <row r="2155" spans="1:4" x14ac:dyDescent="0.25">
      <c r="A2155" s="167"/>
      <c r="B2155" s="166"/>
      <c r="C2155" s="166"/>
      <c r="D2155" s="166"/>
    </row>
    <row r="2156" spans="1:4" x14ac:dyDescent="0.25">
      <c r="A2156" s="167"/>
      <c r="B2156" s="166"/>
      <c r="C2156" s="166"/>
      <c r="D2156" s="166"/>
    </row>
    <row r="2157" spans="1:4" x14ac:dyDescent="0.25">
      <c r="A2157" s="167"/>
      <c r="B2157" s="166"/>
      <c r="C2157" s="166"/>
      <c r="D2157" s="166"/>
    </row>
    <row r="2158" spans="1:4" x14ac:dyDescent="0.25">
      <c r="A2158" s="167"/>
      <c r="B2158" s="166"/>
      <c r="C2158" s="166"/>
      <c r="D2158" s="166"/>
    </row>
    <row r="2159" spans="1:4" x14ac:dyDescent="0.25">
      <c r="A2159" s="167"/>
      <c r="B2159" s="166"/>
      <c r="C2159" s="166"/>
      <c r="D2159" s="166"/>
    </row>
    <row r="2160" spans="1:4" x14ac:dyDescent="0.25">
      <c r="A2160" s="167"/>
      <c r="B2160" s="166"/>
      <c r="C2160" s="166"/>
      <c r="D2160" s="166"/>
    </row>
    <row r="2161" spans="1:4" x14ac:dyDescent="0.25">
      <c r="A2161" s="167"/>
      <c r="B2161" s="166"/>
      <c r="C2161" s="166"/>
      <c r="D2161" s="166"/>
    </row>
    <row r="2162" spans="1:4" x14ac:dyDescent="0.25">
      <c r="A2162" s="167"/>
      <c r="B2162" s="166"/>
      <c r="C2162" s="166"/>
      <c r="D2162" s="166"/>
    </row>
    <row r="2163" spans="1:4" x14ac:dyDescent="0.25">
      <c r="A2163" s="167"/>
      <c r="B2163" s="166"/>
      <c r="C2163" s="166"/>
      <c r="D2163" s="166"/>
    </row>
    <row r="2164" spans="1:4" x14ac:dyDescent="0.25">
      <c r="A2164" s="167"/>
      <c r="B2164" s="166"/>
      <c r="C2164" s="166"/>
      <c r="D2164" s="166"/>
    </row>
    <row r="2165" spans="1:4" x14ac:dyDescent="0.25">
      <c r="A2165" s="167"/>
      <c r="B2165" s="166"/>
      <c r="C2165" s="166"/>
      <c r="D2165" s="166"/>
    </row>
    <row r="2166" spans="1:4" x14ac:dyDescent="0.25">
      <c r="A2166" s="167"/>
      <c r="B2166" s="166"/>
      <c r="C2166" s="166"/>
      <c r="D2166" s="166"/>
    </row>
    <row r="2167" spans="1:4" x14ac:dyDescent="0.25">
      <c r="A2167" s="167"/>
      <c r="B2167" s="166"/>
      <c r="C2167" s="166"/>
      <c r="D2167" s="166"/>
    </row>
    <row r="2168" spans="1:4" x14ac:dyDescent="0.25">
      <c r="A2168" s="167"/>
      <c r="B2168" s="166"/>
      <c r="C2168" s="166"/>
      <c r="D2168" s="166"/>
    </row>
    <row r="2169" spans="1:4" x14ac:dyDescent="0.25">
      <c r="A2169" s="167"/>
      <c r="B2169" s="166"/>
      <c r="C2169" s="166"/>
      <c r="D2169" s="166"/>
    </row>
    <row r="2170" spans="1:4" x14ac:dyDescent="0.25">
      <c r="A2170" s="167"/>
      <c r="B2170" s="166"/>
      <c r="C2170" s="166"/>
      <c r="D2170" s="166"/>
    </row>
    <row r="2171" spans="1:4" x14ac:dyDescent="0.25">
      <c r="A2171" s="167"/>
      <c r="B2171" s="166"/>
      <c r="C2171" s="166"/>
      <c r="D2171" s="166"/>
    </row>
    <row r="2172" spans="1:4" x14ac:dyDescent="0.25">
      <c r="A2172" s="167"/>
      <c r="B2172" s="166"/>
      <c r="C2172" s="166"/>
      <c r="D2172" s="166"/>
    </row>
    <row r="2173" spans="1:4" x14ac:dyDescent="0.25">
      <c r="A2173" s="167"/>
      <c r="B2173" s="166"/>
      <c r="C2173" s="166"/>
      <c r="D2173" s="166"/>
    </row>
    <row r="2174" spans="1:4" x14ac:dyDescent="0.25">
      <c r="A2174" s="167"/>
      <c r="B2174" s="166"/>
      <c r="C2174" s="166"/>
      <c r="D2174" s="166"/>
    </row>
    <row r="2175" spans="1:4" x14ac:dyDescent="0.25">
      <c r="A2175" s="167"/>
      <c r="B2175" s="166"/>
      <c r="C2175" s="166"/>
      <c r="D2175" s="166"/>
    </row>
    <row r="2176" spans="1:4" x14ac:dyDescent="0.25">
      <c r="A2176" s="167"/>
      <c r="B2176" s="166"/>
      <c r="C2176" s="166"/>
      <c r="D2176" s="166"/>
    </row>
    <row r="2177" spans="1:4" x14ac:dyDescent="0.25">
      <c r="A2177" s="167"/>
      <c r="B2177" s="166"/>
      <c r="C2177" s="166"/>
      <c r="D2177" s="166"/>
    </row>
    <row r="2178" spans="1:4" x14ac:dyDescent="0.25">
      <c r="A2178" s="167"/>
      <c r="B2178" s="166"/>
      <c r="C2178" s="166"/>
      <c r="D2178" s="166"/>
    </row>
    <row r="2179" spans="1:4" x14ac:dyDescent="0.25">
      <c r="A2179" s="167"/>
      <c r="B2179" s="166"/>
      <c r="C2179" s="166"/>
      <c r="D2179" s="166"/>
    </row>
    <row r="2180" spans="1:4" x14ac:dyDescent="0.25">
      <c r="A2180" s="167"/>
      <c r="B2180" s="166"/>
      <c r="C2180" s="166"/>
      <c r="D2180" s="166"/>
    </row>
    <row r="2181" spans="1:4" x14ac:dyDescent="0.25">
      <c r="A2181" s="167"/>
      <c r="B2181" s="166"/>
      <c r="C2181" s="166"/>
      <c r="D2181" s="166"/>
    </row>
    <row r="2182" spans="1:4" x14ac:dyDescent="0.25">
      <c r="A2182" s="167"/>
      <c r="B2182" s="166"/>
      <c r="C2182" s="166"/>
      <c r="D2182" s="166"/>
    </row>
    <row r="2183" spans="1:4" x14ac:dyDescent="0.25">
      <c r="A2183" s="167"/>
      <c r="B2183" s="166"/>
      <c r="C2183" s="166"/>
      <c r="D2183" s="166"/>
    </row>
    <row r="2184" spans="1:4" x14ac:dyDescent="0.25">
      <c r="A2184" s="167"/>
      <c r="B2184" s="166"/>
      <c r="C2184" s="166"/>
      <c r="D2184" s="166"/>
    </row>
    <row r="2185" spans="1:4" x14ac:dyDescent="0.25">
      <c r="A2185" s="167"/>
      <c r="B2185" s="166"/>
      <c r="C2185" s="166"/>
      <c r="D2185" s="166"/>
    </row>
    <row r="2186" spans="1:4" x14ac:dyDescent="0.25">
      <c r="A2186" s="167"/>
      <c r="B2186" s="166"/>
      <c r="C2186" s="166"/>
      <c r="D2186" s="166"/>
    </row>
    <row r="2187" spans="1:4" x14ac:dyDescent="0.25">
      <c r="A2187" s="167"/>
      <c r="B2187" s="166"/>
      <c r="C2187" s="166"/>
      <c r="D2187" s="166"/>
    </row>
    <row r="2188" spans="1:4" x14ac:dyDescent="0.25">
      <c r="A2188" s="167"/>
      <c r="B2188" s="166"/>
      <c r="C2188" s="166"/>
      <c r="D2188" s="166"/>
    </row>
    <row r="2189" spans="1:4" x14ac:dyDescent="0.25">
      <c r="A2189" s="167"/>
      <c r="B2189" s="166"/>
      <c r="C2189" s="166"/>
      <c r="D2189" s="166"/>
    </row>
    <row r="2190" spans="1:4" x14ac:dyDescent="0.25">
      <c r="A2190" s="167"/>
      <c r="B2190" s="166"/>
      <c r="C2190" s="166"/>
      <c r="D2190" s="166"/>
    </row>
    <row r="2191" spans="1:4" x14ac:dyDescent="0.25">
      <c r="A2191" s="167"/>
      <c r="B2191" s="166"/>
      <c r="C2191" s="166"/>
      <c r="D2191" s="166"/>
    </row>
    <row r="2192" spans="1:4" x14ac:dyDescent="0.25">
      <c r="A2192" s="167"/>
      <c r="B2192" s="166"/>
      <c r="C2192" s="166"/>
      <c r="D2192" s="166"/>
    </row>
    <row r="2193" spans="1:4" x14ac:dyDescent="0.25">
      <c r="A2193" s="167"/>
      <c r="B2193" s="166"/>
      <c r="C2193" s="166"/>
      <c r="D2193" s="166"/>
    </row>
    <row r="2194" spans="1:4" x14ac:dyDescent="0.25">
      <c r="A2194" s="167"/>
      <c r="B2194" s="166"/>
      <c r="C2194" s="166"/>
      <c r="D2194" s="166"/>
    </row>
    <row r="2195" spans="1:4" x14ac:dyDescent="0.25">
      <c r="A2195" s="167"/>
      <c r="B2195" s="166"/>
      <c r="C2195" s="166"/>
      <c r="D2195" s="166"/>
    </row>
    <row r="2196" spans="1:4" x14ac:dyDescent="0.25">
      <c r="A2196" s="167"/>
      <c r="B2196" s="166"/>
      <c r="C2196" s="166"/>
      <c r="D2196" s="166"/>
    </row>
    <row r="2197" spans="1:4" x14ac:dyDescent="0.25">
      <c r="A2197" s="167"/>
      <c r="B2197" s="166"/>
      <c r="C2197" s="166"/>
      <c r="D2197" s="166"/>
    </row>
    <row r="2198" spans="1:4" x14ac:dyDescent="0.25">
      <c r="A2198" s="167"/>
      <c r="B2198" s="166"/>
      <c r="C2198" s="166"/>
      <c r="D2198" s="166"/>
    </row>
    <row r="2199" spans="1:4" x14ac:dyDescent="0.25">
      <c r="A2199" s="167"/>
      <c r="B2199" s="166"/>
      <c r="C2199" s="166"/>
      <c r="D2199" s="166"/>
    </row>
    <row r="2200" spans="1:4" x14ac:dyDescent="0.25">
      <c r="A2200" s="167"/>
      <c r="B2200" s="166"/>
      <c r="C2200" s="166"/>
      <c r="D2200" s="166"/>
    </row>
    <row r="2201" spans="1:4" x14ac:dyDescent="0.25">
      <c r="A2201" s="167"/>
      <c r="B2201" s="166"/>
      <c r="C2201" s="166"/>
      <c r="D2201" s="166"/>
    </row>
    <row r="2202" spans="1:4" x14ac:dyDescent="0.25">
      <c r="A2202" s="167"/>
      <c r="B2202" s="166"/>
      <c r="C2202" s="166"/>
      <c r="D2202" s="166"/>
    </row>
    <row r="2203" spans="1:4" x14ac:dyDescent="0.25">
      <c r="A2203" s="167"/>
      <c r="B2203" s="166"/>
      <c r="C2203" s="166"/>
      <c r="D2203" s="166"/>
    </row>
    <row r="2204" spans="1:4" x14ac:dyDescent="0.25">
      <c r="A2204" s="167"/>
      <c r="B2204" s="166"/>
      <c r="C2204" s="166"/>
      <c r="D2204" s="166"/>
    </row>
    <row r="2205" spans="1:4" x14ac:dyDescent="0.25">
      <c r="A2205" s="167"/>
      <c r="B2205" s="166"/>
      <c r="C2205" s="166"/>
      <c r="D2205" s="166"/>
    </row>
    <row r="2206" spans="1:4" x14ac:dyDescent="0.25">
      <c r="A2206" s="167"/>
      <c r="B2206" s="166"/>
      <c r="C2206" s="166"/>
      <c r="D2206" s="166"/>
    </row>
    <row r="2207" spans="1:4" x14ac:dyDescent="0.25">
      <c r="A2207" s="167"/>
      <c r="B2207" s="166"/>
      <c r="C2207" s="166"/>
      <c r="D2207" s="166"/>
    </row>
    <row r="2208" spans="1:4" x14ac:dyDescent="0.25">
      <c r="A2208" s="167"/>
      <c r="B2208" s="166"/>
      <c r="C2208" s="166"/>
      <c r="D2208" s="166"/>
    </row>
    <row r="2209" spans="1:4" x14ac:dyDescent="0.25">
      <c r="A2209" s="167"/>
      <c r="B2209" s="166"/>
      <c r="C2209" s="166"/>
      <c r="D2209" s="166"/>
    </row>
    <row r="2210" spans="1:4" x14ac:dyDescent="0.25">
      <c r="A2210" s="167"/>
      <c r="B2210" s="166"/>
      <c r="C2210" s="166"/>
      <c r="D2210" s="166"/>
    </row>
    <row r="2211" spans="1:4" x14ac:dyDescent="0.25">
      <c r="A2211" s="167"/>
      <c r="B2211" s="166"/>
      <c r="C2211" s="166"/>
      <c r="D2211" s="166"/>
    </row>
    <row r="2212" spans="1:4" x14ac:dyDescent="0.25">
      <c r="A2212" s="167"/>
      <c r="B2212" s="166"/>
      <c r="C2212" s="166"/>
      <c r="D2212" s="166"/>
    </row>
    <row r="2213" spans="1:4" x14ac:dyDescent="0.25">
      <c r="A2213" s="167"/>
      <c r="B2213" s="166"/>
      <c r="C2213" s="166"/>
      <c r="D2213" s="166"/>
    </row>
    <row r="2214" spans="1:4" x14ac:dyDescent="0.25">
      <c r="A2214" s="167"/>
      <c r="B2214" s="166"/>
      <c r="C2214" s="166"/>
      <c r="D2214" s="166"/>
    </row>
    <row r="2215" spans="1:4" x14ac:dyDescent="0.25">
      <c r="A2215" s="167"/>
      <c r="B2215" s="166"/>
      <c r="C2215" s="166"/>
      <c r="D2215" s="166"/>
    </row>
    <row r="2216" spans="1:4" x14ac:dyDescent="0.25">
      <c r="A2216" s="167"/>
      <c r="B2216" s="166"/>
      <c r="C2216" s="166"/>
      <c r="D2216" s="166"/>
    </row>
    <row r="2217" spans="1:4" x14ac:dyDescent="0.25">
      <c r="A2217" s="167"/>
      <c r="B2217" s="166"/>
      <c r="C2217" s="166"/>
      <c r="D2217" s="166"/>
    </row>
    <row r="2218" spans="1:4" x14ac:dyDescent="0.25">
      <c r="A2218" s="167"/>
      <c r="B2218" s="166"/>
      <c r="C2218" s="166"/>
      <c r="D2218" s="166"/>
    </row>
    <row r="2219" spans="1:4" x14ac:dyDescent="0.25">
      <c r="A2219" s="167"/>
      <c r="B2219" s="166"/>
      <c r="C2219" s="166"/>
      <c r="D2219" s="166"/>
    </row>
    <row r="2220" spans="1:4" x14ac:dyDescent="0.25">
      <c r="A2220" s="167"/>
      <c r="B2220" s="166"/>
      <c r="C2220" s="166"/>
      <c r="D2220" s="166"/>
    </row>
    <row r="2221" spans="1:4" x14ac:dyDescent="0.25">
      <c r="A2221" s="167"/>
      <c r="B2221" s="166"/>
      <c r="C2221" s="166"/>
      <c r="D2221" s="166"/>
    </row>
    <row r="2222" spans="1:4" x14ac:dyDescent="0.25">
      <c r="A2222" s="167"/>
      <c r="B2222" s="166"/>
      <c r="C2222" s="166"/>
      <c r="D2222" s="166"/>
    </row>
    <row r="2223" spans="1:4" x14ac:dyDescent="0.25">
      <c r="A2223" s="167"/>
      <c r="B2223" s="166"/>
      <c r="C2223" s="166"/>
      <c r="D2223" s="166"/>
    </row>
    <row r="2224" spans="1:4" x14ac:dyDescent="0.25">
      <c r="A2224" s="167"/>
      <c r="B2224" s="166"/>
      <c r="C2224" s="166"/>
      <c r="D2224" s="166"/>
    </row>
    <row r="2225" spans="1:4" x14ac:dyDescent="0.25">
      <c r="A2225" s="167"/>
      <c r="B2225" s="166"/>
      <c r="C2225" s="166"/>
      <c r="D2225" s="166"/>
    </row>
    <row r="2226" spans="1:4" x14ac:dyDescent="0.25">
      <c r="A2226" s="167"/>
      <c r="B2226" s="166"/>
      <c r="C2226" s="166"/>
      <c r="D2226" s="166"/>
    </row>
    <row r="2227" spans="1:4" x14ac:dyDescent="0.25">
      <c r="A2227" s="167"/>
      <c r="B2227" s="166"/>
      <c r="C2227" s="166"/>
      <c r="D2227" s="166"/>
    </row>
    <row r="2228" spans="1:4" x14ac:dyDescent="0.25">
      <c r="A2228" s="167"/>
      <c r="B2228" s="166"/>
      <c r="C2228" s="166"/>
      <c r="D2228" s="166"/>
    </row>
    <row r="2229" spans="1:4" x14ac:dyDescent="0.25">
      <c r="A2229" s="167"/>
      <c r="B2229" s="166"/>
      <c r="C2229" s="166"/>
      <c r="D2229" s="166"/>
    </row>
    <row r="2230" spans="1:4" x14ac:dyDescent="0.25">
      <c r="A2230" s="167"/>
      <c r="B2230" s="166"/>
      <c r="C2230" s="166"/>
      <c r="D2230" s="166"/>
    </row>
    <row r="2231" spans="1:4" x14ac:dyDescent="0.25">
      <c r="A2231" s="167"/>
      <c r="B2231" s="166"/>
      <c r="C2231" s="166"/>
      <c r="D2231" s="166"/>
    </row>
    <row r="2232" spans="1:4" x14ac:dyDescent="0.25">
      <c r="A2232" s="167"/>
      <c r="B2232" s="166"/>
      <c r="C2232" s="166"/>
      <c r="D2232" s="166"/>
    </row>
    <row r="2233" spans="1:4" x14ac:dyDescent="0.25">
      <c r="A2233" s="167"/>
      <c r="B2233" s="166"/>
      <c r="C2233" s="166"/>
      <c r="D2233" s="166"/>
    </row>
    <row r="2234" spans="1:4" x14ac:dyDescent="0.25">
      <c r="A2234" s="167"/>
      <c r="B2234" s="166"/>
      <c r="C2234" s="166"/>
      <c r="D2234" s="166"/>
    </row>
    <row r="2235" spans="1:4" x14ac:dyDescent="0.25">
      <c r="A2235" s="167"/>
      <c r="B2235" s="166"/>
      <c r="C2235" s="166"/>
      <c r="D2235" s="166"/>
    </row>
    <row r="2236" spans="1:4" x14ac:dyDescent="0.25">
      <c r="A2236" s="167"/>
      <c r="B2236" s="166"/>
      <c r="C2236" s="166"/>
      <c r="D2236" s="166"/>
    </row>
    <row r="2237" spans="1:4" x14ac:dyDescent="0.25">
      <c r="A2237" s="167"/>
      <c r="B2237" s="166"/>
      <c r="C2237" s="166"/>
      <c r="D2237" s="166"/>
    </row>
    <row r="2238" spans="1:4" x14ac:dyDescent="0.25">
      <c r="A2238" s="167"/>
      <c r="B2238" s="166"/>
      <c r="C2238" s="166"/>
      <c r="D2238" s="166"/>
    </row>
    <row r="2239" spans="1:4" x14ac:dyDescent="0.25">
      <c r="A2239" s="167"/>
      <c r="B2239" s="166"/>
      <c r="C2239" s="166"/>
      <c r="D2239" s="166"/>
    </row>
    <row r="2240" spans="1:4" x14ac:dyDescent="0.25">
      <c r="A2240" s="167"/>
      <c r="B2240" s="166"/>
      <c r="C2240" s="166"/>
      <c r="D2240" s="166"/>
    </row>
    <row r="2241" spans="1:4" x14ac:dyDescent="0.25">
      <c r="A2241" s="167"/>
      <c r="B2241" s="166"/>
      <c r="C2241" s="166"/>
      <c r="D2241" s="166"/>
    </row>
    <row r="2242" spans="1:4" x14ac:dyDescent="0.25">
      <c r="A2242" s="167"/>
      <c r="B2242" s="166"/>
      <c r="C2242" s="166"/>
      <c r="D2242" s="166"/>
    </row>
    <row r="2243" spans="1:4" x14ac:dyDescent="0.25">
      <c r="A2243" s="167"/>
      <c r="B2243" s="166"/>
      <c r="C2243" s="166"/>
      <c r="D2243" s="166"/>
    </row>
    <row r="2244" spans="1:4" x14ac:dyDescent="0.25">
      <c r="A2244" s="167"/>
      <c r="B2244" s="166"/>
      <c r="C2244" s="166"/>
      <c r="D2244" s="166"/>
    </row>
    <row r="2245" spans="1:4" x14ac:dyDescent="0.25">
      <c r="A2245" s="167"/>
      <c r="B2245" s="166"/>
      <c r="C2245" s="166"/>
      <c r="D2245" s="166"/>
    </row>
    <row r="2246" spans="1:4" x14ac:dyDescent="0.25">
      <c r="A2246" s="167"/>
      <c r="B2246" s="166"/>
      <c r="C2246" s="166"/>
      <c r="D2246" s="166"/>
    </row>
    <row r="2247" spans="1:4" x14ac:dyDescent="0.25">
      <c r="A2247" s="167"/>
      <c r="B2247" s="166"/>
      <c r="C2247" s="166"/>
      <c r="D2247" s="166"/>
    </row>
    <row r="2248" spans="1:4" x14ac:dyDescent="0.25">
      <c r="A2248" s="167"/>
      <c r="B2248" s="166"/>
      <c r="C2248" s="166"/>
      <c r="D2248" s="166"/>
    </row>
    <row r="2249" spans="1:4" x14ac:dyDescent="0.25">
      <c r="A2249" s="167"/>
      <c r="B2249" s="166"/>
      <c r="C2249" s="166"/>
      <c r="D2249" s="166"/>
    </row>
    <row r="2250" spans="1:4" x14ac:dyDescent="0.25">
      <c r="A2250" s="167"/>
      <c r="B2250" s="166"/>
      <c r="C2250" s="166"/>
      <c r="D2250" s="166"/>
    </row>
    <row r="2251" spans="1:4" x14ac:dyDescent="0.25">
      <c r="A2251" s="167"/>
      <c r="B2251" s="166"/>
      <c r="C2251" s="166"/>
      <c r="D2251" s="166"/>
    </row>
    <row r="2252" spans="1:4" x14ac:dyDescent="0.25">
      <c r="A2252" s="167"/>
      <c r="B2252" s="166"/>
      <c r="C2252" s="166"/>
      <c r="D2252" s="166"/>
    </row>
    <row r="2253" spans="1:4" x14ac:dyDescent="0.25">
      <c r="A2253" s="167"/>
      <c r="B2253" s="166"/>
      <c r="C2253" s="166"/>
      <c r="D2253" s="166"/>
    </row>
    <row r="2254" spans="1:4" x14ac:dyDescent="0.25">
      <c r="A2254" s="167"/>
      <c r="B2254" s="166"/>
      <c r="C2254" s="166"/>
      <c r="D2254" s="166"/>
    </row>
    <row r="2255" spans="1:4" x14ac:dyDescent="0.25">
      <c r="A2255" s="167"/>
      <c r="B2255" s="166"/>
      <c r="C2255" s="166"/>
      <c r="D2255" s="166"/>
    </row>
    <row r="2256" spans="1:4" x14ac:dyDescent="0.25">
      <c r="A2256" s="167"/>
      <c r="B2256" s="166"/>
      <c r="C2256" s="166"/>
      <c r="D2256" s="166"/>
    </row>
    <row r="2257" spans="1:4" x14ac:dyDescent="0.25">
      <c r="A2257" s="167"/>
      <c r="B2257" s="166"/>
      <c r="C2257" s="166"/>
      <c r="D2257" s="166"/>
    </row>
    <row r="2258" spans="1:4" x14ac:dyDescent="0.25">
      <c r="A2258" s="167"/>
      <c r="B2258" s="166"/>
      <c r="C2258" s="166"/>
      <c r="D2258" s="166"/>
    </row>
    <row r="2259" spans="1:4" x14ac:dyDescent="0.25">
      <c r="A2259" s="167"/>
      <c r="B2259" s="166"/>
      <c r="C2259" s="166"/>
      <c r="D2259" s="166"/>
    </row>
    <row r="2260" spans="1:4" x14ac:dyDescent="0.25">
      <c r="A2260" s="167"/>
      <c r="B2260" s="166"/>
      <c r="C2260" s="166"/>
      <c r="D2260" s="166"/>
    </row>
    <row r="2261" spans="1:4" x14ac:dyDescent="0.25">
      <c r="A2261" s="167"/>
      <c r="B2261" s="166"/>
      <c r="C2261" s="166"/>
      <c r="D2261" s="166"/>
    </row>
    <row r="2262" spans="1:4" x14ac:dyDescent="0.25">
      <c r="A2262" s="167"/>
      <c r="B2262" s="166"/>
      <c r="C2262" s="166"/>
      <c r="D2262" s="166"/>
    </row>
    <row r="2263" spans="1:4" x14ac:dyDescent="0.25">
      <c r="A2263" s="167"/>
      <c r="B2263" s="166"/>
      <c r="C2263" s="166"/>
      <c r="D2263" s="166"/>
    </row>
    <row r="2264" spans="1:4" x14ac:dyDescent="0.25">
      <c r="A2264" s="167"/>
      <c r="B2264" s="166"/>
      <c r="C2264" s="166"/>
      <c r="D2264" s="166"/>
    </row>
    <row r="2265" spans="1:4" x14ac:dyDescent="0.25">
      <c r="A2265" s="167"/>
      <c r="B2265" s="166"/>
      <c r="C2265" s="166"/>
      <c r="D2265" s="166"/>
    </row>
    <row r="2266" spans="1:4" x14ac:dyDescent="0.25">
      <c r="A2266" s="167"/>
      <c r="B2266" s="166"/>
      <c r="C2266" s="166"/>
      <c r="D2266" s="166"/>
    </row>
    <row r="2267" spans="1:4" x14ac:dyDescent="0.25">
      <c r="A2267" s="167"/>
      <c r="B2267" s="166"/>
      <c r="C2267" s="166"/>
      <c r="D2267" s="166"/>
    </row>
    <row r="2268" spans="1:4" x14ac:dyDescent="0.25">
      <c r="A2268" s="167"/>
      <c r="B2268" s="166"/>
      <c r="C2268" s="166"/>
      <c r="D2268" s="166"/>
    </row>
    <row r="2269" spans="1:4" x14ac:dyDescent="0.25">
      <c r="A2269" s="167"/>
      <c r="B2269" s="166"/>
      <c r="C2269" s="166"/>
      <c r="D2269" s="166"/>
    </row>
    <row r="2270" spans="1:4" x14ac:dyDescent="0.25">
      <c r="A2270" s="167"/>
      <c r="B2270" s="166"/>
      <c r="C2270" s="166"/>
      <c r="D2270" s="166"/>
    </row>
    <row r="2271" spans="1:4" x14ac:dyDescent="0.25">
      <c r="A2271" s="167"/>
      <c r="B2271" s="166"/>
      <c r="C2271" s="166"/>
      <c r="D2271" s="166"/>
    </row>
    <row r="2272" spans="1:4" x14ac:dyDescent="0.25">
      <c r="A2272" s="167"/>
      <c r="B2272" s="166"/>
      <c r="C2272" s="166"/>
      <c r="D2272" s="166"/>
    </row>
    <row r="2273" spans="1:4" x14ac:dyDescent="0.25">
      <c r="A2273" s="167"/>
      <c r="B2273" s="166"/>
      <c r="C2273" s="166"/>
      <c r="D2273" s="166"/>
    </row>
    <row r="2274" spans="1:4" x14ac:dyDescent="0.25">
      <c r="A2274" s="167"/>
      <c r="B2274" s="166"/>
      <c r="C2274" s="166"/>
      <c r="D2274" s="166"/>
    </row>
    <row r="2275" spans="1:4" x14ac:dyDescent="0.25">
      <c r="A2275" s="167"/>
      <c r="B2275" s="166"/>
      <c r="C2275" s="166"/>
      <c r="D2275" s="166"/>
    </row>
    <row r="2276" spans="1:4" x14ac:dyDescent="0.25">
      <c r="A2276" s="167"/>
      <c r="B2276" s="166"/>
      <c r="C2276" s="166"/>
      <c r="D2276" s="166"/>
    </row>
    <row r="2277" spans="1:4" x14ac:dyDescent="0.25">
      <c r="A2277" s="167"/>
      <c r="B2277" s="166"/>
      <c r="C2277" s="166"/>
      <c r="D2277" s="166"/>
    </row>
    <row r="2278" spans="1:4" x14ac:dyDescent="0.25">
      <c r="A2278" s="167"/>
      <c r="B2278" s="166"/>
      <c r="C2278" s="166"/>
      <c r="D2278" s="166"/>
    </row>
    <row r="2279" spans="1:4" x14ac:dyDescent="0.25">
      <c r="A2279" s="167"/>
      <c r="B2279" s="166"/>
      <c r="C2279" s="166"/>
      <c r="D2279" s="166"/>
    </row>
    <row r="2280" spans="1:4" x14ac:dyDescent="0.25">
      <c r="A2280" s="167"/>
      <c r="B2280" s="166"/>
      <c r="C2280" s="166"/>
      <c r="D2280" s="166"/>
    </row>
    <row r="2281" spans="1:4" x14ac:dyDescent="0.25">
      <c r="A2281" s="167"/>
      <c r="B2281" s="166"/>
      <c r="C2281" s="166"/>
      <c r="D2281" s="166"/>
    </row>
    <row r="2282" spans="1:4" x14ac:dyDescent="0.25">
      <c r="A2282" s="167"/>
      <c r="B2282" s="166"/>
      <c r="C2282" s="166"/>
      <c r="D2282" s="166"/>
    </row>
    <row r="2283" spans="1:4" x14ac:dyDescent="0.25">
      <c r="A2283" s="167"/>
      <c r="B2283" s="166"/>
      <c r="C2283" s="166"/>
      <c r="D2283" s="166"/>
    </row>
    <row r="2284" spans="1:4" x14ac:dyDescent="0.25">
      <c r="A2284" s="167"/>
      <c r="B2284" s="166"/>
      <c r="C2284" s="166"/>
      <c r="D2284" s="166"/>
    </row>
    <row r="2285" spans="1:4" x14ac:dyDescent="0.25">
      <c r="A2285" s="167"/>
      <c r="B2285" s="166"/>
      <c r="C2285" s="166"/>
      <c r="D2285" s="166"/>
    </row>
    <row r="2286" spans="1:4" x14ac:dyDescent="0.25">
      <c r="A2286" s="167"/>
      <c r="B2286" s="166"/>
      <c r="C2286" s="166"/>
      <c r="D2286" s="166"/>
    </row>
    <row r="2287" spans="1:4" x14ac:dyDescent="0.25">
      <c r="A2287" s="167"/>
      <c r="B2287" s="166"/>
      <c r="C2287" s="166"/>
      <c r="D2287" s="166"/>
    </row>
    <row r="2288" spans="1:4" x14ac:dyDescent="0.25">
      <c r="A2288" s="167"/>
      <c r="B2288" s="166"/>
      <c r="C2288" s="166"/>
      <c r="D2288" s="166"/>
    </row>
    <row r="2289" spans="1:4" x14ac:dyDescent="0.25">
      <c r="A2289" s="167"/>
      <c r="B2289" s="166"/>
      <c r="C2289" s="166"/>
      <c r="D2289" s="166"/>
    </row>
    <row r="2290" spans="1:4" x14ac:dyDescent="0.25">
      <c r="A2290" s="167"/>
      <c r="B2290" s="166"/>
      <c r="C2290" s="166"/>
      <c r="D2290" s="166"/>
    </row>
    <row r="2291" spans="1:4" x14ac:dyDescent="0.25">
      <c r="A2291" s="167"/>
      <c r="B2291" s="166"/>
      <c r="C2291" s="166"/>
      <c r="D2291" s="166"/>
    </row>
    <row r="2292" spans="1:4" x14ac:dyDescent="0.25">
      <c r="A2292" s="167"/>
      <c r="B2292" s="166"/>
      <c r="C2292" s="166"/>
      <c r="D2292" s="166"/>
    </row>
    <row r="2293" spans="1:4" x14ac:dyDescent="0.25">
      <c r="A2293" s="167"/>
      <c r="B2293" s="166"/>
      <c r="C2293" s="166"/>
      <c r="D2293" s="166"/>
    </row>
    <row r="2294" spans="1:4" x14ac:dyDescent="0.25">
      <c r="A2294" s="167"/>
      <c r="B2294" s="166"/>
      <c r="C2294" s="166"/>
      <c r="D2294" s="166"/>
    </row>
    <row r="2295" spans="1:4" x14ac:dyDescent="0.25">
      <c r="A2295" s="167"/>
      <c r="B2295" s="166"/>
      <c r="C2295" s="166"/>
      <c r="D2295" s="166"/>
    </row>
    <row r="2296" spans="1:4" x14ac:dyDescent="0.25">
      <c r="A2296" s="167"/>
      <c r="B2296" s="166"/>
      <c r="C2296" s="166"/>
      <c r="D2296" s="166"/>
    </row>
    <row r="2297" spans="1:4" x14ac:dyDescent="0.25">
      <c r="A2297" s="167"/>
      <c r="B2297" s="166"/>
      <c r="C2297" s="166"/>
      <c r="D2297" s="166"/>
    </row>
    <row r="2298" spans="1:4" x14ac:dyDescent="0.25">
      <c r="A2298" s="167"/>
      <c r="B2298" s="166"/>
      <c r="C2298" s="166"/>
      <c r="D2298" s="166"/>
    </row>
    <row r="2299" spans="1:4" x14ac:dyDescent="0.25">
      <c r="A2299" s="167"/>
      <c r="B2299" s="166"/>
      <c r="C2299" s="166"/>
      <c r="D2299" s="166"/>
    </row>
    <row r="2300" spans="1:4" x14ac:dyDescent="0.25">
      <c r="A2300" s="167"/>
      <c r="B2300" s="166"/>
      <c r="C2300" s="166"/>
      <c r="D2300" s="166"/>
    </row>
    <row r="2301" spans="1:4" x14ac:dyDescent="0.25">
      <c r="A2301" s="167"/>
      <c r="B2301" s="166"/>
      <c r="C2301" s="166"/>
      <c r="D2301" s="166"/>
    </row>
    <row r="2302" spans="1:4" x14ac:dyDescent="0.25">
      <c r="A2302" s="167"/>
      <c r="B2302" s="166"/>
      <c r="C2302" s="166"/>
      <c r="D2302" s="166"/>
    </row>
    <row r="2303" spans="1:4" x14ac:dyDescent="0.25">
      <c r="A2303" s="167"/>
      <c r="B2303" s="166"/>
      <c r="C2303" s="166"/>
      <c r="D2303" s="166"/>
    </row>
    <row r="2304" spans="1:4" x14ac:dyDescent="0.25">
      <c r="A2304" s="167"/>
      <c r="B2304" s="166"/>
      <c r="C2304" s="166"/>
      <c r="D2304" s="166"/>
    </row>
    <row r="2305" spans="1:4" x14ac:dyDescent="0.25">
      <c r="A2305" s="167"/>
      <c r="B2305" s="166"/>
      <c r="C2305" s="166"/>
      <c r="D2305" s="166"/>
    </row>
    <row r="2306" spans="1:4" x14ac:dyDescent="0.25">
      <c r="A2306" s="167"/>
      <c r="B2306" s="166"/>
      <c r="C2306" s="166"/>
      <c r="D2306" s="166"/>
    </row>
    <row r="2307" spans="1:4" x14ac:dyDescent="0.25">
      <c r="A2307" s="167"/>
      <c r="B2307" s="166"/>
      <c r="C2307" s="166"/>
      <c r="D2307" s="166"/>
    </row>
    <row r="2308" spans="1:4" x14ac:dyDescent="0.25">
      <c r="A2308" s="167"/>
      <c r="B2308" s="166"/>
      <c r="C2308" s="166"/>
      <c r="D2308" s="166"/>
    </row>
    <row r="2309" spans="1:4" x14ac:dyDescent="0.25">
      <c r="A2309" s="167"/>
      <c r="B2309" s="166"/>
      <c r="C2309" s="166"/>
      <c r="D2309" s="166"/>
    </row>
    <row r="2310" spans="1:4" x14ac:dyDescent="0.25">
      <c r="A2310" s="167"/>
      <c r="B2310" s="166"/>
      <c r="C2310" s="166"/>
      <c r="D2310" s="166"/>
    </row>
    <row r="2311" spans="1:4" x14ac:dyDescent="0.25">
      <c r="A2311" s="167"/>
      <c r="B2311" s="166"/>
      <c r="C2311" s="166"/>
      <c r="D2311" s="166"/>
    </row>
    <row r="2312" spans="1:4" x14ac:dyDescent="0.25">
      <c r="A2312" s="167"/>
      <c r="B2312" s="166"/>
      <c r="C2312" s="166"/>
      <c r="D2312" s="166"/>
    </row>
    <row r="2313" spans="1:4" x14ac:dyDescent="0.25">
      <c r="A2313" s="167"/>
      <c r="B2313" s="166"/>
      <c r="C2313" s="166"/>
      <c r="D2313" s="166"/>
    </row>
    <row r="2314" spans="1:4" x14ac:dyDescent="0.25">
      <c r="A2314" s="167"/>
      <c r="B2314" s="166"/>
      <c r="C2314" s="166"/>
      <c r="D2314" s="166"/>
    </row>
    <row r="2315" spans="1:4" x14ac:dyDescent="0.25">
      <c r="A2315" s="167"/>
      <c r="B2315" s="166"/>
      <c r="C2315" s="166"/>
      <c r="D2315" s="166"/>
    </row>
    <row r="2316" spans="1:4" x14ac:dyDescent="0.25">
      <c r="A2316" s="167"/>
      <c r="B2316" s="166"/>
      <c r="C2316" s="166"/>
      <c r="D2316" s="166"/>
    </row>
    <row r="2317" spans="1:4" x14ac:dyDescent="0.25">
      <c r="A2317" s="167"/>
      <c r="B2317" s="166"/>
      <c r="C2317" s="166"/>
      <c r="D2317" s="166"/>
    </row>
    <row r="2318" spans="1:4" x14ac:dyDescent="0.25">
      <c r="A2318" s="167"/>
      <c r="B2318" s="166"/>
      <c r="C2318" s="166"/>
      <c r="D2318" s="166"/>
    </row>
    <row r="2319" spans="1:4" x14ac:dyDescent="0.25">
      <c r="A2319" s="167"/>
      <c r="B2319" s="166"/>
      <c r="C2319" s="166"/>
      <c r="D2319" s="166"/>
    </row>
    <row r="2320" spans="1:4" x14ac:dyDescent="0.25">
      <c r="A2320" s="167"/>
      <c r="B2320" s="166"/>
      <c r="C2320" s="166"/>
      <c r="D2320" s="166"/>
    </row>
    <row r="2321" spans="1:4" x14ac:dyDescent="0.25">
      <c r="A2321" s="167"/>
      <c r="B2321" s="166"/>
      <c r="C2321" s="166"/>
      <c r="D2321" s="166"/>
    </row>
    <row r="2322" spans="1:4" x14ac:dyDescent="0.25">
      <c r="A2322" s="167"/>
      <c r="B2322" s="166"/>
      <c r="C2322" s="166"/>
      <c r="D2322" s="166"/>
    </row>
    <row r="2323" spans="1:4" x14ac:dyDescent="0.25">
      <c r="A2323" s="167"/>
      <c r="B2323" s="166"/>
      <c r="C2323" s="166"/>
      <c r="D2323" s="166"/>
    </row>
    <row r="2324" spans="1:4" x14ac:dyDescent="0.25">
      <c r="A2324" s="167"/>
      <c r="B2324" s="166"/>
      <c r="C2324" s="166"/>
      <c r="D2324" s="166"/>
    </row>
    <row r="2325" spans="1:4" x14ac:dyDescent="0.25">
      <c r="A2325" s="167"/>
      <c r="B2325" s="166"/>
      <c r="C2325" s="166"/>
      <c r="D2325" s="166"/>
    </row>
    <row r="2326" spans="1:4" x14ac:dyDescent="0.25">
      <c r="A2326" s="167"/>
      <c r="B2326" s="166"/>
      <c r="C2326" s="166"/>
      <c r="D2326" s="166"/>
    </row>
    <row r="2327" spans="1:4" x14ac:dyDescent="0.25">
      <c r="A2327" s="167"/>
      <c r="B2327" s="166"/>
      <c r="C2327" s="166"/>
      <c r="D2327" s="166"/>
    </row>
    <row r="2328" spans="1:4" x14ac:dyDescent="0.25">
      <c r="A2328" s="167"/>
      <c r="B2328" s="166"/>
      <c r="C2328" s="166"/>
      <c r="D2328" s="166"/>
    </row>
    <row r="2329" spans="1:4" x14ac:dyDescent="0.25">
      <c r="A2329" s="167"/>
      <c r="B2329" s="166"/>
      <c r="C2329" s="166"/>
      <c r="D2329" s="166"/>
    </row>
    <row r="2330" spans="1:4" x14ac:dyDescent="0.25">
      <c r="A2330" s="167"/>
      <c r="B2330" s="166"/>
      <c r="C2330" s="166"/>
      <c r="D2330" s="166"/>
    </row>
    <row r="2331" spans="1:4" x14ac:dyDescent="0.25">
      <c r="A2331" s="167"/>
      <c r="B2331" s="166"/>
      <c r="C2331" s="166"/>
      <c r="D2331" s="166"/>
    </row>
    <row r="2332" spans="1:4" x14ac:dyDescent="0.25">
      <c r="A2332" s="167"/>
      <c r="B2332" s="166"/>
      <c r="C2332" s="166"/>
      <c r="D2332" s="166"/>
    </row>
    <row r="2333" spans="1:4" x14ac:dyDescent="0.25">
      <c r="A2333" s="167"/>
      <c r="B2333" s="166"/>
      <c r="C2333" s="166"/>
      <c r="D2333" s="166"/>
    </row>
    <row r="2334" spans="1:4" x14ac:dyDescent="0.25">
      <c r="A2334" s="167"/>
      <c r="B2334" s="166"/>
      <c r="C2334" s="166"/>
      <c r="D2334" s="166"/>
    </row>
    <row r="2335" spans="1:4" x14ac:dyDescent="0.25">
      <c r="A2335" s="167"/>
      <c r="B2335" s="166"/>
      <c r="C2335" s="166"/>
      <c r="D2335" s="166"/>
    </row>
    <row r="2336" spans="1:4" x14ac:dyDescent="0.25">
      <c r="A2336" s="167"/>
      <c r="B2336" s="166"/>
      <c r="C2336" s="166"/>
      <c r="D2336" s="166"/>
    </row>
    <row r="2337" spans="1:4" x14ac:dyDescent="0.25">
      <c r="A2337" s="167"/>
      <c r="B2337" s="166"/>
      <c r="C2337" s="166"/>
      <c r="D2337" s="166"/>
    </row>
    <row r="2338" spans="1:4" x14ac:dyDescent="0.25">
      <c r="A2338" s="167"/>
      <c r="B2338" s="166"/>
      <c r="C2338" s="166"/>
      <c r="D2338" s="166"/>
    </row>
    <row r="2339" spans="1:4" x14ac:dyDescent="0.25">
      <c r="A2339" s="167"/>
      <c r="B2339" s="166"/>
      <c r="C2339" s="166"/>
      <c r="D2339" s="166"/>
    </row>
    <row r="2340" spans="1:4" x14ac:dyDescent="0.25">
      <c r="A2340" s="167"/>
      <c r="B2340" s="166"/>
      <c r="C2340" s="166"/>
      <c r="D2340" s="166"/>
    </row>
    <row r="2341" spans="1:4" x14ac:dyDescent="0.25">
      <c r="A2341" s="167"/>
      <c r="B2341" s="166"/>
      <c r="C2341" s="166"/>
      <c r="D2341" s="166"/>
    </row>
    <row r="2342" spans="1:4" x14ac:dyDescent="0.25">
      <c r="A2342" s="167"/>
      <c r="B2342" s="166"/>
      <c r="C2342" s="166"/>
      <c r="D2342" s="166"/>
    </row>
    <row r="2343" spans="1:4" x14ac:dyDescent="0.25">
      <c r="A2343" s="167"/>
      <c r="B2343" s="166"/>
      <c r="C2343" s="166"/>
      <c r="D2343" s="166"/>
    </row>
    <row r="2344" spans="1:4" x14ac:dyDescent="0.25">
      <c r="A2344" s="167"/>
      <c r="B2344" s="166"/>
      <c r="C2344" s="166"/>
      <c r="D2344" s="166"/>
    </row>
    <row r="2345" spans="1:4" x14ac:dyDescent="0.25">
      <c r="A2345" s="167"/>
      <c r="B2345" s="166"/>
      <c r="C2345" s="166"/>
      <c r="D2345" s="166"/>
    </row>
    <row r="2346" spans="1:4" x14ac:dyDescent="0.25">
      <c r="A2346" s="167"/>
      <c r="B2346" s="166"/>
      <c r="C2346" s="166"/>
      <c r="D2346" s="166"/>
    </row>
    <row r="2347" spans="1:4" x14ac:dyDescent="0.25">
      <c r="A2347" s="167"/>
      <c r="B2347" s="166"/>
      <c r="C2347" s="166"/>
      <c r="D2347" s="166"/>
    </row>
    <row r="2348" spans="1:4" x14ac:dyDescent="0.25">
      <c r="A2348" s="167"/>
      <c r="B2348" s="166"/>
      <c r="C2348" s="166"/>
      <c r="D2348" s="166"/>
    </row>
    <row r="2349" spans="1:4" x14ac:dyDescent="0.25">
      <c r="A2349" s="167"/>
      <c r="B2349" s="166"/>
      <c r="C2349" s="166"/>
      <c r="D2349" s="166"/>
    </row>
    <row r="2350" spans="1:4" x14ac:dyDescent="0.25">
      <c r="A2350" s="167"/>
      <c r="B2350" s="166"/>
      <c r="C2350" s="166"/>
      <c r="D2350" s="166"/>
    </row>
    <row r="2351" spans="1:4" x14ac:dyDescent="0.25">
      <c r="A2351" s="167"/>
      <c r="B2351" s="166"/>
      <c r="C2351" s="166"/>
      <c r="D2351" s="166"/>
    </row>
    <row r="2352" spans="1:4" x14ac:dyDescent="0.25">
      <c r="A2352" s="167"/>
      <c r="B2352" s="166"/>
      <c r="C2352" s="166"/>
      <c r="D2352" s="166"/>
    </row>
    <row r="2353" spans="1:4" x14ac:dyDescent="0.25">
      <c r="A2353" s="167"/>
      <c r="B2353" s="166"/>
      <c r="C2353" s="166"/>
      <c r="D2353" s="166"/>
    </row>
    <row r="2354" spans="1:4" x14ac:dyDescent="0.25">
      <c r="A2354" s="167"/>
      <c r="B2354" s="166"/>
      <c r="C2354" s="166"/>
      <c r="D2354" s="166"/>
    </row>
    <row r="2355" spans="1:4" x14ac:dyDescent="0.25">
      <c r="A2355" s="167"/>
      <c r="B2355" s="166"/>
      <c r="C2355" s="166"/>
      <c r="D2355" s="166"/>
    </row>
    <row r="2356" spans="1:4" x14ac:dyDescent="0.25">
      <c r="A2356" s="167"/>
      <c r="B2356" s="166"/>
      <c r="C2356" s="166"/>
      <c r="D2356" s="166"/>
    </row>
    <row r="2357" spans="1:4" x14ac:dyDescent="0.25">
      <c r="A2357" s="167"/>
      <c r="B2357" s="166"/>
      <c r="C2357" s="166"/>
      <c r="D2357" s="166"/>
    </row>
    <row r="2358" spans="1:4" x14ac:dyDescent="0.25">
      <c r="A2358" s="167"/>
      <c r="B2358" s="166"/>
      <c r="C2358" s="166"/>
      <c r="D2358" s="166"/>
    </row>
    <row r="2359" spans="1:4" x14ac:dyDescent="0.25">
      <c r="A2359" s="167"/>
      <c r="B2359" s="166"/>
      <c r="C2359" s="166"/>
      <c r="D2359" s="166"/>
    </row>
    <row r="2360" spans="1:4" x14ac:dyDescent="0.25">
      <c r="A2360" s="167"/>
      <c r="B2360" s="166"/>
      <c r="C2360" s="166"/>
      <c r="D2360" s="166"/>
    </row>
    <row r="2361" spans="1:4" x14ac:dyDescent="0.25">
      <c r="A2361" s="167"/>
      <c r="B2361" s="166"/>
      <c r="C2361" s="166"/>
      <c r="D2361" s="166"/>
    </row>
    <row r="2362" spans="1:4" x14ac:dyDescent="0.25">
      <c r="A2362" s="167"/>
      <c r="B2362" s="166"/>
      <c r="C2362" s="166"/>
      <c r="D2362" s="166"/>
    </row>
    <row r="2363" spans="1:4" x14ac:dyDescent="0.25">
      <c r="A2363" s="167"/>
      <c r="B2363" s="166"/>
      <c r="C2363" s="166"/>
      <c r="D2363" s="166"/>
    </row>
    <row r="2364" spans="1:4" x14ac:dyDescent="0.25">
      <c r="A2364" s="167"/>
      <c r="B2364" s="166"/>
      <c r="C2364" s="166"/>
      <c r="D2364" s="166"/>
    </row>
    <row r="2365" spans="1:4" x14ac:dyDescent="0.25">
      <c r="A2365" s="167"/>
      <c r="B2365" s="166"/>
      <c r="C2365" s="166"/>
      <c r="D2365" s="166"/>
    </row>
    <row r="2366" spans="1:4" x14ac:dyDescent="0.25">
      <c r="A2366" s="167"/>
      <c r="B2366" s="166"/>
      <c r="C2366" s="166"/>
      <c r="D2366" s="166"/>
    </row>
    <row r="2367" spans="1:4" x14ac:dyDescent="0.25">
      <c r="A2367" s="167"/>
      <c r="B2367" s="166"/>
      <c r="C2367" s="166"/>
      <c r="D2367" s="166"/>
    </row>
    <row r="2368" spans="1:4" x14ac:dyDescent="0.25">
      <c r="A2368" s="167"/>
      <c r="B2368" s="166"/>
      <c r="C2368" s="166"/>
      <c r="D2368" s="166"/>
    </row>
    <row r="2369" spans="1:4" x14ac:dyDescent="0.25">
      <c r="A2369" s="167"/>
      <c r="B2369" s="166"/>
      <c r="C2369" s="166"/>
      <c r="D2369" s="166"/>
    </row>
    <row r="2370" spans="1:4" x14ac:dyDescent="0.25">
      <c r="A2370" s="167"/>
      <c r="B2370" s="166"/>
      <c r="C2370" s="166"/>
      <c r="D2370" s="166"/>
    </row>
    <row r="2371" spans="1:4" x14ac:dyDescent="0.25">
      <c r="A2371" s="167"/>
      <c r="B2371" s="166"/>
      <c r="C2371" s="166"/>
      <c r="D2371" s="166"/>
    </row>
    <row r="2372" spans="1:4" x14ac:dyDescent="0.25">
      <c r="A2372" s="167"/>
      <c r="B2372" s="166"/>
      <c r="C2372" s="166"/>
      <c r="D2372" s="166"/>
    </row>
    <row r="2373" spans="1:4" x14ac:dyDescent="0.25">
      <c r="A2373" s="167"/>
      <c r="B2373" s="166"/>
      <c r="C2373" s="166"/>
      <c r="D2373" s="166"/>
    </row>
    <row r="2374" spans="1:4" x14ac:dyDescent="0.25">
      <c r="A2374" s="167"/>
      <c r="B2374" s="166"/>
      <c r="C2374" s="166"/>
      <c r="D2374" s="166"/>
    </row>
    <row r="2375" spans="1:4" x14ac:dyDescent="0.25">
      <c r="A2375" s="167"/>
      <c r="B2375" s="166"/>
      <c r="C2375" s="166"/>
      <c r="D2375" s="166"/>
    </row>
    <row r="2376" spans="1:4" x14ac:dyDescent="0.25">
      <c r="A2376" s="167"/>
      <c r="B2376" s="166"/>
      <c r="C2376" s="166"/>
      <c r="D2376" s="166"/>
    </row>
    <row r="2377" spans="1:4" x14ac:dyDescent="0.25">
      <c r="A2377" s="167"/>
      <c r="B2377" s="166"/>
      <c r="C2377" s="166"/>
      <c r="D2377" s="166"/>
    </row>
    <row r="2378" spans="1:4" x14ac:dyDescent="0.25">
      <c r="A2378" s="167"/>
      <c r="B2378" s="166"/>
      <c r="C2378" s="166"/>
      <c r="D2378" s="166"/>
    </row>
    <row r="2379" spans="1:4" x14ac:dyDescent="0.25">
      <c r="A2379" s="167"/>
      <c r="B2379" s="166"/>
      <c r="C2379" s="166"/>
      <c r="D2379" s="166"/>
    </row>
    <row r="2380" spans="1:4" x14ac:dyDescent="0.25">
      <c r="A2380" s="167"/>
      <c r="B2380" s="166"/>
      <c r="C2380" s="166"/>
      <c r="D2380" s="166"/>
    </row>
    <row r="2381" spans="1:4" x14ac:dyDescent="0.25">
      <c r="A2381" s="167"/>
      <c r="B2381" s="166"/>
      <c r="C2381" s="166"/>
      <c r="D2381" s="166"/>
    </row>
    <row r="2382" spans="1:4" x14ac:dyDescent="0.25">
      <c r="A2382" s="167"/>
      <c r="B2382" s="166"/>
      <c r="C2382" s="166"/>
      <c r="D2382" s="166"/>
    </row>
    <row r="2383" spans="1:4" x14ac:dyDescent="0.25">
      <c r="A2383" s="167"/>
      <c r="B2383" s="166"/>
      <c r="C2383" s="166"/>
      <c r="D2383" s="166"/>
    </row>
    <row r="2384" spans="1:4" x14ac:dyDescent="0.25">
      <c r="A2384" s="167"/>
      <c r="B2384" s="166"/>
      <c r="C2384" s="166"/>
      <c r="D2384" s="166"/>
    </row>
    <row r="2385" spans="1:4" x14ac:dyDescent="0.25">
      <c r="A2385" s="167"/>
      <c r="B2385" s="166"/>
      <c r="C2385" s="166"/>
      <c r="D2385" s="166"/>
    </row>
    <row r="2386" spans="1:4" x14ac:dyDescent="0.25">
      <c r="A2386" s="167"/>
      <c r="B2386" s="166"/>
      <c r="C2386" s="166"/>
      <c r="D2386" s="166"/>
    </row>
    <row r="2387" spans="1:4" x14ac:dyDescent="0.25">
      <c r="A2387" s="167"/>
      <c r="B2387" s="166"/>
      <c r="C2387" s="166"/>
      <c r="D2387" s="166"/>
    </row>
    <row r="2388" spans="1:4" x14ac:dyDescent="0.25">
      <c r="A2388" s="167"/>
      <c r="B2388" s="166"/>
      <c r="C2388" s="166"/>
      <c r="D2388" s="166"/>
    </row>
    <row r="2389" spans="1:4" x14ac:dyDescent="0.25">
      <c r="A2389" s="167"/>
      <c r="B2389" s="166"/>
      <c r="C2389" s="166"/>
      <c r="D2389" s="166"/>
    </row>
    <row r="2390" spans="1:4" x14ac:dyDescent="0.25">
      <c r="A2390" s="167"/>
      <c r="B2390" s="166"/>
      <c r="C2390" s="166"/>
      <c r="D2390" s="166"/>
    </row>
    <row r="2391" spans="1:4" x14ac:dyDescent="0.25">
      <c r="A2391" s="167"/>
      <c r="B2391" s="166"/>
      <c r="C2391" s="166"/>
      <c r="D2391" s="166"/>
    </row>
    <row r="2392" spans="1:4" x14ac:dyDescent="0.25">
      <c r="A2392" s="167"/>
      <c r="B2392" s="166"/>
      <c r="C2392" s="166"/>
      <c r="D2392" s="166"/>
    </row>
    <row r="2393" spans="1:4" x14ac:dyDescent="0.25">
      <c r="A2393" s="167"/>
      <c r="B2393" s="166"/>
      <c r="C2393" s="166"/>
      <c r="D2393" s="166"/>
    </row>
    <row r="2394" spans="1:4" x14ac:dyDescent="0.25">
      <c r="A2394" s="167"/>
      <c r="B2394" s="166"/>
      <c r="C2394" s="166"/>
      <c r="D2394" s="166"/>
    </row>
    <row r="2395" spans="1:4" x14ac:dyDescent="0.25">
      <c r="A2395" s="167"/>
      <c r="B2395" s="166"/>
      <c r="C2395" s="166"/>
      <c r="D2395" s="166"/>
    </row>
    <row r="2396" spans="1:4" x14ac:dyDescent="0.25">
      <c r="A2396" s="167"/>
      <c r="B2396" s="166"/>
      <c r="C2396" s="166"/>
      <c r="D2396" s="166"/>
    </row>
    <row r="2397" spans="1:4" x14ac:dyDescent="0.25">
      <c r="A2397" s="167"/>
      <c r="B2397" s="166"/>
      <c r="C2397" s="166"/>
      <c r="D2397" s="166"/>
    </row>
    <row r="2398" spans="1:4" x14ac:dyDescent="0.25">
      <c r="A2398" s="167"/>
      <c r="B2398" s="166"/>
      <c r="C2398" s="166"/>
      <c r="D2398" s="166"/>
    </row>
    <row r="2399" spans="1:4" x14ac:dyDescent="0.25">
      <c r="A2399" s="167"/>
      <c r="B2399" s="166"/>
      <c r="C2399" s="166"/>
      <c r="D2399" s="166"/>
    </row>
    <row r="2400" spans="1:4" x14ac:dyDescent="0.25">
      <c r="A2400" s="167"/>
      <c r="B2400" s="166"/>
      <c r="C2400" s="166"/>
      <c r="D2400" s="166"/>
    </row>
    <row r="2401" spans="1:4" x14ac:dyDescent="0.25">
      <c r="A2401" s="167"/>
      <c r="B2401" s="166"/>
      <c r="C2401" s="166"/>
      <c r="D2401" s="166"/>
    </row>
    <row r="2402" spans="1:4" x14ac:dyDescent="0.25">
      <c r="A2402" s="167"/>
      <c r="B2402" s="166"/>
      <c r="C2402" s="166"/>
      <c r="D2402" s="166"/>
    </row>
    <row r="2403" spans="1:4" x14ac:dyDescent="0.25">
      <c r="A2403" s="167"/>
      <c r="B2403" s="166"/>
      <c r="C2403" s="166"/>
      <c r="D2403" s="166"/>
    </row>
    <row r="2404" spans="1:4" x14ac:dyDescent="0.25">
      <c r="A2404" s="167"/>
      <c r="B2404" s="166"/>
      <c r="C2404" s="166"/>
      <c r="D2404" s="166"/>
    </row>
    <row r="2405" spans="1:4" x14ac:dyDescent="0.25">
      <c r="A2405" s="167"/>
      <c r="B2405" s="166"/>
      <c r="C2405" s="166"/>
      <c r="D2405" s="166"/>
    </row>
    <row r="2406" spans="1:4" x14ac:dyDescent="0.25">
      <c r="A2406" s="167"/>
      <c r="B2406" s="166"/>
      <c r="C2406" s="166"/>
      <c r="D2406" s="166"/>
    </row>
    <row r="2407" spans="1:4" x14ac:dyDescent="0.25">
      <c r="A2407" s="167"/>
      <c r="B2407" s="166"/>
      <c r="C2407" s="166"/>
      <c r="D2407" s="166"/>
    </row>
    <row r="2408" spans="1:4" x14ac:dyDescent="0.25">
      <c r="A2408" s="167"/>
      <c r="B2408" s="166"/>
      <c r="C2408" s="166"/>
      <c r="D2408" s="166"/>
    </row>
    <row r="2409" spans="1:4" x14ac:dyDescent="0.25">
      <c r="A2409" s="167"/>
      <c r="B2409" s="166"/>
      <c r="C2409" s="166"/>
      <c r="D2409" s="166"/>
    </row>
    <row r="2410" spans="1:4" x14ac:dyDescent="0.25">
      <c r="A2410" s="167"/>
      <c r="B2410" s="166"/>
      <c r="C2410" s="166"/>
      <c r="D2410" s="166"/>
    </row>
    <row r="2411" spans="1:4" x14ac:dyDescent="0.25">
      <c r="A2411" s="167"/>
      <c r="B2411" s="166"/>
      <c r="C2411" s="166"/>
      <c r="D2411" s="166"/>
    </row>
    <row r="2412" spans="1:4" x14ac:dyDescent="0.25">
      <c r="A2412" s="167"/>
      <c r="B2412" s="166"/>
      <c r="C2412" s="166"/>
      <c r="D2412" s="166"/>
    </row>
    <row r="2413" spans="1:4" x14ac:dyDescent="0.25">
      <c r="A2413" s="167"/>
      <c r="B2413" s="166"/>
      <c r="C2413" s="166"/>
      <c r="D2413" s="166"/>
    </row>
    <row r="2414" spans="1:4" x14ac:dyDescent="0.25">
      <c r="A2414" s="167"/>
      <c r="B2414" s="166"/>
      <c r="C2414" s="166"/>
      <c r="D2414" s="166"/>
    </row>
    <row r="2415" spans="1:4" x14ac:dyDescent="0.25">
      <c r="A2415" s="167"/>
      <c r="B2415" s="166"/>
      <c r="C2415" s="166"/>
      <c r="D2415" s="166"/>
    </row>
    <row r="2416" spans="1:4" x14ac:dyDescent="0.25">
      <c r="A2416" s="167"/>
      <c r="B2416" s="166"/>
      <c r="C2416" s="166"/>
      <c r="D2416" s="166"/>
    </row>
    <row r="2417" spans="1:4" x14ac:dyDescent="0.25">
      <c r="A2417" s="167"/>
      <c r="B2417" s="166"/>
      <c r="C2417" s="166"/>
      <c r="D2417" s="166"/>
    </row>
    <row r="2418" spans="1:4" x14ac:dyDescent="0.25">
      <c r="A2418" s="167"/>
      <c r="B2418" s="166"/>
      <c r="C2418" s="166"/>
      <c r="D2418" s="166"/>
    </row>
    <row r="2419" spans="1:4" x14ac:dyDescent="0.25">
      <c r="A2419" s="167"/>
      <c r="B2419" s="166"/>
      <c r="C2419" s="166"/>
      <c r="D2419" s="166"/>
    </row>
    <row r="2420" spans="1:4" x14ac:dyDescent="0.25">
      <c r="A2420" s="167"/>
      <c r="B2420" s="166"/>
      <c r="C2420" s="166"/>
      <c r="D2420" s="166"/>
    </row>
    <row r="2421" spans="1:4" x14ac:dyDescent="0.25">
      <c r="A2421" s="167"/>
      <c r="B2421" s="166"/>
      <c r="C2421" s="166"/>
      <c r="D2421" s="166"/>
    </row>
    <row r="2422" spans="1:4" x14ac:dyDescent="0.25">
      <c r="A2422" s="167"/>
      <c r="B2422" s="166"/>
      <c r="C2422" s="166"/>
      <c r="D2422" s="166"/>
    </row>
    <row r="2423" spans="1:4" x14ac:dyDescent="0.25">
      <c r="A2423" s="167"/>
      <c r="B2423" s="166"/>
      <c r="C2423" s="166"/>
      <c r="D2423" s="166"/>
    </row>
    <row r="2424" spans="1:4" x14ac:dyDescent="0.25">
      <c r="A2424" s="167"/>
      <c r="B2424" s="166"/>
      <c r="C2424" s="166"/>
      <c r="D2424" s="166"/>
    </row>
    <row r="2425" spans="1:4" x14ac:dyDescent="0.25">
      <c r="A2425" s="167"/>
      <c r="B2425" s="166"/>
      <c r="C2425" s="166"/>
      <c r="D2425" s="166"/>
    </row>
    <row r="2426" spans="1:4" x14ac:dyDescent="0.25">
      <c r="A2426" s="167"/>
      <c r="B2426" s="166"/>
      <c r="C2426" s="166"/>
      <c r="D2426" s="166"/>
    </row>
    <row r="2427" spans="1:4" x14ac:dyDescent="0.25">
      <c r="A2427" s="167"/>
      <c r="B2427" s="166"/>
      <c r="C2427" s="166"/>
      <c r="D2427" s="166"/>
    </row>
    <row r="2428" spans="1:4" x14ac:dyDescent="0.25">
      <c r="A2428" s="167"/>
      <c r="B2428" s="166"/>
      <c r="C2428" s="166"/>
      <c r="D2428" s="166"/>
    </row>
    <row r="2429" spans="1:4" x14ac:dyDescent="0.25">
      <c r="A2429" s="167"/>
      <c r="B2429" s="166"/>
      <c r="C2429" s="166"/>
      <c r="D2429" s="166"/>
    </row>
    <row r="2430" spans="1:4" x14ac:dyDescent="0.25">
      <c r="A2430" s="167"/>
      <c r="B2430" s="166"/>
      <c r="C2430" s="166"/>
      <c r="D2430" s="166"/>
    </row>
    <row r="2431" spans="1:4" x14ac:dyDescent="0.25">
      <c r="A2431" s="167"/>
      <c r="B2431" s="166"/>
      <c r="C2431" s="166"/>
      <c r="D2431" s="166"/>
    </row>
    <row r="2432" spans="1:4" x14ac:dyDescent="0.25">
      <c r="A2432" s="167"/>
      <c r="B2432" s="166"/>
      <c r="C2432" s="166"/>
      <c r="D2432" s="166"/>
    </row>
    <row r="2433" spans="1:4" x14ac:dyDescent="0.25">
      <c r="A2433" s="167"/>
      <c r="B2433" s="166"/>
      <c r="C2433" s="166"/>
      <c r="D2433" s="166"/>
    </row>
    <row r="2434" spans="1:4" x14ac:dyDescent="0.25">
      <c r="A2434" s="167"/>
      <c r="B2434" s="166"/>
      <c r="C2434" s="166"/>
      <c r="D2434" s="166"/>
    </row>
    <row r="2435" spans="1:4" x14ac:dyDescent="0.25">
      <c r="A2435" s="167"/>
      <c r="B2435" s="166"/>
      <c r="C2435" s="166"/>
      <c r="D2435" s="166"/>
    </row>
    <row r="2436" spans="1:4" x14ac:dyDescent="0.25">
      <c r="A2436" s="167"/>
      <c r="B2436" s="166"/>
      <c r="C2436" s="166"/>
      <c r="D2436" s="166"/>
    </row>
    <row r="2437" spans="1:4" x14ac:dyDescent="0.25">
      <c r="A2437" s="167"/>
      <c r="B2437" s="166"/>
      <c r="C2437" s="166"/>
      <c r="D2437" s="166"/>
    </row>
    <row r="2438" spans="1:4" x14ac:dyDescent="0.25">
      <c r="A2438" s="167"/>
      <c r="B2438" s="166"/>
      <c r="C2438" s="166"/>
      <c r="D2438" s="166"/>
    </row>
    <row r="2439" spans="1:4" x14ac:dyDescent="0.25">
      <c r="A2439" s="167"/>
      <c r="B2439" s="166"/>
      <c r="C2439" s="166"/>
      <c r="D2439" s="166"/>
    </row>
    <row r="2440" spans="1:4" x14ac:dyDescent="0.25">
      <c r="A2440" s="167"/>
      <c r="B2440" s="166"/>
      <c r="C2440" s="166"/>
      <c r="D2440" s="166"/>
    </row>
    <row r="2441" spans="1:4" x14ac:dyDescent="0.25">
      <c r="A2441" s="167"/>
      <c r="B2441" s="166"/>
      <c r="C2441" s="166"/>
      <c r="D2441" s="166"/>
    </row>
    <row r="2442" spans="1:4" x14ac:dyDescent="0.25">
      <c r="A2442" s="167"/>
      <c r="B2442" s="166"/>
      <c r="C2442" s="166"/>
      <c r="D2442" s="166"/>
    </row>
    <row r="2443" spans="1:4" x14ac:dyDescent="0.25">
      <c r="A2443" s="167"/>
      <c r="B2443" s="166"/>
      <c r="C2443" s="166"/>
      <c r="D2443" s="166"/>
    </row>
    <row r="2444" spans="1:4" x14ac:dyDescent="0.25">
      <c r="A2444" s="167"/>
      <c r="B2444" s="166"/>
      <c r="C2444" s="166"/>
      <c r="D2444" s="166"/>
    </row>
    <row r="2445" spans="1:4" x14ac:dyDescent="0.25">
      <c r="A2445" s="167"/>
      <c r="B2445" s="166"/>
      <c r="C2445" s="166"/>
      <c r="D2445" s="166"/>
    </row>
    <row r="2446" spans="1:4" x14ac:dyDescent="0.25">
      <c r="A2446" s="167"/>
      <c r="B2446" s="166"/>
      <c r="C2446" s="166"/>
      <c r="D2446" s="166"/>
    </row>
    <row r="2447" spans="1:4" x14ac:dyDescent="0.25">
      <c r="A2447" s="167"/>
      <c r="B2447" s="166"/>
      <c r="C2447" s="166"/>
      <c r="D2447" s="166"/>
    </row>
    <row r="2448" spans="1:4" x14ac:dyDescent="0.25">
      <c r="A2448" s="167"/>
      <c r="B2448" s="166"/>
      <c r="C2448" s="166"/>
      <c r="D2448" s="166"/>
    </row>
    <row r="2449" spans="1:4" x14ac:dyDescent="0.25">
      <c r="A2449" s="167"/>
      <c r="B2449" s="166"/>
      <c r="C2449" s="166"/>
      <c r="D2449" s="166"/>
    </row>
    <row r="2450" spans="1:4" x14ac:dyDescent="0.25">
      <c r="A2450" s="167"/>
      <c r="B2450" s="166"/>
      <c r="C2450" s="166"/>
      <c r="D2450" s="166"/>
    </row>
    <row r="2451" spans="1:4" x14ac:dyDescent="0.25">
      <c r="A2451" s="167"/>
      <c r="B2451" s="166"/>
      <c r="C2451" s="166"/>
      <c r="D2451" s="166"/>
    </row>
    <row r="2452" spans="1:4" x14ac:dyDescent="0.25">
      <c r="A2452" s="167"/>
      <c r="B2452" s="166"/>
      <c r="C2452" s="166"/>
      <c r="D2452" s="166"/>
    </row>
    <row r="2453" spans="1:4" x14ac:dyDescent="0.25">
      <c r="A2453" s="167"/>
      <c r="B2453" s="166"/>
      <c r="C2453" s="166"/>
      <c r="D2453" s="166"/>
    </row>
    <row r="2454" spans="1:4" x14ac:dyDescent="0.25">
      <c r="A2454" s="167"/>
      <c r="B2454" s="166"/>
      <c r="C2454" s="166"/>
      <c r="D2454" s="166"/>
    </row>
    <row r="2455" spans="1:4" x14ac:dyDescent="0.25">
      <c r="A2455" s="167"/>
      <c r="B2455" s="166"/>
      <c r="C2455" s="166"/>
      <c r="D2455" s="166"/>
    </row>
    <row r="2456" spans="1:4" x14ac:dyDescent="0.25">
      <c r="A2456" s="167"/>
      <c r="B2456" s="166"/>
      <c r="C2456" s="166"/>
      <c r="D2456" s="166"/>
    </row>
    <row r="2457" spans="1:4" x14ac:dyDescent="0.25">
      <c r="A2457" s="167"/>
      <c r="B2457" s="166"/>
      <c r="C2457" s="166"/>
      <c r="D2457" s="166"/>
    </row>
    <row r="2458" spans="1:4" x14ac:dyDescent="0.25">
      <c r="A2458" s="167"/>
      <c r="B2458" s="166"/>
      <c r="C2458" s="166"/>
      <c r="D2458" s="166"/>
    </row>
    <row r="2459" spans="1:4" x14ac:dyDescent="0.25">
      <c r="A2459" s="167"/>
      <c r="B2459" s="166"/>
      <c r="C2459" s="166"/>
      <c r="D2459" s="166"/>
    </row>
    <row r="2460" spans="1:4" x14ac:dyDescent="0.25">
      <c r="A2460" s="167"/>
      <c r="B2460" s="166"/>
      <c r="C2460" s="166"/>
      <c r="D2460" s="166"/>
    </row>
    <row r="2461" spans="1:4" x14ac:dyDescent="0.25">
      <c r="A2461" s="167"/>
      <c r="B2461" s="166"/>
      <c r="C2461" s="166"/>
      <c r="D2461" s="166"/>
    </row>
    <row r="2462" spans="1:4" x14ac:dyDescent="0.25">
      <c r="A2462" s="167"/>
      <c r="B2462" s="166"/>
      <c r="C2462" s="166"/>
      <c r="D2462" s="166"/>
    </row>
    <row r="2463" spans="1:4" x14ac:dyDescent="0.25">
      <c r="A2463" s="167"/>
      <c r="B2463" s="166"/>
      <c r="C2463" s="166"/>
      <c r="D2463" s="166"/>
    </row>
    <row r="2464" spans="1:4" x14ac:dyDescent="0.25">
      <c r="A2464" s="167"/>
      <c r="B2464" s="166"/>
      <c r="C2464" s="166"/>
      <c r="D2464" s="166"/>
    </row>
    <row r="2465" spans="1:4" x14ac:dyDescent="0.25">
      <c r="A2465" s="167"/>
      <c r="B2465" s="166"/>
      <c r="C2465" s="166"/>
      <c r="D2465" s="166"/>
    </row>
    <row r="2466" spans="1:4" x14ac:dyDescent="0.25">
      <c r="A2466" s="167"/>
      <c r="B2466" s="166"/>
      <c r="C2466" s="166"/>
      <c r="D2466" s="166"/>
    </row>
    <row r="2467" spans="1:4" x14ac:dyDescent="0.25">
      <c r="A2467" s="167"/>
      <c r="B2467" s="166"/>
      <c r="C2467" s="166"/>
      <c r="D2467" s="166"/>
    </row>
    <row r="2468" spans="1:4" x14ac:dyDescent="0.25">
      <c r="A2468" s="167"/>
      <c r="B2468" s="166"/>
      <c r="C2468" s="166"/>
      <c r="D2468" s="166"/>
    </row>
    <row r="2469" spans="1:4" x14ac:dyDescent="0.25">
      <c r="A2469" s="167"/>
      <c r="B2469" s="166"/>
      <c r="C2469" s="166"/>
      <c r="D2469" s="166"/>
    </row>
    <row r="2470" spans="1:4" x14ac:dyDescent="0.25">
      <c r="A2470" s="167"/>
      <c r="B2470" s="166"/>
      <c r="C2470" s="166"/>
      <c r="D2470" s="166"/>
    </row>
    <row r="2471" spans="1:4" x14ac:dyDescent="0.25">
      <c r="A2471" s="167"/>
      <c r="B2471" s="166"/>
      <c r="C2471" s="166"/>
      <c r="D2471" s="166"/>
    </row>
    <row r="2472" spans="1:4" x14ac:dyDescent="0.25">
      <c r="A2472" s="167"/>
      <c r="B2472" s="166"/>
      <c r="C2472" s="166"/>
      <c r="D2472" s="166"/>
    </row>
    <row r="2473" spans="1:4" x14ac:dyDescent="0.25">
      <c r="A2473" s="167"/>
      <c r="B2473" s="166"/>
      <c r="C2473" s="166"/>
      <c r="D2473" s="166"/>
    </row>
    <row r="2474" spans="1:4" x14ac:dyDescent="0.25">
      <c r="A2474" s="167"/>
      <c r="B2474" s="166"/>
      <c r="C2474" s="166"/>
      <c r="D2474" s="166"/>
    </row>
    <row r="2475" spans="1:4" x14ac:dyDescent="0.25">
      <c r="A2475" s="167"/>
      <c r="B2475" s="166"/>
      <c r="C2475" s="166"/>
      <c r="D2475" s="166"/>
    </row>
    <row r="2476" spans="1:4" x14ac:dyDescent="0.25">
      <c r="A2476" s="167"/>
      <c r="B2476" s="166"/>
      <c r="C2476" s="166"/>
      <c r="D2476" s="166"/>
    </row>
    <row r="2477" spans="1:4" x14ac:dyDescent="0.25">
      <c r="A2477" s="167"/>
      <c r="B2477" s="166"/>
      <c r="C2477" s="166"/>
      <c r="D2477" s="166"/>
    </row>
    <row r="2478" spans="1:4" x14ac:dyDescent="0.25">
      <c r="A2478" s="167"/>
      <c r="B2478" s="166"/>
      <c r="C2478" s="166"/>
      <c r="D2478" s="166"/>
    </row>
    <row r="2479" spans="1:4" x14ac:dyDescent="0.25">
      <c r="A2479" s="167"/>
      <c r="B2479" s="166"/>
      <c r="C2479" s="166"/>
      <c r="D2479" s="166"/>
    </row>
    <row r="2480" spans="1:4" x14ac:dyDescent="0.25">
      <c r="A2480" s="167"/>
      <c r="B2480" s="166"/>
      <c r="C2480" s="166"/>
      <c r="D2480" s="166"/>
    </row>
    <row r="2481" spans="1:4" x14ac:dyDescent="0.25">
      <c r="A2481" s="167"/>
      <c r="B2481" s="166"/>
      <c r="C2481" s="166"/>
      <c r="D2481" s="166"/>
    </row>
    <row r="2482" spans="1:4" x14ac:dyDescent="0.25">
      <c r="A2482" s="167"/>
      <c r="B2482" s="166"/>
      <c r="C2482" s="166"/>
      <c r="D2482" s="166"/>
    </row>
    <row r="2483" spans="1:4" x14ac:dyDescent="0.25">
      <c r="A2483" s="167"/>
      <c r="B2483" s="166"/>
      <c r="C2483" s="166"/>
      <c r="D2483" s="166"/>
    </row>
    <row r="2484" spans="1:4" x14ac:dyDescent="0.25">
      <c r="A2484" s="167"/>
      <c r="B2484" s="166"/>
      <c r="C2484" s="166"/>
      <c r="D2484" s="166"/>
    </row>
    <row r="2485" spans="1:4" x14ac:dyDescent="0.25">
      <c r="A2485" s="167"/>
      <c r="B2485" s="166"/>
      <c r="C2485" s="166"/>
      <c r="D2485" s="166"/>
    </row>
    <row r="2486" spans="1:4" x14ac:dyDescent="0.25">
      <c r="A2486" s="167"/>
      <c r="B2486" s="166"/>
      <c r="C2486" s="166"/>
      <c r="D2486" s="166"/>
    </row>
    <row r="2487" spans="1:4" x14ac:dyDescent="0.25">
      <c r="A2487" s="167"/>
      <c r="B2487" s="166"/>
      <c r="C2487" s="166"/>
      <c r="D2487" s="166"/>
    </row>
    <row r="2488" spans="1:4" x14ac:dyDescent="0.25">
      <c r="A2488" s="167"/>
      <c r="B2488" s="166"/>
      <c r="C2488" s="166"/>
      <c r="D2488" s="166"/>
    </row>
    <row r="2489" spans="1:4" x14ac:dyDescent="0.25">
      <c r="A2489" s="167"/>
      <c r="B2489" s="166"/>
      <c r="C2489" s="166"/>
      <c r="D2489" s="166"/>
    </row>
    <row r="2490" spans="1:4" x14ac:dyDescent="0.25">
      <c r="A2490" s="167"/>
      <c r="B2490" s="166"/>
      <c r="C2490" s="166"/>
      <c r="D2490" s="166"/>
    </row>
    <row r="2491" spans="1:4" x14ac:dyDescent="0.25">
      <c r="A2491" s="167"/>
      <c r="B2491" s="166"/>
      <c r="C2491" s="166"/>
      <c r="D2491" s="166"/>
    </row>
    <row r="2492" spans="1:4" x14ac:dyDescent="0.25">
      <c r="A2492" s="167"/>
      <c r="B2492" s="166"/>
      <c r="C2492" s="166"/>
      <c r="D2492" s="166"/>
    </row>
    <row r="2493" spans="1:4" x14ac:dyDescent="0.25">
      <c r="A2493" s="167"/>
      <c r="B2493" s="166"/>
      <c r="C2493" s="166"/>
      <c r="D2493" s="166"/>
    </row>
    <row r="2494" spans="1:4" x14ac:dyDescent="0.25">
      <c r="A2494" s="167"/>
      <c r="B2494" s="166"/>
      <c r="C2494" s="166"/>
      <c r="D2494" s="166"/>
    </row>
    <row r="2495" spans="1:4" x14ac:dyDescent="0.25">
      <c r="A2495" s="167"/>
      <c r="B2495" s="166"/>
      <c r="C2495" s="166"/>
      <c r="D2495" s="166"/>
    </row>
    <row r="2496" spans="1:4" x14ac:dyDescent="0.25">
      <c r="A2496" s="167"/>
      <c r="B2496" s="166"/>
      <c r="C2496" s="166"/>
      <c r="D2496" s="166"/>
    </row>
    <row r="2497" spans="1:4" x14ac:dyDescent="0.25">
      <c r="A2497" s="167"/>
      <c r="B2497" s="166"/>
      <c r="C2497" s="166"/>
      <c r="D2497" s="166"/>
    </row>
    <row r="2498" spans="1:4" x14ac:dyDescent="0.25">
      <c r="A2498" s="167"/>
      <c r="B2498" s="166"/>
      <c r="C2498" s="166"/>
      <c r="D2498" s="166"/>
    </row>
    <row r="2499" spans="1:4" x14ac:dyDescent="0.25">
      <c r="A2499" s="167"/>
      <c r="B2499" s="166"/>
      <c r="C2499" s="166"/>
      <c r="D2499" s="166"/>
    </row>
    <row r="2500" spans="1:4" x14ac:dyDescent="0.25">
      <c r="A2500" s="167"/>
      <c r="B2500" s="166"/>
      <c r="C2500" s="166"/>
      <c r="D2500" s="166"/>
    </row>
    <row r="2501" spans="1:4" x14ac:dyDescent="0.25">
      <c r="A2501" s="167"/>
      <c r="B2501" s="166"/>
      <c r="C2501" s="166"/>
      <c r="D2501" s="166"/>
    </row>
    <row r="2502" spans="1:4" x14ac:dyDescent="0.25">
      <c r="A2502" s="167"/>
      <c r="B2502" s="166"/>
      <c r="C2502" s="166"/>
      <c r="D2502" s="166"/>
    </row>
    <row r="2503" spans="1:4" x14ac:dyDescent="0.25">
      <c r="A2503" s="167"/>
      <c r="B2503" s="166"/>
      <c r="C2503" s="166"/>
      <c r="D2503" s="166"/>
    </row>
    <row r="2504" spans="1:4" x14ac:dyDescent="0.25">
      <c r="A2504" s="167"/>
      <c r="B2504" s="166"/>
      <c r="C2504" s="166"/>
      <c r="D2504" s="166"/>
    </row>
    <row r="2505" spans="1:4" x14ac:dyDescent="0.25">
      <c r="A2505" s="167"/>
      <c r="B2505" s="166"/>
      <c r="C2505" s="166"/>
      <c r="D2505" s="166"/>
    </row>
    <row r="2506" spans="1:4" x14ac:dyDescent="0.25">
      <c r="A2506" s="167"/>
      <c r="B2506" s="166"/>
      <c r="C2506" s="166"/>
      <c r="D2506" s="166"/>
    </row>
    <row r="2507" spans="1:4" x14ac:dyDescent="0.25">
      <c r="A2507" s="167"/>
      <c r="B2507" s="166"/>
      <c r="C2507" s="166"/>
      <c r="D2507" s="166"/>
    </row>
    <row r="2508" spans="1:4" x14ac:dyDescent="0.25">
      <c r="A2508" s="167"/>
      <c r="B2508" s="166"/>
      <c r="C2508" s="166"/>
      <c r="D2508" s="166"/>
    </row>
    <row r="2509" spans="1:4" x14ac:dyDescent="0.25">
      <c r="A2509" s="167"/>
      <c r="B2509" s="166"/>
      <c r="C2509" s="166"/>
      <c r="D2509" s="166"/>
    </row>
    <row r="2510" spans="1:4" x14ac:dyDescent="0.25">
      <c r="A2510" s="167"/>
      <c r="B2510" s="166"/>
      <c r="C2510" s="166"/>
      <c r="D2510" s="166"/>
    </row>
    <row r="2511" spans="1:4" x14ac:dyDescent="0.25">
      <c r="A2511" s="167"/>
      <c r="B2511" s="166"/>
      <c r="C2511" s="166"/>
      <c r="D2511" s="166"/>
    </row>
    <row r="2512" spans="1:4" x14ac:dyDescent="0.25">
      <c r="A2512" s="167"/>
      <c r="B2512" s="166"/>
      <c r="C2512" s="166"/>
      <c r="D2512" s="166"/>
    </row>
    <row r="2513" spans="1:4" x14ac:dyDescent="0.25">
      <c r="A2513" s="167"/>
      <c r="B2513" s="166"/>
      <c r="C2513" s="166"/>
      <c r="D2513" s="166"/>
    </row>
    <row r="2514" spans="1:4" x14ac:dyDescent="0.25">
      <c r="A2514" s="167"/>
      <c r="B2514" s="166"/>
      <c r="C2514" s="166"/>
      <c r="D2514" s="166"/>
    </row>
    <row r="2515" spans="1:4" x14ac:dyDescent="0.25">
      <c r="A2515" s="167"/>
      <c r="B2515" s="166"/>
      <c r="C2515" s="166"/>
      <c r="D2515" s="166"/>
    </row>
    <row r="2516" spans="1:4" x14ac:dyDescent="0.25">
      <c r="A2516" s="167"/>
      <c r="B2516" s="166"/>
      <c r="C2516" s="166"/>
      <c r="D2516" s="166"/>
    </row>
    <row r="2517" spans="1:4" x14ac:dyDescent="0.25">
      <c r="A2517" s="167"/>
      <c r="B2517" s="166"/>
      <c r="C2517" s="166"/>
      <c r="D2517" s="166"/>
    </row>
    <row r="2518" spans="1:4" x14ac:dyDescent="0.25">
      <c r="A2518" s="167"/>
      <c r="B2518" s="166"/>
      <c r="C2518" s="166"/>
      <c r="D2518" s="166"/>
    </row>
    <row r="2519" spans="1:4" x14ac:dyDescent="0.25">
      <c r="A2519" s="167"/>
      <c r="B2519" s="166"/>
      <c r="C2519" s="166"/>
      <c r="D2519" s="166"/>
    </row>
    <row r="2520" spans="1:4" x14ac:dyDescent="0.25">
      <c r="A2520" s="167"/>
      <c r="B2520" s="166"/>
      <c r="C2520" s="166"/>
      <c r="D2520" s="166"/>
    </row>
    <row r="2521" spans="1:4" x14ac:dyDescent="0.25">
      <c r="A2521" s="167"/>
      <c r="B2521" s="166"/>
      <c r="C2521" s="166"/>
      <c r="D2521" s="166"/>
    </row>
    <row r="2522" spans="1:4" x14ac:dyDescent="0.25">
      <c r="A2522" s="167"/>
      <c r="B2522" s="166"/>
      <c r="C2522" s="166"/>
      <c r="D2522" s="166"/>
    </row>
    <row r="2523" spans="1:4" x14ac:dyDescent="0.25">
      <c r="A2523" s="167"/>
      <c r="B2523" s="166"/>
      <c r="C2523" s="166"/>
      <c r="D2523" s="166"/>
    </row>
    <row r="2524" spans="1:4" x14ac:dyDescent="0.25">
      <c r="A2524" s="167"/>
      <c r="B2524" s="166"/>
      <c r="C2524" s="166"/>
      <c r="D2524" s="166"/>
    </row>
    <row r="2525" spans="1:4" x14ac:dyDescent="0.25">
      <c r="A2525" s="167"/>
      <c r="B2525" s="166"/>
      <c r="C2525" s="166"/>
      <c r="D2525" s="166"/>
    </row>
    <row r="2526" spans="1:4" x14ac:dyDescent="0.25">
      <c r="A2526" s="167"/>
      <c r="B2526" s="166"/>
      <c r="C2526" s="166"/>
      <c r="D2526" s="166"/>
    </row>
    <row r="2527" spans="1:4" x14ac:dyDescent="0.25">
      <c r="A2527" s="167"/>
      <c r="B2527" s="166"/>
      <c r="C2527" s="166"/>
      <c r="D2527" s="166"/>
    </row>
    <row r="2528" spans="1:4" x14ac:dyDescent="0.25">
      <c r="A2528" s="167"/>
      <c r="B2528" s="166"/>
      <c r="C2528" s="166"/>
      <c r="D2528" s="166"/>
    </row>
    <row r="2529" spans="1:4" x14ac:dyDescent="0.25">
      <c r="A2529" s="167"/>
      <c r="B2529" s="166"/>
      <c r="C2529" s="166"/>
      <c r="D2529" s="166"/>
    </row>
    <row r="2530" spans="1:4" x14ac:dyDescent="0.25">
      <c r="A2530" s="167"/>
      <c r="B2530" s="166"/>
      <c r="C2530" s="166"/>
      <c r="D2530" s="166"/>
    </row>
    <row r="2531" spans="1:4" x14ac:dyDescent="0.25">
      <c r="A2531" s="167"/>
      <c r="B2531" s="166"/>
      <c r="C2531" s="166"/>
      <c r="D2531" s="166"/>
    </row>
    <row r="2532" spans="1:4" x14ac:dyDescent="0.25">
      <c r="A2532" s="167"/>
      <c r="B2532" s="166"/>
      <c r="C2532" s="166"/>
      <c r="D2532" s="166"/>
    </row>
    <row r="2533" spans="1:4" x14ac:dyDescent="0.25">
      <c r="A2533" s="167"/>
      <c r="B2533" s="166"/>
      <c r="C2533" s="166"/>
      <c r="D2533" s="166"/>
    </row>
    <row r="2534" spans="1:4" x14ac:dyDescent="0.25">
      <c r="A2534" s="167"/>
      <c r="B2534" s="166"/>
      <c r="C2534" s="166"/>
      <c r="D2534" s="166"/>
    </row>
    <row r="2535" spans="1:4" x14ac:dyDescent="0.25">
      <c r="A2535" s="167"/>
      <c r="B2535" s="166"/>
      <c r="C2535" s="166"/>
      <c r="D2535" s="166"/>
    </row>
    <row r="2536" spans="1:4" x14ac:dyDescent="0.25">
      <c r="A2536" s="167"/>
      <c r="B2536" s="166"/>
      <c r="C2536" s="166"/>
      <c r="D2536" s="166"/>
    </row>
    <row r="2537" spans="1:4" x14ac:dyDescent="0.25">
      <c r="A2537" s="167"/>
      <c r="B2537" s="166"/>
      <c r="C2537" s="166"/>
      <c r="D2537" s="166"/>
    </row>
    <row r="2538" spans="1:4" x14ac:dyDescent="0.25">
      <c r="A2538" s="167"/>
      <c r="B2538" s="166"/>
      <c r="C2538" s="166"/>
      <c r="D2538" s="166"/>
    </row>
    <row r="2539" spans="1:4" x14ac:dyDescent="0.25">
      <c r="A2539" s="167"/>
      <c r="B2539" s="166"/>
      <c r="C2539" s="166"/>
      <c r="D2539" s="166"/>
    </row>
    <row r="2540" spans="1:4" x14ac:dyDescent="0.25">
      <c r="A2540" s="167"/>
      <c r="B2540" s="166"/>
      <c r="C2540" s="166"/>
      <c r="D2540" s="166"/>
    </row>
    <row r="2541" spans="1:4" x14ac:dyDescent="0.25">
      <c r="A2541" s="167"/>
      <c r="B2541" s="166"/>
      <c r="C2541" s="166"/>
      <c r="D2541" s="166"/>
    </row>
    <row r="2542" spans="1:4" x14ac:dyDescent="0.25">
      <c r="A2542" s="167"/>
      <c r="B2542" s="166"/>
      <c r="C2542" s="166"/>
      <c r="D2542" s="166"/>
    </row>
    <row r="2543" spans="1:4" x14ac:dyDescent="0.25">
      <c r="A2543" s="167"/>
      <c r="B2543" s="166"/>
      <c r="C2543" s="166"/>
      <c r="D2543" s="166"/>
    </row>
    <row r="2544" spans="1:4" x14ac:dyDescent="0.25">
      <c r="A2544" s="167"/>
      <c r="B2544" s="166"/>
      <c r="C2544" s="166"/>
      <c r="D2544" s="166"/>
    </row>
    <row r="2545" spans="1:4" x14ac:dyDescent="0.25">
      <c r="A2545" s="167"/>
      <c r="B2545" s="166"/>
      <c r="C2545" s="166"/>
      <c r="D2545" s="166"/>
    </row>
    <row r="2546" spans="1:4" x14ac:dyDescent="0.25">
      <c r="A2546" s="167"/>
      <c r="B2546" s="166"/>
      <c r="C2546" s="166"/>
      <c r="D2546" s="166"/>
    </row>
    <row r="2547" spans="1:4" x14ac:dyDescent="0.25">
      <c r="A2547" s="167"/>
      <c r="B2547" s="166"/>
      <c r="C2547" s="166"/>
      <c r="D2547" s="166"/>
    </row>
    <row r="2548" spans="1:4" x14ac:dyDescent="0.25">
      <c r="A2548" s="167"/>
      <c r="B2548" s="166"/>
      <c r="C2548" s="166"/>
      <c r="D2548" s="166"/>
    </row>
    <row r="2549" spans="1:4" x14ac:dyDescent="0.25">
      <c r="A2549" s="167"/>
      <c r="B2549" s="166"/>
      <c r="C2549" s="166"/>
      <c r="D2549" s="166"/>
    </row>
    <row r="2550" spans="1:4" x14ac:dyDescent="0.25">
      <c r="A2550" s="167"/>
      <c r="B2550" s="166"/>
      <c r="C2550" s="166"/>
      <c r="D2550" s="166"/>
    </row>
    <row r="2551" spans="1:4" x14ac:dyDescent="0.25">
      <c r="A2551" s="167"/>
      <c r="B2551" s="166"/>
      <c r="C2551" s="166"/>
      <c r="D2551" s="166"/>
    </row>
    <row r="2552" spans="1:4" x14ac:dyDescent="0.25">
      <c r="A2552" s="167"/>
      <c r="B2552" s="166"/>
      <c r="C2552" s="166"/>
      <c r="D2552" s="166"/>
    </row>
    <row r="2553" spans="1:4" x14ac:dyDescent="0.25">
      <c r="A2553" s="167"/>
      <c r="B2553" s="166"/>
      <c r="C2553" s="166"/>
      <c r="D2553" s="166"/>
    </row>
    <row r="2554" spans="1:4" x14ac:dyDescent="0.25">
      <c r="A2554" s="167"/>
      <c r="B2554" s="166"/>
      <c r="C2554" s="166"/>
      <c r="D2554" s="166"/>
    </row>
    <row r="2555" spans="1:4" x14ac:dyDescent="0.25">
      <c r="A2555" s="167"/>
      <c r="B2555" s="166"/>
      <c r="C2555" s="166"/>
      <c r="D2555" s="166"/>
    </row>
    <row r="2556" spans="1:4" x14ac:dyDescent="0.25">
      <c r="A2556" s="167"/>
      <c r="B2556" s="166"/>
      <c r="C2556" s="166"/>
      <c r="D2556" s="166"/>
    </row>
    <row r="2557" spans="1:4" x14ac:dyDescent="0.25">
      <c r="A2557" s="167"/>
      <c r="B2557" s="166"/>
      <c r="C2557" s="166"/>
      <c r="D2557" s="166"/>
    </row>
    <row r="2558" spans="1:4" x14ac:dyDescent="0.25">
      <c r="A2558" s="167"/>
      <c r="B2558" s="166"/>
      <c r="C2558" s="166"/>
      <c r="D2558" s="166"/>
    </row>
    <row r="2559" spans="1:4" x14ac:dyDescent="0.25">
      <c r="A2559" s="167"/>
      <c r="B2559" s="166"/>
      <c r="C2559" s="166"/>
      <c r="D2559" s="166"/>
    </row>
    <row r="2560" spans="1:4" x14ac:dyDescent="0.25">
      <c r="A2560" s="167"/>
      <c r="B2560" s="166"/>
      <c r="C2560" s="166"/>
      <c r="D2560" s="166"/>
    </row>
    <row r="2561" spans="1:4" x14ac:dyDescent="0.25">
      <c r="A2561" s="167"/>
      <c r="B2561" s="166"/>
      <c r="C2561" s="166"/>
      <c r="D2561" s="166"/>
    </row>
    <row r="2562" spans="1:4" x14ac:dyDescent="0.25">
      <c r="A2562" s="167"/>
      <c r="B2562" s="166"/>
      <c r="C2562" s="166"/>
      <c r="D2562" s="166"/>
    </row>
    <row r="2563" spans="1:4" x14ac:dyDescent="0.25">
      <c r="A2563" s="167"/>
      <c r="B2563" s="166"/>
      <c r="C2563" s="166"/>
      <c r="D2563" s="166"/>
    </row>
    <row r="2564" spans="1:4" x14ac:dyDescent="0.25">
      <c r="A2564" s="167"/>
      <c r="B2564" s="166"/>
      <c r="C2564" s="166"/>
      <c r="D2564" s="166"/>
    </row>
    <row r="2565" spans="1:4" x14ac:dyDescent="0.25">
      <c r="A2565" s="167"/>
      <c r="B2565" s="166"/>
      <c r="C2565" s="166"/>
      <c r="D2565" s="166"/>
    </row>
    <row r="2566" spans="1:4" x14ac:dyDescent="0.25">
      <c r="A2566" s="167"/>
      <c r="B2566" s="166"/>
      <c r="C2566" s="166"/>
      <c r="D2566" s="166"/>
    </row>
    <row r="2567" spans="1:4" x14ac:dyDescent="0.25">
      <c r="A2567" s="167"/>
      <c r="B2567" s="166"/>
      <c r="C2567" s="166"/>
      <c r="D2567" s="166"/>
    </row>
    <row r="2568" spans="1:4" x14ac:dyDescent="0.25">
      <c r="A2568" s="167"/>
      <c r="B2568" s="166"/>
      <c r="C2568" s="166"/>
      <c r="D2568" s="166"/>
    </row>
    <row r="2569" spans="1:4" x14ac:dyDescent="0.25">
      <c r="A2569" s="167"/>
      <c r="B2569" s="166"/>
      <c r="C2569" s="166"/>
      <c r="D2569" s="166"/>
    </row>
    <row r="2570" spans="1:4" x14ac:dyDescent="0.25">
      <c r="A2570" s="167"/>
      <c r="B2570" s="166"/>
      <c r="C2570" s="166"/>
      <c r="D2570" s="166"/>
    </row>
    <row r="2571" spans="1:4" x14ac:dyDescent="0.25">
      <c r="A2571" s="167"/>
      <c r="B2571" s="166"/>
      <c r="C2571" s="166"/>
      <c r="D2571" s="166"/>
    </row>
    <row r="2572" spans="1:4" x14ac:dyDescent="0.25">
      <c r="A2572" s="167"/>
      <c r="B2572" s="166"/>
      <c r="C2572" s="166"/>
      <c r="D2572" s="166"/>
    </row>
    <row r="2573" spans="1:4" x14ac:dyDescent="0.25">
      <c r="A2573" s="167"/>
      <c r="B2573" s="166"/>
      <c r="C2573" s="166"/>
      <c r="D2573" s="166"/>
    </row>
    <row r="2574" spans="1:4" x14ac:dyDescent="0.25">
      <c r="A2574" s="167"/>
      <c r="B2574" s="166"/>
      <c r="C2574" s="166"/>
      <c r="D2574" s="166"/>
    </row>
    <row r="2575" spans="1:4" x14ac:dyDescent="0.25">
      <c r="A2575" s="167"/>
      <c r="B2575" s="166"/>
      <c r="C2575" s="166"/>
      <c r="D2575" s="166"/>
    </row>
    <row r="2576" spans="1:4" x14ac:dyDescent="0.25">
      <c r="A2576" s="167"/>
      <c r="B2576" s="166"/>
      <c r="C2576" s="166"/>
      <c r="D2576" s="166"/>
    </row>
    <row r="2577" spans="1:4" x14ac:dyDescent="0.25">
      <c r="A2577" s="167"/>
      <c r="B2577" s="166"/>
      <c r="C2577" s="166"/>
      <c r="D2577" s="166"/>
    </row>
    <row r="2578" spans="1:4" x14ac:dyDescent="0.25">
      <c r="A2578" s="167"/>
      <c r="B2578" s="166"/>
      <c r="C2578" s="166"/>
      <c r="D2578" s="166"/>
    </row>
    <row r="2579" spans="1:4" x14ac:dyDescent="0.25">
      <c r="A2579" s="167"/>
      <c r="B2579" s="166"/>
      <c r="C2579" s="166"/>
      <c r="D2579" s="166"/>
    </row>
    <row r="2580" spans="1:4" x14ac:dyDescent="0.25">
      <c r="A2580" s="167"/>
      <c r="B2580" s="166"/>
      <c r="C2580" s="166"/>
      <c r="D2580" s="166"/>
    </row>
    <row r="2581" spans="1:4" x14ac:dyDescent="0.25">
      <c r="A2581" s="167"/>
      <c r="B2581" s="166"/>
      <c r="C2581" s="166"/>
      <c r="D2581" s="166"/>
    </row>
    <row r="2582" spans="1:4" x14ac:dyDescent="0.25">
      <c r="A2582" s="167"/>
      <c r="B2582" s="166"/>
      <c r="C2582" s="166"/>
      <c r="D2582" s="166"/>
    </row>
    <row r="2583" spans="1:4" x14ac:dyDescent="0.25">
      <c r="A2583" s="167"/>
      <c r="B2583" s="166"/>
      <c r="C2583" s="166"/>
      <c r="D2583" s="166"/>
    </row>
    <row r="2584" spans="1:4" x14ac:dyDescent="0.25">
      <c r="A2584" s="167"/>
      <c r="B2584" s="166"/>
      <c r="C2584" s="166"/>
      <c r="D2584" s="166"/>
    </row>
    <row r="2585" spans="1:4" x14ac:dyDescent="0.25">
      <c r="A2585" s="167"/>
      <c r="B2585" s="166"/>
      <c r="C2585" s="166"/>
      <c r="D2585" s="166"/>
    </row>
    <row r="2586" spans="1:4" x14ac:dyDescent="0.25">
      <c r="A2586" s="167"/>
      <c r="B2586" s="166"/>
      <c r="C2586" s="166"/>
      <c r="D2586" s="166"/>
    </row>
    <row r="2587" spans="1:4" x14ac:dyDescent="0.25">
      <c r="A2587" s="167"/>
      <c r="B2587" s="166"/>
      <c r="C2587" s="166"/>
      <c r="D2587" s="166"/>
    </row>
    <row r="2588" spans="1:4" x14ac:dyDescent="0.25">
      <c r="A2588" s="167"/>
      <c r="B2588" s="166"/>
      <c r="C2588" s="166"/>
      <c r="D2588" s="166"/>
    </row>
    <row r="2589" spans="1:4" x14ac:dyDescent="0.25">
      <c r="A2589" s="167"/>
      <c r="B2589" s="166"/>
      <c r="C2589" s="166"/>
      <c r="D2589" s="166"/>
    </row>
    <row r="2590" spans="1:4" x14ac:dyDescent="0.25">
      <c r="A2590" s="167"/>
      <c r="B2590" s="166"/>
      <c r="C2590" s="166"/>
      <c r="D2590" s="166"/>
    </row>
    <row r="2591" spans="1:4" x14ac:dyDescent="0.25">
      <c r="A2591" s="167"/>
      <c r="B2591" s="166"/>
      <c r="C2591" s="166"/>
      <c r="D2591" s="166"/>
    </row>
    <row r="2592" spans="1:4" x14ac:dyDescent="0.25">
      <c r="A2592" s="167"/>
      <c r="B2592" s="166"/>
      <c r="C2592" s="166"/>
      <c r="D2592" s="166"/>
    </row>
    <row r="2593" spans="1:4" x14ac:dyDescent="0.25">
      <c r="A2593" s="167"/>
      <c r="B2593" s="166"/>
      <c r="C2593" s="166"/>
      <c r="D2593" s="166"/>
    </row>
    <row r="2594" spans="1:4" x14ac:dyDescent="0.25">
      <c r="A2594" s="167"/>
      <c r="B2594" s="166"/>
      <c r="C2594" s="166"/>
      <c r="D2594" s="166"/>
    </row>
    <row r="2595" spans="1:4" x14ac:dyDescent="0.25">
      <c r="A2595" s="167"/>
      <c r="B2595" s="166"/>
      <c r="C2595" s="166"/>
      <c r="D2595" s="166"/>
    </row>
    <row r="2596" spans="1:4" x14ac:dyDescent="0.25">
      <c r="A2596" s="167"/>
      <c r="B2596" s="166"/>
      <c r="C2596" s="166"/>
      <c r="D2596" s="166"/>
    </row>
    <row r="2597" spans="1:4" x14ac:dyDescent="0.25">
      <c r="A2597" s="167"/>
      <c r="B2597" s="166"/>
      <c r="C2597" s="166"/>
      <c r="D2597" s="166"/>
    </row>
    <row r="2598" spans="1:4" x14ac:dyDescent="0.25">
      <c r="A2598" s="167"/>
      <c r="B2598" s="166"/>
      <c r="C2598" s="166"/>
      <c r="D2598" s="166"/>
    </row>
    <row r="2599" spans="1:4" x14ac:dyDescent="0.25">
      <c r="A2599" s="167"/>
      <c r="B2599" s="166"/>
      <c r="C2599" s="166"/>
      <c r="D2599" s="166"/>
    </row>
    <row r="2600" spans="1:4" x14ac:dyDescent="0.25">
      <c r="A2600" s="167"/>
      <c r="B2600" s="166"/>
      <c r="C2600" s="166"/>
      <c r="D2600" s="166"/>
    </row>
    <row r="2601" spans="1:4" x14ac:dyDescent="0.25">
      <c r="A2601" s="167"/>
      <c r="B2601" s="166"/>
      <c r="C2601" s="166"/>
      <c r="D2601" s="166"/>
    </row>
    <row r="2602" spans="1:4" x14ac:dyDescent="0.25">
      <c r="A2602" s="167"/>
      <c r="B2602" s="166"/>
      <c r="C2602" s="166"/>
      <c r="D2602" s="166"/>
    </row>
    <row r="2603" spans="1:4" x14ac:dyDescent="0.25">
      <c r="A2603" s="167"/>
      <c r="B2603" s="166"/>
      <c r="C2603" s="166"/>
      <c r="D2603" s="166"/>
    </row>
    <row r="2604" spans="1:4" x14ac:dyDescent="0.25">
      <c r="A2604" s="167"/>
      <c r="B2604" s="166"/>
      <c r="C2604" s="166"/>
      <c r="D2604" s="166"/>
    </row>
    <row r="2605" spans="1:4" x14ac:dyDescent="0.25">
      <c r="A2605" s="167"/>
      <c r="B2605" s="166"/>
      <c r="C2605" s="166"/>
      <c r="D2605" s="166"/>
    </row>
    <row r="2606" spans="1:4" x14ac:dyDescent="0.25">
      <c r="A2606" s="167"/>
      <c r="B2606" s="166"/>
      <c r="C2606" s="166"/>
      <c r="D2606" s="166"/>
    </row>
    <row r="2607" spans="1:4" x14ac:dyDescent="0.25">
      <c r="A2607" s="167"/>
      <c r="B2607" s="166"/>
      <c r="C2607" s="166"/>
      <c r="D2607" s="166"/>
    </row>
    <row r="2608" spans="1:4" x14ac:dyDescent="0.25">
      <c r="A2608" s="167"/>
      <c r="B2608" s="166"/>
      <c r="C2608" s="166"/>
      <c r="D2608" s="166"/>
    </row>
    <row r="2609" spans="1:4" x14ac:dyDescent="0.25">
      <c r="A2609" s="167"/>
      <c r="B2609" s="166"/>
      <c r="C2609" s="166"/>
      <c r="D2609" s="166"/>
    </row>
    <row r="2610" spans="1:4" x14ac:dyDescent="0.25">
      <c r="A2610" s="167"/>
      <c r="B2610" s="166"/>
      <c r="C2610" s="166"/>
      <c r="D2610" s="166"/>
    </row>
    <row r="2611" spans="1:4" x14ac:dyDescent="0.25">
      <c r="A2611" s="167"/>
      <c r="B2611" s="166"/>
      <c r="C2611" s="166"/>
      <c r="D2611" s="166"/>
    </row>
    <row r="2612" spans="1:4" x14ac:dyDescent="0.25">
      <c r="A2612" s="167"/>
      <c r="B2612" s="166"/>
      <c r="C2612" s="166"/>
      <c r="D2612" s="166"/>
    </row>
    <row r="2613" spans="1:4" x14ac:dyDescent="0.25">
      <c r="A2613" s="167"/>
      <c r="B2613" s="166"/>
      <c r="C2613" s="166"/>
      <c r="D2613" s="166"/>
    </row>
    <row r="2614" spans="1:4" x14ac:dyDescent="0.25">
      <c r="A2614" s="167"/>
      <c r="B2614" s="166"/>
      <c r="C2614" s="166"/>
      <c r="D2614" s="166"/>
    </row>
    <row r="2615" spans="1:4" x14ac:dyDescent="0.25">
      <c r="A2615" s="167"/>
      <c r="B2615" s="166"/>
      <c r="C2615" s="166"/>
      <c r="D2615" s="166"/>
    </row>
    <row r="2616" spans="1:4" x14ac:dyDescent="0.25">
      <c r="A2616" s="167"/>
      <c r="B2616" s="166"/>
      <c r="C2616" s="166"/>
      <c r="D2616" s="166"/>
    </row>
    <row r="2617" spans="1:4" x14ac:dyDescent="0.25">
      <c r="A2617" s="167"/>
      <c r="B2617" s="166"/>
      <c r="C2617" s="166"/>
      <c r="D2617" s="166"/>
    </row>
    <row r="2618" spans="1:4" x14ac:dyDescent="0.25">
      <c r="A2618" s="167"/>
      <c r="B2618" s="166"/>
      <c r="C2618" s="166"/>
      <c r="D2618" s="166"/>
    </row>
    <row r="2619" spans="1:4" x14ac:dyDescent="0.25">
      <c r="A2619" s="167"/>
      <c r="B2619" s="166"/>
      <c r="C2619" s="166"/>
      <c r="D2619" s="166"/>
    </row>
    <row r="2620" spans="1:4" x14ac:dyDescent="0.25">
      <c r="A2620" s="167"/>
      <c r="B2620" s="166"/>
      <c r="C2620" s="166"/>
      <c r="D2620" s="166"/>
    </row>
    <row r="2621" spans="1:4" x14ac:dyDescent="0.25">
      <c r="A2621" s="167"/>
      <c r="B2621" s="166"/>
      <c r="C2621" s="166"/>
      <c r="D2621" s="166"/>
    </row>
    <row r="2622" spans="1:4" x14ac:dyDescent="0.25">
      <c r="A2622" s="167"/>
      <c r="B2622" s="166"/>
      <c r="C2622" s="166"/>
      <c r="D2622" s="166"/>
    </row>
    <row r="2623" spans="1:4" x14ac:dyDescent="0.25">
      <c r="A2623" s="167"/>
      <c r="B2623" s="166"/>
      <c r="C2623" s="166"/>
      <c r="D2623" s="166"/>
    </row>
    <row r="2624" spans="1:4" x14ac:dyDescent="0.25">
      <c r="A2624" s="167"/>
      <c r="B2624" s="166"/>
      <c r="C2624" s="166"/>
      <c r="D2624" s="166"/>
    </row>
    <row r="2625" spans="1:4" x14ac:dyDescent="0.25">
      <c r="A2625" s="167"/>
      <c r="B2625" s="166"/>
      <c r="C2625" s="166"/>
      <c r="D2625" s="166"/>
    </row>
    <row r="2626" spans="1:4" x14ac:dyDescent="0.25">
      <c r="A2626" s="167"/>
      <c r="B2626" s="166"/>
      <c r="C2626" s="166"/>
      <c r="D2626" s="166"/>
    </row>
    <row r="2627" spans="1:4" x14ac:dyDescent="0.25">
      <c r="A2627" s="167"/>
      <c r="B2627" s="166"/>
      <c r="C2627" s="166"/>
      <c r="D2627" s="166"/>
    </row>
    <row r="2628" spans="1:4" x14ac:dyDescent="0.25">
      <c r="A2628" s="167"/>
      <c r="B2628" s="166"/>
      <c r="C2628" s="166"/>
      <c r="D2628" s="166"/>
    </row>
    <row r="2629" spans="1:4" x14ac:dyDescent="0.25">
      <c r="A2629" s="167"/>
      <c r="B2629" s="166"/>
      <c r="C2629" s="166"/>
      <c r="D2629" s="166"/>
    </row>
    <row r="2630" spans="1:4" x14ac:dyDescent="0.25">
      <c r="A2630" s="167"/>
      <c r="B2630" s="166"/>
      <c r="C2630" s="166"/>
      <c r="D2630" s="166"/>
    </row>
    <row r="2631" spans="1:4" x14ac:dyDescent="0.25">
      <c r="A2631" s="167"/>
      <c r="B2631" s="166"/>
      <c r="C2631" s="166"/>
      <c r="D2631" s="166"/>
    </row>
    <row r="2632" spans="1:4" x14ac:dyDescent="0.25">
      <c r="A2632" s="167"/>
      <c r="B2632" s="166"/>
      <c r="C2632" s="166"/>
      <c r="D2632" s="166"/>
    </row>
    <row r="2633" spans="1:4" x14ac:dyDescent="0.25">
      <c r="A2633" s="167"/>
      <c r="B2633" s="166"/>
      <c r="C2633" s="166"/>
      <c r="D2633" s="166"/>
    </row>
    <row r="2634" spans="1:4" x14ac:dyDescent="0.25">
      <c r="A2634" s="167"/>
      <c r="B2634" s="166"/>
      <c r="C2634" s="166"/>
      <c r="D2634" s="166"/>
    </row>
    <row r="2635" spans="1:4" x14ac:dyDescent="0.25">
      <c r="A2635" s="167"/>
      <c r="B2635" s="166"/>
      <c r="C2635" s="166"/>
      <c r="D2635" s="166"/>
    </row>
    <row r="2636" spans="1:4" x14ac:dyDescent="0.25">
      <c r="A2636" s="167"/>
      <c r="B2636" s="166"/>
      <c r="C2636" s="166"/>
      <c r="D2636" s="166"/>
    </row>
    <row r="2637" spans="1:4" x14ac:dyDescent="0.25">
      <c r="A2637" s="167"/>
      <c r="B2637" s="166"/>
      <c r="C2637" s="166"/>
      <c r="D2637" s="166"/>
    </row>
    <row r="2638" spans="1:4" x14ac:dyDescent="0.25">
      <c r="A2638" s="167"/>
      <c r="B2638" s="166"/>
      <c r="C2638" s="166"/>
      <c r="D2638" s="166"/>
    </row>
    <row r="2639" spans="1:4" x14ac:dyDescent="0.25">
      <c r="A2639" s="167"/>
      <c r="B2639" s="166"/>
      <c r="C2639" s="166"/>
      <c r="D2639" s="166"/>
    </row>
    <row r="2640" spans="1:4" x14ac:dyDescent="0.25">
      <c r="A2640" s="167"/>
      <c r="B2640" s="166"/>
      <c r="C2640" s="166"/>
      <c r="D2640" s="166"/>
    </row>
    <row r="2641" spans="1:4" x14ac:dyDescent="0.25">
      <c r="A2641" s="167"/>
      <c r="B2641" s="166"/>
      <c r="C2641" s="166"/>
      <c r="D2641" s="166"/>
    </row>
    <row r="2642" spans="1:4" x14ac:dyDescent="0.25">
      <c r="A2642" s="167"/>
      <c r="B2642" s="166"/>
      <c r="C2642" s="166"/>
      <c r="D2642" s="166"/>
    </row>
    <row r="2643" spans="1:4" x14ac:dyDescent="0.25">
      <c r="A2643" s="167"/>
      <c r="B2643" s="166"/>
      <c r="C2643" s="166"/>
      <c r="D2643" s="166"/>
    </row>
    <row r="2644" spans="1:4" x14ac:dyDescent="0.25">
      <c r="A2644" s="167"/>
      <c r="B2644" s="166"/>
      <c r="C2644" s="166"/>
      <c r="D2644" s="166"/>
    </row>
    <row r="2645" spans="1:4" x14ac:dyDescent="0.25">
      <c r="A2645" s="167"/>
      <c r="B2645" s="166"/>
      <c r="C2645" s="166"/>
      <c r="D2645" s="166"/>
    </row>
    <row r="2646" spans="1:4" x14ac:dyDescent="0.25">
      <c r="A2646" s="167"/>
      <c r="B2646" s="166"/>
      <c r="C2646" s="166"/>
      <c r="D2646" s="166"/>
    </row>
    <row r="2647" spans="1:4" x14ac:dyDescent="0.25">
      <c r="A2647" s="167"/>
      <c r="B2647" s="166"/>
      <c r="C2647" s="166"/>
      <c r="D2647" s="166"/>
    </row>
    <row r="2648" spans="1:4" x14ac:dyDescent="0.25">
      <c r="A2648" s="167"/>
      <c r="B2648" s="166"/>
      <c r="C2648" s="166"/>
      <c r="D2648" s="166"/>
    </row>
    <row r="2649" spans="1:4" x14ac:dyDescent="0.25">
      <c r="A2649" s="167"/>
      <c r="B2649" s="166"/>
      <c r="C2649" s="166"/>
      <c r="D2649" s="166"/>
    </row>
    <row r="2650" spans="1:4" x14ac:dyDescent="0.25">
      <c r="A2650" s="167"/>
      <c r="B2650" s="166"/>
      <c r="C2650" s="166"/>
      <c r="D2650" s="166"/>
    </row>
    <row r="2651" spans="1:4" x14ac:dyDescent="0.25">
      <c r="A2651" s="167"/>
      <c r="B2651" s="166"/>
      <c r="C2651" s="166"/>
      <c r="D2651" s="166"/>
    </row>
    <row r="2652" spans="1:4" x14ac:dyDescent="0.25">
      <c r="A2652" s="167"/>
      <c r="B2652" s="166"/>
      <c r="C2652" s="166"/>
      <c r="D2652" s="166"/>
    </row>
    <row r="2653" spans="1:4" x14ac:dyDescent="0.25">
      <c r="A2653" s="167"/>
      <c r="B2653" s="166"/>
      <c r="C2653" s="166"/>
      <c r="D2653" s="166"/>
    </row>
    <row r="2654" spans="1:4" x14ac:dyDescent="0.25">
      <c r="A2654" s="167"/>
      <c r="B2654" s="166"/>
      <c r="C2654" s="166"/>
      <c r="D2654" s="166"/>
    </row>
    <row r="2655" spans="1:4" x14ac:dyDescent="0.25">
      <c r="A2655" s="167"/>
      <c r="B2655" s="166"/>
      <c r="C2655" s="166"/>
      <c r="D2655" s="166"/>
    </row>
    <row r="2656" spans="1:4" x14ac:dyDescent="0.25">
      <c r="A2656" s="167"/>
      <c r="B2656" s="166"/>
      <c r="C2656" s="166"/>
      <c r="D2656" s="166"/>
    </row>
    <row r="2657" spans="1:4" x14ac:dyDescent="0.25">
      <c r="A2657" s="167"/>
      <c r="B2657" s="166"/>
      <c r="C2657" s="166"/>
      <c r="D2657" s="166"/>
    </row>
    <row r="2658" spans="1:4" x14ac:dyDescent="0.25">
      <c r="A2658" s="167"/>
      <c r="B2658" s="166"/>
      <c r="C2658" s="166"/>
      <c r="D2658" s="166"/>
    </row>
    <row r="2659" spans="1:4" x14ac:dyDescent="0.25">
      <c r="A2659" s="167"/>
      <c r="B2659" s="166"/>
      <c r="C2659" s="166"/>
      <c r="D2659" s="166"/>
    </row>
    <row r="2660" spans="1:4" x14ac:dyDescent="0.25">
      <c r="A2660" s="167"/>
      <c r="B2660" s="166"/>
      <c r="C2660" s="166"/>
      <c r="D2660" s="166"/>
    </row>
    <row r="2661" spans="1:4" x14ac:dyDescent="0.25">
      <c r="A2661" s="167"/>
      <c r="B2661" s="166"/>
      <c r="C2661" s="166"/>
      <c r="D2661" s="166"/>
    </row>
    <row r="2662" spans="1:4" x14ac:dyDescent="0.25">
      <c r="A2662" s="167"/>
      <c r="B2662" s="166"/>
      <c r="C2662" s="166"/>
      <c r="D2662" s="166"/>
    </row>
    <row r="2663" spans="1:4" x14ac:dyDescent="0.25">
      <c r="A2663" s="167"/>
      <c r="B2663" s="166"/>
      <c r="C2663" s="166"/>
      <c r="D2663" s="166"/>
    </row>
    <row r="2664" spans="1:4" x14ac:dyDescent="0.25">
      <c r="A2664" s="167"/>
      <c r="B2664" s="166"/>
      <c r="C2664" s="166"/>
      <c r="D2664" s="166"/>
    </row>
    <row r="2665" spans="1:4" x14ac:dyDescent="0.25">
      <c r="A2665" s="167"/>
      <c r="B2665" s="166"/>
      <c r="C2665" s="166"/>
      <c r="D2665" s="166"/>
    </row>
    <row r="2666" spans="1:4" x14ac:dyDescent="0.25">
      <c r="A2666" s="167"/>
      <c r="B2666" s="166"/>
      <c r="C2666" s="166"/>
      <c r="D2666" s="166"/>
    </row>
    <row r="2667" spans="1:4" x14ac:dyDescent="0.25">
      <c r="A2667" s="167"/>
      <c r="B2667" s="166"/>
      <c r="C2667" s="166"/>
      <c r="D2667" s="166"/>
    </row>
    <row r="2668" spans="1:4" x14ac:dyDescent="0.25">
      <c r="A2668" s="167"/>
      <c r="B2668" s="166"/>
      <c r="C2668" s="166"/>
      <c r="D2668" s="166"/>
    </row>
    <row r="2669" spans="1:4" x14ac:dyDescent="0.25">
      <c r="A2669" s="167"/>
      <c r="B2669" s="166"/>
      <c r="C2669" s="166"/>
      <c r="D2669" s="166"/>
    </row>
    <row r="2670" spans="1:4" x14ac:dyDescent="0.25">
      <c r="A2670" s="167"/>
      <c r="B2670" s="166"/>
      <c r="C2670" s="166"/>
      <c r="D2670" s="166"/>
    </row>
    <row r="2671" spans="1:4" x14ac:dyDescent="0.25">
      <c r="A2671" s="167"/>
      <c r="B2671" s="166"/>
      <c r="C2671" s="166"/>
      <c r="D2671" s="166"/>
    </row>
    <row r="2672" spans="1:4" x14ac:dyDescent="0.25">
      <c r="A2672" s="167"/>
      <c r="B2672" s="166"/>
      <c r="C2672" s="166"/>
      <c r="D2672" s="166"/>
    </row>
    <row r="2673" spans="1:4" x14ac:dyDescent="0.25">
      <c r="A2673" s="167"/>
      <c r="B2673" s="166"/>
      <c r="C2673" s="166"/>
      <c r="D2673" s="166"/>
    </row>
    <row r="2674" spans="1:4" x14ac:dyDescent="0.25">
      <c r="A2674" s="167"/>
      <c r="B2674" s="166"/>
      <c r="C2674" s="166"/>
      <c r="D2674" s="166"/>
    </row>
    <row r="2675" spans="1:4" x14ac:dyDescent="0.25">
      <c r="A2675" s="167"/>
      <c r="B2675" s="166"/>
      <c r="C2675" s="166"/>
      <c r="D2675" s="166"/>
    </row>
    <row r="2676" spans="1:4" x14ac:dyDescent="0.25">
      <c r="A2676" s="167"/>
      <c r="B2676" s="166"/>
      <c r="C2676" s="166"/>
      <c r="D2676" s="166"/>
    </row>
    <row r="2677" spans="1:4" x14ac:dyDescent="0.25">
      <c r="A2677" s="167"/>
      <c r="B2677" s="166"/>
      <c r="C2677" s="166"/>
      <c r="D2677" s="166"/>
    </row>
    <row r="2678" spans="1:4" x14ac:dyDescent="0.25">
      <c r="A2678" s="167"/>
      <c r="B2678" s="166"/>
      <c r="C2678" s="166"/>
      <c r="D2678" s="166"/>
    </row>
    <row r="2679" spans="1:4" x14ac:dyDescent="0.25">
      <c r="A2679" s="167"/>
      <c r="B2679" s="166"/>
      <c r="C2679" s="166"/>
      <c r="D2679" s="166"/>
    </row>
    <row r="2680" spans="1:4" x14ac:dyDescent="0.25">
      <c r="A2680" s="167"/>
      <c r="B2680" s="166"/>
      <c r="C2680" s="166"/>
      <c r="D2680" s="166"/>
    </row>
    <row r="2681" spans="1:4" x14ac:dyDescent="0.25">
      <c r="A2681" s="167"/>
      <c r="B2681" s="166"/>
      <c r="C2681" s="166"/>
      <c r="D2681" s="166"/>
    </row>
    <row r="2682" spans="1:4" x14ac:dyDescent="0.25">
      <c r="A2682" s="167"/>
      <c r="B2682" s="166"/>
      <c r="C2682" s="166"/>
      <c r="D2682" s="166"/>
    </row>
    <row r="2683" spans="1:4" x14ac:dyDescent="0.25">
      <c r="A2683" s="167"/>
      <c r="B2683" s="166"/>
      <c r="C2683" s="166"/>
      <c r="D2683" s="166"/>
    </row>
    <row r="2684" spans="1:4" x14ac:dyDescent="0.25">
      <c r="A2684" s="167"/>
      <c r="B2684" s="166"/>
      <c r="C2684" s="166"/>
      <c r="D2684" s="166"/>
    </row>
    <row r="2685" spans="1:4" x14ac:dyDescent="0.25">
      <c r="A2685" s="167"/>
      <c r="B2685" s="166"/>
      <c r="C2685" s="166"/>
      <c r="D2685" s="166"/>
    </row>
    <row r="2686" spans="1:4" x14ac:dyDescent="0.25">
      <c r="A2686" s="167"/>
      <c r="B2686" s="166"/>
      <c r="C2686" s="166"/>
      <c r="D2686" s="166"/>
    </row>
    <row r="2687" spans="1:4" x14ac:dyDescent="0.25">
      <c r="A2687" s="167"/>
      <c r="B2687" s="166"/>
      <c r="C2687" s="166"/>
      <c r="D2687" s="166"/>
    </row>
    <row r="2688" spans="1:4" x14ac:dyDescent="0.25">
      <c r="A2688" s="167"/>
      <c r="B2688" s="166"/>
      <c r="C2688" s="166"/>
      <c r="D2688" s="166"/>
    </row>
    <row r="2689" spans="1:4" x14ac:dyDescent="0.25">
      <c r="A2689" s="167"/>
      <c r="B2689" s="166"/>
      <c r="C2689" s="166"/>
      <c r="D2689" s="166"/>
    </row>
    <row r="2690" spans="1:4" x14ac:dyDescent="0.25">
      <c r="A2690" s="167"/>
      <c r="B2690" s="166"/>
      <c r="C2690" s="166"/>
      <c r="D2690" s="166"/>
    </row>
    <row r="2691" spans="1:4" x14ac:dyDescent="0.25">
      <c r="A2691" s="167"/>
      <c r="B2691" s="166"/>
      <c r="C2691" s="166"/>
      <c r="D2691" s="166"/>
    </row>
    <row r="2692" spans="1:4" x14ac:dyDescent="0.25">
      <c r="A2692" s="167"/>
      <c r="B2692" s="166"/>
      <c r="C2692" s="166"/>
      <c r="D2692" s="166"/>
    </row>
    <row r="2693" spans="1:4" x14ac:dyDescent="0.25">
      <c r="A2693" s="167"/>
      <c r="B2693" s="166"/>
      <c r="C2693" s="166"/>
      <c r="D2693" s="166"/>
    </row>
    <row r="2694" spans="1:4" x14ac:dyDescent="0.25">
      <c r="A2694" s="167"/>
      <c r="B2694" s="166"/>
      <c r="C2694" s="166"/>
      <c r="D2694" s="166"/>
    </row>
    <row r="2695" spans="1:4" x14ac:dyDescent="0.25">
      <c r="A2695" s="167"/>
      <c r="B2695" s="166"/>
      <c r="C2695" s="166"/>
      <c r="D2695" s="166"/>
    </row>
    <row r="2696" spans="1:4" x14ac:dyDescent="0.25">
      <c r="A2696" s="167"/>
      <c r="B2696" s="166"/>
      <c r="C2696" s="166"/>
      <c r="D2696" s="166"/>
    </row>
    <row r="2697" spans="1:4" x14ac:dyDescent="0.25">
      <c r="A2697" s="167"/>
      <c r="B2697" s="166"/>
      <c r="C2697" s="166"/>
      <c r="D2697" s="166"/>
    </row>
    <row r="2698" spans="1:4" x14ac:dyDescent="0.25">
      <c r="A2698" s="167"/>
      <c r="B2698" s="166"/>
      <c r="C2698" s="166"/>
      <c r="D2698" s="166"/>
    </row>
    <row r="2699" spans="1:4" x14ac:dyDescent="0.25">
      <c r="C2699" s="3"/>
    </row>
    <row r="2700" spans="1:4" x14ac:dyDescent="0.25">
      <c r="C2700" s="3"/>
    </row>
    <row r="2701" spans="1:4" x14ac:dyDescent="0.25">
      <c r="C2701" s="3"/>
    </row>
    <row r="2702" spans="1:4" x14ac:dyDescent="0.25">
      <c r="C2702" s="3"/>
    </row>
    <row r="2703" spans="1:4" x14ac:dyDescent="0.25">
      <c r="C2703" s="3"/>
    </row>
    <row r="2704" spans="1:4" x14ac:dyDescent="0.25">
      <c r="C2704" s="3"/>
    </row>
    <row r="2705" spans="3:3" x14ac:dyDescent="0.25">
      <c r="C2705" s="3"/>
    </row>
    <row r="2706" spans="3:3" x14ac:dyDescent="0.25">
      <c r="C2706" s="3"/>
    </row>
    <row r="2707" spans="3:3" x14ac:dyDescent="0.25">
      <c r="C2707" s="3"/>
    </row>
    <row r="2708" spans="3:3" x14ac:dyDescent="0.25">
      <c r="C2708" s="3"/>
    </row>
    <row r="2709" spans="3:3" x14ac:dyDescent="0.25">
      <c r="C2709" s="3"/>
    </row>
    <row r="2710" spans="3:3" x14ac:dyDescent="0.25">
      <c r="C2710" s="3"/>
    </row>
    <row r="2711" spans="3:3" x14ac:dyDescent="0.25">
      <c r="C2711" s="3"/>
    </row>
    <row r="2712" spans="3:3" x14ac:dyDescent="0.25">
      <c r="C2712" s="3"/>
    </row>
    <row r="2713" spans="3:3" x14ac:dyDescent="0.25">
      <c r="C2713" s="3"/>
    </row>
    <row r="2714" spans="3:3" x14ac:dyDescent="0.25">
      <c r="C2714" s="3"/>
    </row>
    <row r="2715" spans="3:3" x14ac:dyDescent="0.25">
      <c r="C2715" s="15"/>
    </row>
  </sheetData>
  <sortState ref="A2:D137">
    <sortCondition descending="1" ref="A1:A136"/>
    <sortCondition descending="1" ref="B1:B136"/>
  </sortState>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F12"/>
  <sheetViews>
    <sheetView workbookViewId="0">
      <selection activeCell="E15" sqref="E15"/>
    </sheetView>
  </sheetViews>
  <sheetFormatPr baseColWidth="10" defaultRowHeight="15" x14ac:dyDescent="0.25"/>
  <cols>
    <col min="1" max="1" width="15.85546875" style="15" customWidth="1"/>
    <col min="2" max="2" width="18" style="15" customWidth="1"/>
    <col min="5" max="5" width="19.140625" bestFit="1" customWidth="1"/>
  </cols>
  <sheetData>
    <row r="1" spans="1:6" x14ac:dyDescent="0.25">
      <c r="A1" s="3" t="s">
        <v>247</v>
      </c>
      <c r="B1" s="3" t="s">
        <v>248</v>
      </c>
      <c r="C1" s="3" t="s">
        <v>294</v>
      </c>
      <c r="D1" s="3" t="s">
        <v>295</v>
      </c>
      <c r="E1" s="3" t="s">
        <v>298</v>
      </c>
      <c r="F1" s="3" t="s">
        <v>225</v>
      </c>
    </row>
    <row r="2" spans="1:6" x14ac:dyDescent="0.25">
      <c r="A2" s="172">
        <v>45280.416666666664</v>
      </c>
      <c r="B2" s="172">
        <v>45280.520833333336</v>
      </c>
      <c r="C2" s="3" t="s">
        <v>357</v>
      </c>
      <c r="D2" s="3" t="s">
        <v>358</v>
      </c>
      <c r="E2" s="3">
        <v>3</v>
      </c>
      <c r="F2" s="3">
        <v>1</v>
      </c>
    </row>
    <row r="3" spans="1:6" x14ac:dyDescent="0.25">
      <c r="A3" s="172">
        <v>45280.541666666664</v>
      </c>
      <c r="B3" s="172">
        <v>45280.625</v>
      </c>
      <c r="C3" s="3" t="s">
        <v>359</v>
      </c>
      <c r="D3" s="3" t="s">
        <v>358</v>
      </c>
      <c r="E3" s="3">
        <v>4</v>
      </c>
      <c r="F3" s="3">
        <v>2</v>
      </c>
    </row>
    <row r="4" spans="1:6" x14ac:dyDescent="0.25">
      <c r="A4" s="172">
        <v>45281.458333333336</v>
      </c>
      <c r="B4" s="172">
        <v>45281.541666666664</v>
      </c>
      <c r="C4" s="3" t="s">
        <v>359</v>
      </c>
      <c r="D4" s="3" t="s">
        <v>360</v>
      </c>
      <c r="E4" s="3">
        <v>6</v>
      </c>
      <c r="F4" s="3">
        <v>3</v>
      </c>
    </row>
    <row r="5" spans="1:6" x14ac:dyDescent="0.25">
      <c r="A5" s="172">
        <v>45281.541666666664</v>
      </c>
      <c r="B5" s="172">
        <v>45281.75</v>
      </c>
      <c r="C5" s="3" t="s">
        <v>359</v>
      </c>
      <c r="D5" s="3" t="s">
        <v>360</v>
      </c>
      <c r="E5" s="3">
        <v>5</v>
      </c>
      <c r="F5" s="3">
        <v>4</v>
      </c>
    </row>
    <row r="6" spans="1:6" x14ac:dyDescent="0.25">
      <c r="A6" s="15">
        <v>45280.625</v>
      </c>
      <c r="B6" s="15">
        <v>45280.6875</v>
      </c>
      <c r="C6" s="3" t="s">
        <v>361</v>
      </c>
      <c r="D6" s="3" t="s">
        <v>295</v>
      </c>
      <c r="E6" s="3">
        <v>7</v>
      </c>
      <c r="F6" s="3">
        <v>5</v>
      </c>
    </row>
    <row r="7" spans="1:6" x14ac:dyDescent="0.25">
      <c r="A7" s="15">
        <v>45279.5625</v>
      </c>
      <c r="B7" s="15">
        <v>45279.6875</v>
      </c>
      <c r="C7" s="3" t="s">
        <v>361</v>
      </c>
      <c r="D7" s="3" t="s">
        <v>362</v>
      </c>
      <c r="E7" s="3">
        <v>9</v>
      </c>
      <c r="F7" s="3">
        <v>6</v>
      </c>
    </row>
    <row r="8" spans="1:6" x14ac:dyDescent="0.25">
      <c r="A8" s="15">
        <v>45301.375</v>
      </c>
      <c r="B8" s="15">
        <v>45301.458333333336</v>
      </c>
      <c r="C8" s="3" t="s">
        <v>361</v>
      </c>
      <c r="D8" s="3" t="s">
        <v>295</v>
      </c>
      <c r="E8" s="3">
        <v>11</v>
      </c>
      <c r="F8" s="3">
        <v>8</v>
      </c>
    </row>
    <row r="9" spans="1:6" x14ac:dyDescent="0.25">
      <c r="A9" s="15">
        <v>45299.416666666664</v>
      </c>
      <c r="B9" s="15">
        <v>45299.5</v>
      </c>
      <c r="C9" s="3" t="s">
        <v>359</v>
      </c>
      <c r="D9" s="3" t="s">
        <v>358</v>
      </c>
      <c r="E9" s="3">
        <v>15</v>
      </c>
      <c r="F9" s="3">
        <v>9</v>
      </c>
    </row>
    <row r="10" spans="1:6" x14ac:dyDescent="0.25">
      <c r="A10" s="15">
        <v>45302.416666666664</v>
      </c>
      <c r="B10" s="15">
        <v>45302.541666666664</v>
      </c>
      <c r="C10" s="3" t="s">
        <v>394</v>
      </c>
      <c r="D10" s="3" t="s">
        <v>358</v>
      </c>
      <c r="E10" s="3">
        <v>13</v>
      </c>
      <c r="F10" s="3">
        <v>10</v>
      </c>
    </row>
    <row r="11" spans="1:6" x14ac:dyDescent="0.25">
      <c r="A11" s="15">
        <v>45303.416666666664</v>
      </c>
      <c r="B11" s="15">
        <v>45303.520833333336</v>
      </c>
      <c r="C11" s="3" t="s">
        <v>395</v>
      </c>
      <c r="D11" s="3" t="s">
        <v>396</v>
      </c>
      <c r="E11" s="3"/>
      <c r="F11" s="3">
        <v>11</v>
      </c>
    </row>
    <row r="12" spans="1:6" x14ac:dyDescent="0.25">
      <c r="A12" s="15">
        <v>45300.375</v>
      </c>
      <c r="B12" s="15">
        <v>45300.458333333336</v>
      </c>
      <c r="C12" t="s">
        <v>394</v>
      </c>
      <c r="D12" t="s">
        <v>358</v>
      </c>
      <c r="E12">
        <v>19</v>
      </c>
      <c r="F12">
        <v>12</v>
      </c>
    </row>
  </sheetData>
  <dataConsolidate/>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B34"/>
  <sheetViews>
    <sheetView topLeftCell="A7" workbookViewId="0">
      <selection activeCell="A28" sqref="A28"/>
    </sheetView>
  </sheetViews>
  <sheetFormatPr baseColWidth="10" defaultRowHeight="15" x14ac:dyDescent="0.25"/>
  <cols>
    <col min="1" max="1" width="15.28515625" customWidth="1"/>
  </cols>
  <sheetData>
    <row r="1" spans="1:2" x14ac:dyDescent="0.25">
      <c r="A1" s="3" t="s">
        <v>296</v>
      </c>
      <c r="B1" s="3" t="s">
        <v>207</v>
      </c>
    </row>
    <row r="2" spans="1:2" x14ac:dyDescent="0.25">
      <c r="A2" s="3">
        <v>2</v>
      </c>
      <c r="B2" s="3">
        <v>8302</v>
      </c>
    </row>
    <row r="3" spans="1:2" x14ac:dyDescent="0.25">
      <c r="A3" s="3">
        <v>2</v>
      </c>
      <c r="B3" s="3">
        <v>7590</v>
      </c>
    </row>
    <row r="4" spans="1:2" x14ac:dyDescent="0.25">
      <c r="A4" s="3">
        <v>2</v>
      </c>
      <c r="B4" s="3">
        <v>7826</v>
      </c>
    </row>
    <row r="5" spans="1:2" x14ac:dyDescent="0.25">
      <c r="A5" s="3">
        <v>2</v>
      </c>
      <c r="B5" s="3">
        <v>7607</v>
      </c>
    </row>
    <row r="6" spans="1:2" x14ac:dyDescent="0.25">
      <c r="A6" s="3">
        <v>2</v>
      </c>
      <c r="B6" s="3">
        <v>8106</v>
      </c>
    </row>
    <row r="7" spans="1:2" x14ac:dyDescent="0.25">
      <c r="A7" s="3">
        <v>1</v>
      </c>
      <c r="B7" s="3">
        <v>7884</v>
      </c>
    </row>
    <row r="8" spans="1:2" x14ac:dyDescent="0.25">
      <c r="A8" s="3">
        <v>4</v>
      </c>
      <c r="B8" s="3">
        <v>7884</v>
      </c>
    </row>
    <row r="9" spans="1:2" x14ac:dyDescent="0.25">
      <c r="A9" s="3">
        <v>4</v>
      </c>
      <c r="B9" s="3">
        <v>8308</v>
      </c>
    </row>
    <row r="10" spans="1:2" x14ac:dyDescent="0.25">
      <c r="A10" s="3">
        <v>4</v>
      </c>
      <c r="B10" s="3">
        <v>7739</v>
      </c>
    </row>
    <row r="11" spans="1:2" x14ac:dyDescent="0.25">
      <c r="A11" s="3">
        <v>1</v>
      </c>
      <c r="B11" s="3">
        <v>9245</v>
      </c>
    </row>
    <row r="12" spans="1:2" x14ac:dyDescent="0.25">
      <c r="A12" s="3">
        <v>1</v>
      </c>
      <c r="B12" s="3">
        <v>7826</v>
      </c>
    </row>
    <row r="13" spans="1:2" x14ac:dyDescent="0.25">
      <c r="A13" s="3">
        <v>4</v>
      </c>
      <c r="B13" s="3">
        <v>7595</v>
      </c>
    </row>
    <row r="14" spans="1:2" x14ac:dyDescent="0.25">
      <c r="A14" s="3">
        <v>4</v>
      </c>
      <c r="B14" s="3">
        <v>7938</v>
      </c>
    </row>
    <row r="15" spans="1:2" x14ac:dyDescent="0.25">
      <c r="A15" s="3">
        <v>3</v>
      </c>
      <c r="B15" s="3">
        <v>8308</v>
      </c>
    </row>
    <row r="16" spans="1:2" x14ac:dyDescent="0.25">
      <c r="A16" s="3">
        <v>3</v>
      </c>
      <c r="B16" s="3">
        <v>7938</v>
      </c>
    </row>
    <row r="17" spans="1:2" x14ac:dyDescent="0.25">
      <c r="A17" s="3">
        <v>3</v>
      </c>
      <c r="B17" s="3">
        <v>7590</v>
      </c>
    </row>
    <row r="18" spans="1:2" x14ac:dyDescent="0.25">
      <c r="A18" s="3">
        <v>3</v>
      </c>
      <c r="B18" s="3">
        <v>9245</v>
      </c>
    </row>
    <row r="19" spans="1:2" x14ac:dyDescent="0.25">
      <c r="A19" s="3">
        <v>5</v>
      </c>
      <c r="B19" s="3">
        <v>7595</v>
      </c>
    </row>
    <row r="20" spans="1:2" x14ac:dyDescent="0.25">
      <c r="A20" s="3">
        <v>5</v>
      </c>
      <c r="B20" s="3">
        <v>7840</v>
      </c>
    </row>
    <row r="21" spans="1:2" x14ac:dyDescent="0.25">
      <c r="A21" s="3">
        <v>5</v>
      </c>
      <c r="B21" s="3">
        <v>7739</v>
      </c>
    </row>
    <row r="22" spans="1:2" x14ac:dyDescent="0.25">
      <c r="A22" s="3">
        <v>6</v>
      </c>
      <c r="B22" s="3">
        <v>8308</v>
      </c>
    </row>
    <row r="23" spans="1:2" x14ac:dyDescent="0.25">
      <c r="A23" s="3">
        <v>6</v>
      </c>
      <c r="B23" s="3">
        <v>7739</v>
      </c>
    </row>
    <row r="24" spans="1:2" x14ac:dyDescent="0.25">
      <c r="A24" s="3">
        <v>6</v>
      </c>
      <c r="B24" s="3">
        <v>7589</v>
      </c>
    </row>
    <row r="25" spans="1:2" x14ac:dyDescent="0.25">
      <c r="A25" s="3">
        <v>9</v>
      </c>
      <c r="B25" s="3">
        <v>7590</v>
      </c>
    </row>
    <row r="26" spans="1:2" x14ac:dyDescent="0.25">
      <c r="A26" s="3">
        <v>9</v>
      </c>
      <c r="B26" s="3">
        <v>7841</v>
      </c>
    </row>
    <row r="27" spans="1:2" x14ac:dyDescent="0.25">
      <c r="A27" s="3">
        <v>9</v>
      </c>
      <c r="B27" s="3">
        <v>7890</v>
      </c>
    </row>
    <row r="28" spans="1:2" x14ac:dyDescent="0.25">
      <c r="A28" s="3">
        <v>11</v>
      </c>
      <c r="B28" s="3">
        <v>7589</v>
      </c>
    </row>
    <row r="29" spans="1:2" x14ac:dyDescent="0.25">
      <c r="A29">
        <v>12</v>
      </c>
      <c r="B29">
        <v>8302</v>
      </c>
    </row>
    <row r="30" spans="1:2" x14ac:dyDescent="0.25">
      <c r="A30">
        <v>12</v>
      </c>
      <c r="B30">
        <v>7590</v>
      </c>
    </row>
    <row r="31" spans="1:2" x14ac:dyDescent="0.25">
      <c r="A31">
        <v>12</v>
      </c>
      <c r="B31">
        <v>7890</v>
      </c>
    </row>
    <row r="32" spans="1:2" x14ac:dyDescent="0.25">
      <c r="A32">
        <v>12</v>
      </c>
      <c r="B32">
        <v>7605</v>
      </c>
    </row>
    <row r="33" spans="1:2" x14ac:dyDescent="0.25">
      <c r="A33">
        <v>12</v>
      </c>
      <c r="B33">
        <v>8124</v>
      </c>
    </row>
    <row r="34" spans="1:2" x14ac:dyDescent="0.25">
      <c r="A34">
        <v>8</v>
      </c>
      <c r="B34">
        <v>8106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E326"/>
  <sheetViews>
    <sheetView workbookViewId="0">
      <selection activeCell="E8" sqref="E8"/>
    </sheetView>
  </sheetViews>
  <sheetFormatPr baseColWidth="10" defaultRowHeight="15" x14ac:dyDescent="0.25"/>
  <cols>
    <col min="3" max="3" width="11.42578125" style="173"/>
    <col min="4" max="4" width="18.85546875" style="173" customWidth="1"/>
  </cols>
  <sheetData>
    <row r="1" spans="1:5" x14ac:dyDescent="0.25">
      <c r="A1" s="3" t="s">
        <v>207</v>
      </c>
      <c r="B1" s="3" t="s">
        <v>216</v>
      </c>
      <c r="C1" s="173" t="s">
        <v>341</v>
      </c>
      <c r="D1" s="173" t="s">
        <v>342</v>
      </c>
      <c r="E1" s="3" t="s">
        <v>343</v>
      </c>
    </row>
    <row r="2" spans="1:5" x14ac:dyDescent="0.25">
      <c r="A2" s="3">
        <v>9857</v>
      </c>
      <c r="B2" s="15">
        <v>45272</v>
      </c>
      <c r="C2" s="173">
        <v>0.32500000000000001</v>
      </c>
      <c r="D2" s="173">
        <v>0.35069444444444442</v>
      </c>
      <c r="E2" s="3">
        <v>0</v>
      </c>
    </row>
    <row r="3" spans="1:5" x14ac:dyDescent="0.25">
      <c r="A3" s="3">
        <v>9245</v>
      </c>
      <c r="B3" s="15">
        <v>45272</v>
      </c>
      <c r="C3" s="173">
        <v>0.36458333333333331</v>
      </c>
      <c r="D3" s="173">
        <v>0</v>
      </c>
      <c r="E3" s="3">
        <v>0.36458333333333331</v>
      </c>
    </row>
    <row r="4" spans="1:5" x14ac:dyDescent="0.25">
      <c r="A4" s="3">
        <v>9232</v>
      </c>
      <c r="B4" s="15">
        <v>45272</v>
      </c>
      <c r="C4" s="173">
        <v>0.29166666666666669</v>
      </c>
      <c r="D4" s="173">
        <v>0</v>
      </c>
      <c r="E4" s="3">
        <v>0.29166666666666669</v>
      </c>
    </row>
    <row r="5" spans="1:5" x14ac:dyDescent="0.25">
      <c r="A5" s="3">
        <v>8887</v>
      </c>
      <c r="B5" s="15">
        <v>45272</v>
      </c>
      <c r="C5" s="173">
        <v>0.32500000000000001</v>
      </c>
      <c r="D5" s="173">
        <v>0</v>
      </c>
      <c r="E5" s="3">
        <v>0.32500000000000001</v>
      </c>
    </row>
    <row r="6" spans="1:5" x14ac:dyDescent="0.25">
      <c r="A6" s="3">
        <v>8308</v>
      </c>
      <c r="B6" s="15">
        <v>45272</v>
      </c>
      <c r="C6" s="173">
        <v>0.36458333333333331</v>
      </c>
      <c r="D6" s="173">
        <v>0.39791666666666664</v>
      </c>
      <c r="E6" s="3">
        <v>4.8611111111111112E-3</v>
      </c>
    </row>
    <row r="7" spans="1:5" x14ac:dyDescent="0.25">
      <c r="A7" s="3">
        <v>8306</v>
      </c>
      <c r="B7" s="15">
        <v>45272</v>
      </c>
      <c r="C7" s="173">
        <v>0.36458333333333331</v>
      </c>
      <c r="D7" s="173">
        <v>0</v>
      </c>
      <c r="E7" s="3">
        <v>0.36458333333333331</v>
      </c>
    </row>
    <row r="8" spans="1:5" x14ac:dyDescent="0.25">
      <c r="A8" s="3">
        <v>8302</v>
      </c>
      <c r="B8" s="15">
        <v>45272</v>
      </c>
      <c r="C8" s="173">
        <v>0.36458333333333331</v>
      </c>
      <c r="D8" s="173">
        <v>0</v>
      </c>
      <c r="E8" s="3">
        <v>0.36458333333333331</v>
      </c>
    </row>
    <row r="9" spans="1:5" x14ac:dyDescent="0.25">
      <c r="A9" s="3">
        <v>8228</v>
      </c>
      <c r="B9" s="15">
        <v>45272</v>
      </c>
      <c r="C9" s="173">
        <v>0.32500000000000001</v>
      </c>
      <c r="D9" s="173">
        <v>0.37083333333333335</v>
      </c>
      <c r="E9" s="3">
        <v>0</v>
      </c>
    </row>
    <row r="10" spans="1:5" x14ac:dyDescent="0.25">
      <c r="A10" s="3">
        <v>8218</v>
      </c>
      <c r="B10" s="15">
        <v>45272</v>
      </c>
      <c r="C10" s="173">
        <v>0</v>
      </c>
      <c r="D10" s="173">
        <v>0</v>
      </c>
      <c r="E10" s="3">
        <v>0</v>
      </c>
    </row>
    <row r="11" spans="1:5" x14ac:dyDescent="0.25">
      <c r="A11" s="3">
        <v>8217</v>
      </c>
      <c r="B11" s="15">
        <v>45272</v>
      </c>
      <c r="C11" s="173">
        <v>0.29166666666666669</v>
      </c>
      <c r="D11" s="173">
        <v>0</v>
      </c>
      <c r="E11" s="3">
        <v>0.29166666666666669</v>
      </c>
    </row>
    <row r="12" spans="1:5" x14ac:dyDescent="0.25">
      <c r="A12" s="3">
        <v>8124</v>
      </c>
      <c r="B12" s="15">
        <v>45272</v>
      </c>
      <c r="C12" s="173">
        <v>0.29166666666666669</v>
      </c>
      <c r="D12" s="173">
        <v>0.30486111111111114</v>
      </c>
      <c r="E12" s="3">
        <v>0</v>
      </c>
    </row>
    <row r="13" spans="1:5" x14ac:dyDescent="0.25">
      <c r="A13" s="3">
        <v>8123</v>
      </c>
      <c r="B13" s="15">
        <v>45272</v>
      </c>
      <c r="C13" s="173">
        <v>0.41666666666666669</v>
      </c>
      <c r="D13" s="173">
        <v>0.41597222222222224</v>
      </c>
      <c r="E13" s="3">
        <v>0</v>
      </c>
    </row>
    <row r="14" spans="1:5" x14ac:dyDescent="0.25">
      <c r="A14" s="3">
        <v>8122</v>
      </c>
      <c r="B14" s="15">
        <v>45272</v>
      </c>
      <c r="C14" s="173">
        <v>0.36458333333333331</v>
      </c>
      <c r="D14" s="173">
        <v>0.41597222222222224</v>
      </c>
      <c r="E14" s="3">
        <v>0</v>
      </c>
    </row>
    <row r="15" spans="1:5" x14ac:dyDescent="0.25">
      <c r="A15" s="3">
        <v>8106</v>
      </c>
      <c r="B15" s="15">
        <v>45272</v>
      </c>
      <c r="C15" s="173">
        <v>0.36458333333333331</v>
      </c>
      <c r="D15" s="173">
        <v>0.29375000000000001</v>
      </c>
      <c r="E15" s="3">
        <v>0</v>
      </c>
    </row>
    <row r="16" spans="1:5" x14ac:dyDescent="0.25">
      <c r="A16" s="3">
        <v>7973</v>
      </c>
      <c r="B16" s="15">
        <v>45272</v>
      </c>
      <c r="C16" s="173">
        <v>0</v>
      </c>
      <c r="D16" s="173">
        <v>0</v>
      </c>
      <c r="E16" s="3">
        <v>0</v>
      </c>
    </row>
    <row r="17" spans="1:5" x14ac:dyDescent="0.25">
      <c r="A17" s="3">
        <v>7938</v>
      </c>
      <c r="B17" s="15">
        <v>45272</v>
      </c>
      <c r="C17" s="173">
        <v>0.41666666666666669</v>
      </c>
      <c r="D17" s="173">
        <v>0.41319444444444442</v>
      </c>
      <c r="E17" s="3">
        <v>0</v>
      </c>
    </row>
    <row r="18" spans="1:5" x14ac:dyDescent="0.25">
      <c r="A18" s="3">
        <v>7935</v>
      </c>
      <c r="B18" s="15">
        <v>45272</v>
      </c>
      <c r="C18" s="173">
        <v>0.36458333333333331</v>
      </c>
      <c r="D18" s="173">
        <v>0.34444444444444444</v>
      </c>
      <c r="E18" s="3">
        <v>0</v>
      </c>
    </row>
    <row r="19" spans="1:5" x14ac:dyDescent="0.25">
      <c r="A19" s="3">
        <v>7890</v>
      </c>
      <c r="B19" s="15">
        <v>45272</v>
      </c>
      <c r="C19" s="173">
        <v>0.29166666666666669</v>
      </c>
      <c r="D19" s="173">
        <v>0.29583333333333334</v>
      </c>
      <c r="E19" s="3">
        <v>0</v>
      </c>
    </row>
    <row r="20" spans="1:5" x14ac:dyDescent="0.25">
      <c r="A20" s="3">
        <v>7888</v>
      </c>
      <c r="B20" s="15">
        <v>45272</v>
      </c>
      <c r="C20" s="173">
        <v>0.41666666666666669</v>
      </c>
      <c r="D20" s="173">
        <v>0.40972222222222221</v>
      </c>
      <c r="E20" s="3">
        <v>0</v>
      </c>
    </row>
    <row r="21" spans="1:5" x14ac:dyDescent="0.25">
      <c r="A21" s="3">
        <v>7884</v>
      </c>
      <c r="B21" s="15">
        <v>45272</v>
      </c>
      <c r="C21" s="173">
        <v>0.29166666666666669</v>
      </c>
      <c r="D21" s="173">
        <v>0.29652777777777778</v>
      </c>
      <c r="E21" s="3">
        <v>0</v>
      </c>
    </row>
    <row r="22" spans="1:5" x14ac:dyDescent="0.25">
      <c r="A22" s="3">
        <v>7846</v>
      </c>
      <c r="B22" s="15">
        <v>45272</v>
      </c>
      <c r="C22" s="173">
        <v>0.32500000000000001</v>
      </c>
      <c r="D22" s="173">
        <v>0.35486111111111113</v>
      </c>
      <c r="E22" s="3">
        <v>0</v>
      </c>
    </row>
    <row r="23" spans="1:5" x14ac:dyDescent="0.25">
      <c r="A23" s="3">
        <v>7841</v>
      </c>
      <c r="B23" s="15">
        <v>45272</v>
      </c>
      <c r="C23" s="173">
        <v>0.29166666666666669</v>
      </c>
      <c r="D23" s="173">
        <v>0</v>
      </c>
      <c r="E23" s="3">
        <v>0.29166666666666669</v>
      </c>
    </row>
    <row r="24" spans="1:5" x14ac:dyDescent="0.25">
      <c r="A24" s="3">
        <v>7840</v>
      </c>
      <c r="B24" s="15">
        <v>45272</v>
      </c>
      <c r="C24" s="173">
        <v>0.41666666666666669</v>
      </c>
      <c r="D24" s="173">
        <v>0.41249999999999998</v>
      </c>
      <c r="E24" s="3">
        <v>0</v>
      </c>
    </row>
    <row r="25" spans="1:5" x14ac:dyDescent="0.25">
      <c r="A25" s="3">
        <v>7820</v>
      </c>
      <c r="B25" s="15">
        <v>45272</v>
      </c>
      <c r="C25" s="173">
        <v>0.36458333333333331</v>
      </c>
      <c r="D25" s="173">
        <v>0.29652777777777778</v>
      </c>
      <c r="E25" s="3">
        <v>0</v>
      </c>
    </row>
    <row r="26" spans="1:5" x14ac:dyDescent="0.25">
      <c r="A26" s="3">
        <v>7739</v>
      </c>
      <c r="B26" s="15">
        <v>45272</v>
      </c>
      <c r="C26" s="173">
        <v>0.33333333333333331</v>
      </c>
      <c r="D26" s="173">
        <v>0.4</v>
      </c>
      <c r="E26" s="3">
        <v>0</v>
      </c>
    </row>
    <row r="27" spans="1:5" x14ac:dyDescent="0.25">
      <c r="A27" s="3">
        <v>7607</v>
      </c>
      <c r="B27" s="15">
        <v>45272</v>
      </c>
      <c r="C27" s="173">
        <v>0.16666666666666666</v>
      </c>
      <c r="D27" s="173">
        <v>0.16666666666666666</v>
      </c>
      <c r="E27" s="3">
        <v>0</v>
      </c>
    </row>
    <row r="28" spans="1:5" x14ac:dyDescent="0.25">
      <c r="A28" s="3">
        <v>7605</v>
      </c>
      <c r="B28" s="15">
        <v>45272</v>
      </c>
      <c r="C28" s="173">
        <v>0</v>
      </c>
      <c r="D28" s="173">
        <v>0</v>
      </c>
      <c r="E28" s="3">
        <v>0</v>
      </c>
    </row>
    <row r="29" spans="1:5" x14ac:dyDescent="0.25">
      <c r="A29" s="3">
        <v>7603</v>
      </c>
      <c r="B29" s="15">
        <v>45272</v>
      </c>
      <c r="C29" s="173">
        <v>0.32500000000000001</v>
      </c>
      <c r="D29" s="173">
        <v>0</v>
      </c>
      <c r="E29" s="3">
        <v>0.32500000000000001</v>
      </c>
    </row>
    <row r="30" spans="1:5" x14ac:dyDescent="0.25">
      <c r="A30" s="3">
        <v>7595</v>
      </c>
      <c r="B30" s="15">
        <v>45272</v>
      </c>
      <c r="C30" s="173">
        <v>0.36458333333333331</v>
      </c>
      <c r="D30" s="173">
        <v>0</v>
      </c>
      <c r="E30" s="3">
        <v>0.36458333333333331</v>
      </c>
    </row>
    <row r="31" spans="1:5" x14ac:dyDescent="0.25">
      <c r="A31" s="3">
        <v>7592</v>
      </c>
      <c r="B31" s="15">
        <v>45272</v>
      </c>
      <c r="C31" s="173">
        <v>0.25</v>
      </c>
      <c r="D31" s="173">
        <v>0.25555555555555554</v>
      </c>
      <c r="E31" s="3">
        <v>0</v>
      </c>
    </row>
    <row r="32" spans="1:5" x14ac:dyDescent="0.25">
      <c r="A32" s="3">
        <v>7590</v>
      </c>
      <c r="B32" s="15">
        <v>45272</v>
      </c>
      <c r="C32" s="173">
        <v>0.16666666666666666</v>
      </c>
      <c r="D32" s="173">
        <v>0.16319444444444445</v>
      </c>
      <c r="E32" s="3">
        <v>0</v>
      </c>
    </row>
    <row r="33" spans="1:5" x14ac:dyDescent="0.25">
      <c r="A33" s="3">
        <v>7589</v>
      </c>
      <c r="B33" s="15">
        <v>45272</v>
      </c>
      <c r="C33" s="173">
        <v>0.29166666666666669</v>
      </c>
      <c r="D33" s="173">
        <v>0</v>
      </c>
      <c r="E33" s="3">
        <v>0.29166666666666669</v>
      </c>
    </row>
    <row r="34" spans="1:5" x14ac:dyDescent="0.25">
      <c r="A34" s="3">
        <v>9857</v>
      </c>
      <c r="B34" s="15">
        <v>45271</v>
      </c>
      <c r="C34" s="173">
        <v>0.32500000000000001</v>
      </c>
      <c r="D34" s="173">
        <v>0.17291666666666666</v>
      </c>
      <c r="E34" s="3">
        <v>0</v>
      </c>
    </row>
    <row r="35" spans="1:5" x14ac:dyDescent="0.25">
      <c r="A35" s="3">
        <v>9245</v>
      </c>
      <c r="B35" s="15">
        <v>45271</v>
      </c>
      <c r="C35" s="173">
        <v>0</v>
      </c>
      <c r="D35" s="173">
        <v>0</v>
      </c>
      <c r="E35" s="3">
        <v>0</v>
      </c>
    </row>
    <row r="36" spans="1:5" x14ac:dyDescent="0.25">
      <c r="A36" s="3">
        <v>9232</v>
      </c>
      <c r="B36" s="15">
        <v>45271</v>
      </c>
      <c r="C36" s="173">
        <v>0.41666666666666669</v>
      </c>
      <c r="D36" s="173">
        <v>0</v>
      </c>
      <c r="E36" s="3">
        <v>0.41666666666666669</v>
      </c>
    </row>
    <row r="37" spans="1:5" x14ac:dyDescent="0.25">
      <c r="A37" s="3">
        <v>8887</v>
      </c>
      <c r="B37" s="15">
        <v>45271</v>
      </c>
      <c r="C37" s="173">
        <v>0.32500000000000001</v>
      </c>
      <c r="D37" s="173">
        <v>0</v>
      </c>
      <c r="E37" s="3">
        <v>0.32500000000000001</v>
      </c>
    </row>
    <row r="38" spans="1:5" x14ac:dyDescent="0.25">
      <c r="A38" s="3">
        <v>8308</v>
      </c>
      <c r="B38" s="15">
        <v>45271</v>
      </c>
      <c r="C38" s="173">
        <v>0.36458333333333331</v>
      </c>
      <c r="D38" s="173">
        <v>0.41319444444444442</v>
      </c>
      <c r="E38" s="3">
        <v>0</v>
      </c>
    </row>
    <row r="39" spans="1:5" x14ac:dyDescent="0.25">
      <c r="A39" s="3">
        <v>8306</v>
      </c>
      <c r="B39" s="15">
        <v>45271</v>
      </c>
      <c r="C39" s="173">
        <v>0.16666666666666666</v>
      </c>
      <c r="D39" s="173">
        <v>0</v>
      </c>
      <c r="E39" s="3">
        <v>0.16666666666666666</v>
      </c>
    </row>
    <row r="40" spans="1:5" x14ac:dyDescent="0.25">
      <c r="A40" s="3">
        <v>8302</v>
      </c>
      <c r="B40" s="15">
        <v>45271</v>
      </c>
      <c r="C40" s="173">
        <v>0.16666666666666666</v>
      </c>
      <c r="D40" s="173">
        <v>0</v>
      </c>
      <c r="E40" s="3">
        <v>0</v>
      </c>
    </row>
    <row r="41" spans="1:5" x14ac:dyDescent="0.25">
      <c r="A41" s="3">
        <v>8228</v>
      </c>
      <c r="B41" s="15">
        <v>45271</v>
      </c>
      <c r="C41" s="173">
        <v>0.32500000000000001</v>
      </c>
      <c r="D41" s="173">
        <v>0</v>
      </c>
      <c r="E41" s="3">
        <v>0.32500000000000001</v>
      </c>
    </row>
    <row r="42" spans="1:5" x14ac:dyDescent="0.25">
      <c r="A42" s="3">
        <v>8218</v>
      </c>
      <c r="B42" s="15">
        <v>45271</v>
      </c>
      <c r="C42" s="173">
        <v>0</v>
      </c>
      <c r="D42" s="173">
        <v>0</v>
      </c>
      <c r="E42" s="3">
        <v>0</v>
      </c>
    </row>
    <row r="43" spans="1:5" x14ac:dyDescent="0.25">
      <c r="A43" s="3">
        <v>8217</v>
      </c>
      <c r="B43" s="15">
        <v>45271</v>
      </c>
      <c r="C43" s="173">
        <v>0.29166666666666669</v>
      </c>
      <c r="D43" s="173">
        <v>0</v>
      </c>
      <c r="E43" s="3">
        <v>0.29166666666666669</v>
      </c>
    </row>
    <row r="44" spans="1:5" x14ac:dyDescent="0.25">
      <c r="A44" s="3">
        <v>8124</v>
      </c>
      <c r="B44" s="15">
        <v>45271</v>
      </c>
      <c r="C44" s="173">
        <v>0.3125</v>
      </c>
      <c r="D44" s="173">
        <v>0.33611111111111114</v>
      </c>
      <c r="E44" s="3">
        <v>0</v>
      </c>
    </row>
    <row r="45" spans="1:5" x14ac:dyDescent="0.25">
      <c r="A45" s="3">
        <v>8123</v>
      </c>
      <c r="B45" s="15">
        <v>45271</v>
      </c>
      <c r="C45" s="173">
        <v>0</v>
      </c>
      <c r="D45" s="173">
        <v>0</v>
      </c>
      <c r="E45" s="3">
        <v>0</v>
      </c>
    </row>
    <row r="46" spans="1:5" x14ac:dyDescent="0.25">
      <c r="A46" s="3">
        <v>8122</v>
      </c>
      <c r="B46" s="15">
        <v>45271</v>
      </c>
      <c r="C46" s="173">
        <v>0</v>
      </c>
      <c r="D46" s="173">
        <v>0</v>
      </c>
      <c r="E46" s="3">
        <v>0</v>
      </c>
    </row>
    <row r="47" spans="1:5" x14ac:dyDescent="0.25">
      <c r="A47" s="3">
        <v>8106</v>
      </c>
      <c r="B47" s="15">
        <v>45271</v>
      </c>
      <c r="C47" s="173">
        <v>0.16666666666666666</v>
      </c>
      <c r="D47" s="173">
        <v>0.21319444444444444</v>
      </c>
      <c r="E47" s="3">
        <v>0</v>
      </c>
    </row>
    <row r="48" spans="1:5" x14ac:dyDescent="0.25">
      <c r="A48" s="3">
        <v>7973</v>
      </c>
      <c r="B48" s="15">
        <v>45271</v>
      </c>
      <c r="C48" s="173">
        <v>0.41666666666666669</v>
      </c>
      <c r="D48" s="173">
        <v>0</v>
      </c>
      <c r="E48" s="3">
        <v>0</v>
      </c>
    </row>
    <row r="49" spans="1:5" x14ac:dyDescent="0.25">
      <c r="A49" s="3">
        <v>7938</v>
      </c>
      <c r="B49" s="15">
        <v>45271</v>
      </c>
      <c r="C49" s="173">
        <v>0</v>
      </c>
      <c r="D49" s="173">
        <v>0</v>
      </c>
      <c r="E49" s="3">
        <v>0</v>
      </c>
    </row>
    <row r="50" spans="1:5" x14ac:dyDescent="0.25">
      <c r="A50" s="3">
        <v>7935</v>
      </c>
      <c r="B50" s="15">
        <v>45271</v>
      </c>
      <c r="C50" s="173">
        <v>0</v>
      </c>
      <c r="D50" s="173">
        <v>0</v>
      </c>
      <c r="E50" s="3">
        <v>0</v>
      </c>
    </row>
    <row r="51" spans="1:5" x14ac:dyDescent="0.25">
      <c r="A51" s="3">
        <v>7890</v>
      </c>
      <c r="B51" s="15">
        <v>45271</v>
      </c>
      <c r="C51" s="173">
        <v>0.41666666666666669</v>
      </c>
      <c r="D51" s="173">
        <v>0.42291666666666666</v>
      </c>
      <c r="E51" s="3">
        <v>0</v>
      </c>
    </row>
    <row r="52" spans="1:5" x14ac:dyDescent="0.25">
      <c r="A52" s="3">
        <v>7888</v>
      </c>
      <c r="B52" s="15">
        <v>45271</v>
      </c>
      <c r="C52" s="173">
        <v>0</v>
      </c>
      <c r="D52" s="173">
        <v>0</v>
      </c>
      <c r="E52" s="3">
        <v>0</v>
      </c>
    </row>
    <row r="53" spans="1:5" x14ac:dyDescent="0.25">
      <c r="A53" s="3">
        <v>7884</v>
      </c>
      <c r="B53" s="15">
        <v>45271</v>
      </c>
      <c r="C53" s="173">
        <v>0.41666666666666669</v>
      </c>
      <c r="D53" s="173">
        <v>0.41180555555555554</v>
      </c>
      <c r="E53" s="3">
        <v>0</v>
      </c>
    </row>
    <row r="54" spans="1:5" x14ac:dyDescent="0.25">
      <c r="A54" s="3">
        <v>7846</v>
      </c>
      <c r="B54" s="15">
        <v>45271</v>
      </c>
      <c r="C54" s="173">
        <v>0.32500000000000001</v>
      </c>
      <c r="D54" s="173">
        <v>0.35208333333333336</v>
      </c>
      <c r="E54" s="3">
        <v>0</v>
      </c>
    </row>
    <row r="55" spans="1:5" x14ac:dyDescent="0.25">
      <c r="A55" s="3">
        <v>7841</v>
      </c>
      <c r="B55" s="15">
        <v>45271</v>
      </c>
      <c r="C55" s="173">
        <v>0.41666666666666669</v>
      </c>
      <c r="D55" s="173">
        <v>0.40138888888888891</v>
      </c>
      <c r="E55" s="3">
        <v>0</v>
      </c>
    </row>
    <row r="56" spans="1:5" x14ac:dyDescent="0.25">
      <c r="A56" s="3">
        <v>7840</v>
      </c>
      <c r="B56" s="15">
        <v>45271</v>
      </c>
      <c r="C56" s="173">
        <v>0</v>
      </c>
      <c r="D56" s="173">
        <v>0</v>
      </c>
      <c r="E56" s="3">
        <v>0</v>
      </c>
    </row>
    <row r="57" spans="1:5" x14ac:dyDescent="0.25">
      <c r="A57" s="3">
        <v>7820</v>
      </c>
      <c r="B57" s="15">
        <v>45271</v>
      </c>
      <c r="C57" s="173">
        <v>0.16666666666666666</v>
      </c>
      <c r="D57" s="173">
        <v>0.24166666666666667</v>
      </c>
      <c r="E57" s="3">
        <v>0</v>
      </c>
    </row>
    <row r="58" spans="1:5" x14ac:dyDescent="0.25">
      <c r="A58" s="3">
        <v>7739</v>
      </c>
      <c r="B58" s="15">
        <v>45271</v>
      </c>
      <c r="C58" s="173">
        <v>0.41666666666666669</v>
      </c>
      <c r="D58" s="173">
        <v>0.41319444444444442</v>
      </c>
      <c r="E58" s="3">
        <v>0</v>
      </c>
    </row>
    <row r="59" spans="1:5" x14ac:dyDescent="0.25">
      <c r="A59" s="3">
        <v>7607</v>
      </c>
      <c r="B59" s="15">
        <v>45271</v>
      </c>
      <c r="C59" s="173">
        <v>0.16666666666666666</v>
      </c>
      <c r="D59" s="173">
        <v>0.14722222222222223</v>
      </c>
      <c r="E59" s="3">
        <v>1.9444444444444445E-2</v>
      </c>
    </row>
    <row r="60" spans="1:5" x14ac:dyDescent="0.25">
      <c r="A60" s="3">
        <v>7605</v>
      </c>
      <c r="B60" s="15">
        <v>45271</v>
      </c>
      <c r="C60" s="173">
        <v>0</v>
      </c>
      <c r="D60" s="173">
        <v>0</v>
      </c>
      <c r="E60" s="3">
        <v>0</v>
      </c>
    </row>
    <row r="61" spans="1:5" x14ac:dyDescent="0.25">
      <c r="A61" s="3">
        <v>7603</v>
      </c>
      <c r="B61" s="15">
        <v>45271</v>
      </c>
      <c r="C61" s="173">
        <v>0.32500000000000001</v>
      </c>
      <c r="D61" s="173">
        <v>0</v>
      </c>
      <c r="E61" s="3">
        <v>0.32500000000000001</v>
      </c>
    </row>
    <row r="62" spans="1:5" x14ac:dyDescent="0.25">
      <c r="A62" s="3">
        <v>7595</v>
      </c>
      <c r="B62" s="15">
        <v>45271</v>
      </c>
      <c r="C62" s="173">
        <v>0.16666666666666666</v>
      </c>
      <c r="D62" s="173">
        <v>0</v>
      </c>
      <c r="E62" s="3">
        <v>0.16666666666666666</v>
      </c>
    </row>
    <row r="63" spans="1:5" x14ac:dyDescent="0.25">
      <c r="A63" s="3">
        <v>7592</v>
      </c>
      <c r="B63" s="15">
        <v>45271</v>
      </c>
      <c r="C63" s="173">
        <v>0.33333333333333331</v>
      </c>
      <c r="D63" s="173">
        <v>0.33819444444444446</v>
      </c>
      <c r="E63" s="3">
        <v>0</v>
      </c>
    </row>
    <row r="64" spans="1:5" x14ac:dyDescent="0.25">
      <c r="A64" s="3">
        <v>7590</v>
      </c>
      <c r="B64" s="15">
        <v>45271</v>
      </c>
      <c r="C64" s="173">
        <v>0.16666666666666666</v>
      </c>
      <c r="D64" s="173">
        <v>0.16388888888888889</v>
      </c>
      <c r="E64" s="3">
        <v>0</v>
      </c>
    </row>
    <row r="65" spans="1:5" x14ac:dyDescent="0.25">
      <c r="A65" s="3">
        <v>7589</v>
      </c>
      <c r="B65" s="15">
        <v>45271</v>
      </c>
      <c r="C65" s="173">
        <v>0</v>
      </c>
      <c r="D65" s="173">
        <v>0</v>
      </c>
      <c r="E65" s="3">
        <v>0</v>
      </c>
    </row>
    <row r="66" spans="1:5" x14ac:dyDescent="0.25">
      <c r="A66" s="3">
        <v>9857</v>
      </c>
      <c r="B66" s="15">
        <v>45269</v>
      </c>
      <c r="C66" s="173">
        <v>0</v>
      </c>
      <c r="D66" s="173">
        <v>0</v>
      </c>
      <c r="E66" s="3">
        <v>0</v>
      </c>
    </row>
    <row r="67" spans="1:5" x14ac:dyDescent="0.25">
      <c r="A67" s="3">
        <v>9245</v>
      </c>
      <c r="B67" s="15">
        <v>45269</v>
      </c>
      <c r="C67" s="173">
        <v>0</v>
      </c>
      <c r="D67" s="173">
        <v>0</v>
      </c>
      <c r="E67" s="3">
        <v>0</v>
      </c>
    </row>
    <row r="68" spans="1:5" x14ac:dyDescent="0.25">
      <c r="A68" s="3">
        <v>9232</v>
      </c>
      <c r="B68" s="15">
        <v>45269</v>
      </c>
      <c r="C68" s="173">
        <v>0</v>
      </c>
      <c r="D68" s="173">
        <v>0</v>
      </c>
      <c r="E68" s="3">
        <v>0</v>
      </c>
    </row>
    <row r="69" spans="1:5" x14ac:dyDescent="0.25">
      <c r="A69" s="3">
        <v>8887</v>
      </c>
      <c r="B69" s="15">
        <v>45269</v>
      </c>
      <c r="C69" s="173">
        <v>0</v>
      </c>
      <c r="D69" s="173">
        <v>0</v>
      </c>
      <c r="E69" s="3">
        <v>0</v>
      </c>
    </row>
    <row r="70" spans="1:5" x14ac:dyDescent="0.25">
      <c r="A70" s="3">
        <v>8308</v>
      </c>
      <c r="B70" s="15">
        <v>45269</v>
      </c>
      <c r="C70" s="173">
        <v>0</v>
      </c>
      <c r="D70" s="173">
        <v>0</v>
      </c>
      <c r="E70" s="3">
        <v>0</v>
      </c>
    </row>
    <row r="71" spans="1:5" x14ac:dyDescent="0.25">
      <c r="A71" s="3">
        <v>8306</v>
      </c>
      <c r="B71" s="15">
        <v>45269</v>
      </c>
      <c r="C71" s="173">
        <v>0.16666666666666666</v>
      </c>
      <c r="D71" s="173">
        <v>0</v>
      </c>
      <c r="E71" s="3">
        <v>0.16666666666666666</v>
      </c>
    </row>
    <row r="72" spans="1:5" x14ac:dyDescent="0.25">
      <c r="A72" s="3">
        <v>8302</v>
      </c>
      <c r="B72" s="15">
        <v>45269</v>
      </c>
      <c r="C72" s="173">
        <v>0.16666666666666666</v>
      </c>
      <c r="D72" s="173">
        <v>0</v>
      </c>
      <c r="E72" s="3">
        <v>0.16666666666666666</v>
      </c>
    </row>
    <row r="73" spans="1:5" x14ac:dyDescent="0.25">
      <c r="A73" s="3">
        <v>8228</v>
      </c>
      <c r="B73" s="15">
        <v>45269</v>
      </c>
      <c r="C73" s="173">
        <v>0</v>
      </c>
      <c r="D73" s="173">
        <v>0</v>
      </c>
      <c r="E73" s="3">
        <v>0</v>
      </c>
    </row>
    <row r="74" spans="1:5" x14ac:dyDescent="0.25">
      <c r="A74" s="3">
        <v>8218</v>
      </c>
      <c r="B74" s="15">
        <v>45269</v>
      </c>
      <c r="C74" s="173">
        <v>0</v>
      </c>
      <c r="D74" s="173">
        <v>0</v>
      </c>
      <c r="E74" s="3">
        <v>0</v>
      </c>
    </row>
    <row r="75" spans="1:5" x14ac:dyDescent="0.25">
      <c r="A75" s="3">
        <v>8217</v>
      </c>
      <c r="B75" s="15">
        <v>45269</v>
      </c>
      <c r="C75" s="173">
        <v>0</v>
      </c>
      <c r="D75" s="173">
        <v>0</v>
      </c>
      <c r="E75" s="3">
        <v>0</v>
      </c>
    </row>
    <row r="76" spans="1:5" x14ac:dyDescent="0.25">
      <c r="A76" s="3">
        <v>8124</v>
      </c>
      <c r="B76" s="15">
        <v>45269</v>
      </c>
      <c r="C76" s="173">
        <v>0</v>
      </c>
      <c r="D76" s="173">
        <v>0</v>
      </c>
      <c r="E76" s="3">
        <v>0</v>
      </c>
    </row>
    <row r="77" spans="1:5" x14ac:dyDescent="0.25">
      <c r="A77" s="3">
        <v>8123</v>
      </c>
      <c r="B77" s="15">
        <v>45269</v>
      </c>
      <c r="C77" s="173">
        <v>0.16666666666666666</v>
      </c>
      <c r="D77" s="173">
        <v>0</v>
      </c>
      <c r="E77" s="3">
        <v>0.16666666666666666</v>
      </c>
    </row>
    <row r="78" spans="1:5" x14ac:dyDescent="0.25">
      <c r="A78" s="3">
        <v>8122</v>
      </c>
      <c r="B78" s="15">
        <v>45269</v>
      </c>
      <c r="C78" s="173">
        <v>0</v>
      </c>
      <c r="D78" s="173">
        <v>0</v>
      </c>
      <c r="E78" s="3">
        <v>0</v>
      </c>
    </row>
    <row r="79" spans="1:5" x14ac:dyDescent="0.25">
      <c r="A79" s="3">
        <v>8106</v>
      </c>
      <c r="B79" s="15">
        <v>45269</v>
      </c>
      <c r="C79" s="173">
        <v>0.16666666666666666</v>
      </c>
      <c r="D79" s="173">
        <v>0.18611111111111112</v>
      </c>
      <c r="E79" s="3">
        <v>0</v>
      </c>
    </row>
    <row r="80" spans="1:5" x14ac:dyDescent="0.25">
      <c r="A80" s="3">
        <v>7973</v>
      </c>
      <c r="B80" s="15">
        <v>45269</v>
      </c>
      <c r="C80" s="173">
        <v>0</v>
      </c>
      <c r="D80" s="173">
        <v>0</v>
      </c>
      <c r="E80" s="3">
        <v>0</v>
      </c>
    </row>
    <row r="81" spans="1:5" x14ac:dyDescent="0.25">
      <c r="A81" s="3">
        <v>7938</v>
      </c>
      <c r="B81" s="15">
        <v>45269</v>
      </c>
      <c r="C81" s="173">
        <v>0.16666666666666666</v>
      </c>
      <c r="D81" s="173">
        <v>0.18680555555555556</v>
      </c>
      <c r="E81" s="3">
        <v>0</v>
      </c>
    </row>
    <row r="82" spans="1:5" x14ac:dyDescent="0.25">
      <c r="A82" s="3">
        <v>7935</v>
      </c>
      <c r="B82" s="15">
        <v>45269</v>
      </c>
      <c r="C82" s="173">
        <v>0</v>
      </c>
      <c r="D82" s="173">
        <v>0</v>
      </c>
      <c r="E82" s="3">
        <v>0</v>
      </c>
    </row>
    <row r="83" spans="1:5" x14ac:dyDescent="0.25">
      <c r="A83" s="3">
        <v>7890</v>
      </c>
      <c r="B83" s="15">
        <v>45269</v>
      </c>
      <c r="C83" s="173">
        <v>0</v>
      </c>
      <c r="D83" s="173">
        <v>0</v>
      </c>
      <c r="E83" s="3">
        <v>0</v>
      </c>
    </row>
    <row r="84" spans="1:5" x14ac:dyDescent="0.25">
      <c r="A84" s="3">
        <v>7888</v>
      </c>
      <c r="B84" s="15">
        <v>45269</v>
      </c>
      <c r="C84" s="173">
        <v>0.16666666666666666</v>
      </c>
      <c r="D84" s="173">
        <v>0.19236111111111112</v>
      </c>
      <c r="E84" s="3">
        <v>0</v>
      </c>
    </row>
    <row r="85" spans="1:5" x14ac:dyDescent="0.25">
      <c r="A85" s="3">
        <v>7884</v>
      </c>
      <c r="B85" s="15">
        <v>45269</v>
      </c>
      <c r="C85" s="173">
        <v>0</v>
      </c>
      <c r="D85" s="173">
        <v>0</v>
      </c>
      <c r="E85" s="3">
        <v>0</v>
      </c>
    </row>
    <row r="86" spans="1:5" x14ac:dyDescent="0.25">
      <c r="A86" s="3">
        <v>7846</v>
      </c>
      <c r="B86" s="15">
        <v>45269</v>
      </c>
      <c r="C86" s="173">
        <v>0</v>
      </c>
      <c r="D86" s="173">
        <v>0</v>
      </c>
      <c r="E86" s="3">
        <v>0</v>
      </c>
    </row>
    <row r="87" spans="1:5" x14ac:dyDescent="0.25">
      <c r="A87" s="3">
        <v>7841</v>
      </c>
      <c r="B87" s="15">
        <v>45269</v>
      </c>
      <c r="C87" s="173">
        <v>0.16666666666666666</v>
      </c>
      <c r="D87" s="173">
        <v>0.18263888888888888</v>
      </c>
      <c r="E87" s="3">
        <v>0</v>
      </c>
    </row>
    <row r="88" spans="1:5" x14ac:dyDescent="0.25">
      <c r="A88" s="3">
        <v>7840</v>
      </c>
      <c r="B88" s="15">
        <v>45269</v>
      </c>
      <c r="C88" s="173">
        <v>0.16666666666666666</v>
      </c>
      <c r="D88" s="173">
        <v>0</v>
      </c>
      <c r="E88" s="3">
        <v>0.16666666666666666</v>
      </c>
    </row>
    <row r="89" spans="1:5" x14ac:dyDescent="0.25">
      <c r="A89" s="3">
        <v>7820</v>
      </c>
      <c r="B89" s="15">
        <v>45269</v>
      </c>
      <c r="C89" s="173">
        <v>0.16666666666666666</v>
      </c>
      <c r="D89" s="173">
        <v>0.19583333333333333</v>
      </c>
      <c r="E89" s="3">
        <v>0</v>
      </c>
    </row>
    <row r="90" spans="1:5" x14ac:dyDescent="0.25">
      <c r="A90" s="3">
        <v>7739</v>
      </c>
      <c r="B90" s="15">
        <v>45269</v>
      </c>
      <c r="C90" s="173">
        <v>0</v>
      </c>
      <c r="D90" s="173">
        <v>0</v>
      </c>
      <c r="E90" s="3">
        <v>0</v>
      </c>
    </row>
    <row r="91" spans="1:5" x14ac:dyDescent="0.25">
      <c r="A91" s="3">
        <v>7607</v>
      </c>
      <c r="B91" s="15">
        <v>45269</v>
      </c>
      <c r="C91" s="173">
        <v>0</v>
      </c>
      <c r="D91" s="173">
        <v>0</v>
      </c>
      <c r="E91" s="3">
        <v>0</v>
      </c>
    </row>
    <row r="92" spans="1:5" x14ac:dyDescent="0.25">
      <c r="A92" s="3">
        <v>7605</v>
      </c>
      <c r="B92" s="15">
        <v>45269</v>
      </c>
      <c r="C92" s="173">
        <v>0</v>
      </c>
      <c r="D92" s="173">
        <v>0</v>
      </c>
      <c r="E92" s="3">
        <v>0</v>
      </c>
    </row>
    <row r="93" spans="1:5" x14ac:dyDescent="0.25">
      <c r="A93" s="3">
        <v>7603</v>
      </c>
      <c r="B93" s="15">
        <v>45269</v>
      </c>
      <c r="C93" s="173">
        <v>0</v>
      </c>
      <c r="D93" s="173">
        <v>0</v>
      </c>
      <c r="E93" s="3">
        <v>0</v>
      </c>
    </row>
    <row r="94" spans="1:5" x14ac:dyDescent="0.25">
      <c r="A94" s="3">
        <v>7595</v>
      </c>
      <c r="B94" s="15">
        <v>45269</v>
      </c>
      <c r="C94" s="173">
        <v>0.16666666666666666</v>
      </c>
      <c r="D94" s="173">
        <v>0</v>
      </c>
      <c r="E94" s="3">
        <v>0.16666666666666666</v>
      </c>
    </row>
    <row r="95" spans="1:5" x14ac:dyDescent="0.25">
      <c r="A95" s="3">
        <v>7592</v>
      </c>
      <c r="B95" s="15">
        <v>45269</v>
      </c>
      <c r="C95" s="173">
        <v>0</v>
      </c>
      <c r="D95" s="173">
        <v>0</v>
      </c>
      <c r="E95" s="3">
        <v>0</v>
      </c>
    </row>
    <row r="96" spans="1:5" x14ac:dyDescent="0.25">
      <c r="A96" s="3">
        <v>7590</v>
      </c>
      <c r="B96" s="15">
        <v>45269</v>
      </c>
      <c r="C96" s="173">
        <v>0</v>
      </c>
      <c r="D96" s="173">
        <v>0</v>
      </c>
      <c r="E96" s="3">
        <v>0</v>
      </c>
    </row>
    <row r="97" spans="1:5" x14ac:dyDescent="0.25">
      <c r="A97" s="3">
        <v>7589</v>
      </c>
      <c r="B97" s="15">
        <v>45269</v>
      </c>
      <c r="C97" s="173">
        <v>0</v>
      </c>
      <c r="D97" s="173">
        <v>0</v>
      </c>
      <c r="E97" s="3">
        <v>0</v>
      </c>
    </row>
    <row r="98" spans="1:5" x14ac:dyDescent="0.25">
      <c r="A98" s="3">
        <v>9857</v>
      </c>
      <c r="B98" s="15">
        <v>45268</v>
      </c>
      <c r="C98" s="173">
        <v>0.32500000000000001</v>
      </c>
      <c r="D98" s="173">
        <v>0.33263888888888887</v>
      </c>
      <c r="E98" s="3">
        <v>0</v>
      </c>
    </row>
    <row r="99" spans="1:5" x14ac:dyDescent="0.25">
      <c r="A99" s="3">
        <v>9245</v>
      </c>
      <c r="B99" s="15">
        <v>45268</v>
      </c>
      <c r="C99" s="173">
        <v>0.36458333333333331</v>
      </c>
      <c r="D99" s="173">
        <v>0</v>
      </c>
      <c r="E99" s="3">
        <v>0.36458333333333331</v>
      </c>
    </row>
    <row r="100" spans="1:5" x14ac:dyDescent="0.25">
      <c r="A100" s="3">
        <v>9232</v>
      </c>
      <c r="B100" s="15">
        <v>45268</v>
      </c>
      <c r="C100" s="173">
        <v>0.29166666666666669</v>
      </c>
      <c r="D100" s="173">
        <v>0</v>
      </c>
      <c r="E100" s="3">
        <v>0.29166666666666669</v>
      </c>
    </row>
    <row r="101" spans="1:5" x14ac:dyDescent="0.25">
      <c r="A101" s="3">
        <v>8887</v>
      </c>
      <c r="B101" s="15">
        <v>45268</v>
      </c>
      <c r="C101" s="173">
        <v>0.32500000000000001</v>
      </c>
      <c r="D101" s="173">
        <v>0</v>
      </c>
      <c r="E101" s="3">
        <v>0.32500000000000001</v>
      </c>
    </row>
    <row r="102" spans="1:5" x14ac:dyDescent="0.25">
      <c r="A102" s="3">
        <v>8308</v>
      </c>
      <c r="B102" s="15">
        <v>45268</v>
      </c>
      <c r="C102" s="173">
        <v>0.36458333333333331</v>
      </c>
      <c r="D102" s="173">
        <v>0.33124999999999999</v>
      </c>
      <c r="E102" s="3">
        <v>0</v>
      </c>
    </row>
    <row r="103" spans="1:5" x14ac:dyDescent="0.25">
      <c r="A103" s="3">
        <v>8306</v>
      </c>
      <c r="B103" s="15">
        <v>45268</v>
      </c>
      <c r="C103" s="173">
        <v>0.36458333333333331</v>
      </c>
      <c r="D103" s="173">
        <v>0</v>
      </c>
      <c r="E103" s="3">
        <v>0.36458333333333331</v>
      </c>
    </row>
    <row r="104" spans="1:5" x14ac:dyDescent="0.25">
      <c r="A104" s="3">
        <v>8302</v>
      </c>
      <c r="B104" s="15">
        <v>45268</v>
      </c>
      <c r="C104" s="173">
        <v>0.36458333333333331</v>
      </c>
      <c r="D104" s="173">
        <v>0</v>
      </c>
      <c r="E104" s="3">
        <v>0.36458333333333331</v>
      </c>
    </row>
    <row r="105" spans="1:5" x14ac:dyDescent="0.25">
      <c r="A105" s="3">
        <v>8228</v>
      </c>
      <c r="B105" s="15">
        <v>45268</v>
      </c>
      <c r="C105" s="173">
        <v>0.32500000000000001</v>
      </c>
      <c r="D105" s="173">
        <v>0.15347222222222223</v>
      </c>
      <c r="E105" s="3">
        <v>0</v>
      </c>
    </row>
    <row r="106" spans="1:5" x14ac:dyDescent="0.25">
      <c r="A106" s="3">
        <v>8218</v>
      </c>
      <c r="B106" s="15">
        <v>45268</v>
      </c>
      <c r="C106" s="173">
        <v>0.29166666666666669</v>
      </c>
      <c r="D106" s="173">
        <v>0.29097222222222224</v>
      </c>
      <c r="E106" s="3">
        <v>0</v>
      </c>
    </row>
    <row r="107" spans="1:5" x14ac:dyDescent="0.25">
      <c r="A107" s="3">
        <v>8217</v>
      </c>
      <c r="B107" s="15">
        <v>45268</v>
      </c>
      <c r="C107" s="173">
        <v>0</v>
      </c>
      <c r="D107" s="173">
        <v>0</v>
      </c>
      <c r="E107" s="3">
        <v>0</v>
      </c>
    </row>
    <row r="108" spans="1:5" x14ac:dyDescent="0.25">
      <c r="A108" s="3">
        <v>8124</v>
      </c>
      <c r="B108" s="15">
        <v>45268</v>
      </c>
      <c r="C108" s="173">
        <v>0</v>
      </c>
      <c r="D108" s="173">
        <v>0</v>
      </c>
      <c r="E108" s="3">
        <v>0</v>
      </c>
    </row>
    <row r="109" spans="1:5" x14ac:dyDescent="0.25">
      <c r="A109" s="3">
        <v>8123</v>
      </c>
      <c r="B109" s="15">
        <v>45268</v>
      </c>
      <c r="C109" s="173">
        <v>0.33333333333333331</v>
      </c>
      <c r="D109" s="173">
        <v>0</v>
      </c>
      <c r="E109" s="3">
        <v>0.33333333333333331</v>
      </c>
    </row>
    <row r="110" spans="1:5" x14ac:dyDescent="0.25">
      <c r="A110" s="3">
        <v>8122</v>
      </c>
      <c r="B110" s="15">
        <v>45268</v>
      </c>
      <c r="C110" s="173">
        <v>0.36458333333333331</v>
      </c>
      <c r="D110" s="173">
        <v>0</v>
      </c>
      <c r="E110" s="3">
        <v>0.36458333333333331</v>
      </c>
    </row>
    <row r="111" spans="1:5" x14ac:dyDescent="0.25">
      <c r="A111" s="3">
        <v>8106</v>
      </c>
      <c r="B111" s="15">
        <v>45268</v>
      </c>
      <c r="C111" s="173">
        <v>0.36458333333333331</v>
      </c>
      <c r="D111" s="173">
        <v>0.35625000000000001</v>
      </c>
      <c r="E111" s="3">
        <v>0</v>
      </c>
    </row>
    <row r="112" spans="1:5" x14ac:dyDescent="0.25">
      <c r="A112" s="3">
        <v>7973</v>
      </c>
      <c r="B112" s="15">
        <v>45268</v>
      </c>
      <c r="C112" s="173">
        <v>0.41666666666666669</v>
      </c>
      <c r="D112" s="173">
        <v>0</v>
      </c>
      <c r="E112" s="3">
        <v>0.41666666666666669</v>
      </c>
    </row>
    <row r="113" spans="1:5" x14ac:dyDescent="0.25">
      <c r="A113" s="3">
        <v>7938</v>
      </c>
      <c r="B113" s="15">
        <v>45268</v>
      </c>
      <c r="C113" s="173">
        <v>0</v>
      </c>
      <c r="D113" s="173">
        <v>0</v>
      </c>
      <c r="E113" s="3">
        <v>0</v>
      </c>
    </row>
    <row r="114" spans="1:5" x14ac:dyDescent="0.25">
      <c r="A114" s="3">
        <v>7935</v>
      </c>
      <c r="B114" s="15">
        <v>45268</v>
      </c>
      <c r="C114" s="173">
        <v>0.36458333333333331</v>
      </c>
      <c r="D114" s="173">
        <v>0.25763888888888886</v>
      </c>
      <c r="E114" s="3">
        <v>0</v>
      </c>
    </row>
    <row r="115" spans="1:5" x14ac:dyDescent="0.25">
      <c r="A115" s="3">
        <v>7890</v>
      </c>
      <c r="B115" s="15">
        <v>45268</v>
      </c>
      <c r="C115" s="173">
        <v>0.29166666666666669</v>
      </c>
      <c r="D115" s="173">
        <v>0</v>
      </c>
      <c r="E115" s="3">
        <v>0</v>
      </c>
    </row>
    <row r="116" spans="1:5" x14ac:dyDescent="0.25">
      <c r="A116" s="3">
        <v>7888</v>
      </c>
      <c r="B116" s="15">
        <v>45268</v>
      </c>
      <c r="C116" s="173">
        <v>0.41666666666666669</v>
      </c>
      <c r="D116" s="173">
        <v>0.40138888888888891</v>
      </c>
      <c r="E116" s="3">
        <v>0</v>
      </c>
    </row>
    <row r="117" spans="1:5" x14ac:dyDescent="0.25">
      <c r="A117" s="3">
        <v>7884</v>
      </c>
      <c r="B117" s="15">
        <v>45268</v>
      </c>
      <c r="C117" s="173">
        <v>0.41666666666666669</v>
      </c>
      <c r="D117" s="173">
        <v>0.4152777777777778</v>
      </c>
      <c r="E117" s="3">
        <v>0</v>
      </c>
    </row>
    <row r="118" spans="1:5" x14ac:dyDescent="0.25">
      <c r="A118" s="3">
        <v>7846</v>
      </c>
      <c r="B118" s="15">
        <v>45268</v>
      </c>
      <c r="C118" s="173">
        <v>0.32500000000000001</v>
      </c>
      <c r="D118" s="173">
        <v>0</v>
      </c>
      <c r="E118" s="3">
        <v>0.32500000000000001</v>
      </c>
    </row>
    <row r="119" spans="1:5" x14ac:dyDescent="0.25">
      <c r="A119" s="3">
        <v>7841</v>
      </c>
      <c r="B119" s="15">
        <v>45268</v>
      </c>
      <c r="C119" s="173">
        <v>0.29166666666666669</v>
      </c>
      <c r="D119" s="173">
        <v>0.27638888888888891</v>
      </c>
      <c r="E119" s="3">
        <v>0</v>
      </c>
    </row>
    <row r="120" spans="1:5" x14ac:dyDescent="0.25">
      <c r="A120" s="3">
        <v>7840</v>
      </c>
      <c r="B120" s="15">
        <v>45268</v>
      </c>
      <c r="C120" s="173">
        <v>0.33333333333333331</v>
      </c>
      <c r="D120" s="173">
        <v>0</v>
      </c>
      <c r="E120" s="3">
        <v>0</v>
      </c>
    </row>
    <row r="121" spans="1:5" x14ac:dyDescent="0.25">
      <c r="A121" s="3">
        <v>7820</v>
      </c>
      <c r="B121" s="15">
        <v>45268</v>
      </c>
      <c r="C121" s="173">
        <v>0.36458333333333331</v>
      </c>
      <c r="D121" s="173">
        <v>0.37430555555555556</v>
      </c>
      <c r="E121" s="3">
        <v>0</v>
      </c>
    </row>
    <row r="122" spans="1:5" x14ac:dyDescent="0.25">
      <c r="A122" s="3">
        <v>7739</v>
      </c>
      <c r="B122" s="15">
        <v>45268</v>
      </c>
      <c r="C122" s="173">
        <v>0.41666666666666669</v>
      </c>
      <c r="D122" s="173">
        <v>0</v>
      </c>
      <c r="E122" s="3">
        <v>0.41666666666666669</v>
      </c>
    </row>
    <row r="123" spans="1:5" x14ac:dyDescent="0.25">
      <c r="A123" s="3">
        <v>7607</v>
      </c>
      <c r="B123" s="15">
        <v>45268</v>
      </c>
      <c r="C123" s="173">
        <v>0.16666666666666666</v>
      </c>
      <c r="D123" s="173">
        <v>0.16666666666666666</v>
      </c>
      <c r="E123" s="3">
        <v>0</v>
      </c>
    </row>
    <row r="124" spans="1:5" x14ac:dyDescent="0.25">
      <c r="A124" s="3">
        <v>7605</v>
      </c>
      <c r="B124" s="15">
        <v>45268</v>
      </c>
      <c r="C124" s="173">
        <v>0.16666666666666666</v>
      </c>
      <c r="D124" s="173">
        <v>0.13333333333333333</v>
      </c>
      <c r="E124" s="3">
        <v>3.6111111111111108E-2</v>
      </c>
    </row>
    <row r="125" spans="1:5" x14ac:dyDescent="0.25">
      <c r="A125" s="3">
        <v>7603</v>
      </c>
      <c r="B125" s="15">
        <v>45268</v>
      </c>
      <c r="C125" s="173">
        <v>0.32500000000000001</v>
      </c>
      <c r="D125" s="173">
        <v>0</v>
      </c>
      <c r="E125" s="3">
        <v>0.32500000000000001</v>
      </c>
    </row>
    <row r="126" spans="1:5" x14ac:dyDescent="0.25">
      <c r="A126" s="3">
        <v>7595</v>
      </c>
      <c r="B126" s="15">
        <v>45268</v>
      </c>
      <c r="C126" s="173">
        <v>0</v>
      </c>
      <c r="D126" s="173">
        <v>0</v>
      </c>
      <c r="E126" s="3">
        <v>0</v>
      </c>
    </row>
    <row r="127" spans="1:5" x14ac:dyDescent="0.25">
      <c r="A127" s="3">
        <v>7592</v>
      </c>
      <c r="B127" s="15">
        <v>45268</v>
      </c>
      <c r="C127" s="173">
        <v>0</v>
      </c>
      <c r="D127" s="173">
        <v>0</v>
      </c>
      <c r="E127" s="3">
        <v>0</v>
      </c>
    </row>
    <row r="128" spans="1:5" x14ac:dyDescent="0.25">
      <c r="A128" s="3">
        <v>7590</v>
      </c>
      <c r="B128" s="15">
        <v>45268</v>
      </c>
      <c r="C128" s="173">
        <v>0</v>
      </c>
      <c r="D128" s="173">
        <v>0</v>
      </c>
      <c r="E128" s="3">
        <v>0</v>
      </c>
    </row>
    <row r="129" spans="1:5" x14ac:dyDescent="0.25">
      <c r="A129" s="3">
        <v>7589</v>
      </c>
      <c r="B129" s="15">
        <v>45268</v>
      </c>
      <c r="C129" s="173">
        <v>0.29166666666666669</v>
      </c>
      <c r="D129" s="173">
        <v>0</v>
      </c>
      <c r="E129" s="3">
        <v>0.29166666666666669</v>
      </c>
    </row>
    <row r="130" spans="1:5" x14ac:dyDescent="0.25">
      <c r="A130" s="3">
        <v>9857</v>
      </c>
      <c r="B130" s="15">
        <v>45267</v>
      </c>
      <c r="C130" s="173">
        <v>0.32500000000000001</v>
      </c>
      <c r="D130" s="173">
        <v>0.29444444444444445</v>
      </c>
      <c r="E130" s="3">
        <v>0</v>
      </c>
    </row>
    <row r="131" spans="1:5" x14ac:dyDescent="0.25">
      <c r="A131" s="3">
        <v>9245</v>
      </c>
      <c r="B131" s="15">
        <v>45267</v>
      </c>
      <c r="C131" s="173">
        <v>0.36458333333333331</v>
      </c>
      <c r="D131" s="173">
        <v>0</v>
      </c>
      <c r="E131" s="3">
        <v>0.36458333333333331</v>
      </c>
    </row>
    <row r="132" spans="1:5" x14ac:dyDescent="0.25">
      <c r="A132" s="3">
        <v>9232</v>
      </c>
      <c r="B132" s="15">
        <v>45267</v>
      </c>
      <c r="C132" s="173">
        <v>0.41666666666666669</v>
      </c>
      <c r="D132" s="173">
        <v>0</v>
      </c>
      <c r="E132" s="3">
        <v>0.41666666666666669</v>
      </c>
    </row>
    <row r="133" spans="1:5" x14ac:dyDescent="0.25">
      <c r="A133" s="3">
        <v>8887</v>
      </c>
      <c r="B133" s="15">
        <v>45267</v>
      </c>
      <c r="C133" s="173">
        <v>0.32500000000000001</v>
      </c>
      <c r="D133" s="173">
        <v>0</v>
      </c>
      <c r="E133" s="3">
        <v>0.32500000000000001</v>
      </c>
    </row>
    <row r="134" spans="1:5" x14ac:dyDescent="0.25">
      <c r="A134" s="3">
        <v>8308</v>
      </c>
      <c r="B134" s="15">
        <v>45267</v>
      </c>
      <c r="C134" s="173">
        <v>0.36458333333333331</v>
      </c>
      <c r="D134" s="173">
        <v>0.38750000000000001</v>
      </c>
      <c r="E134" s="3">
        <v>0</v>
      </c>
    </row>
    <row r="135" spans="1:5" x14ac:dyDescent="0.25">
      <c r="A135" s="3">
        <v>8306</v>
      </c>
      <c r="B135" s="15">
        <v>45267</v>
      </c>
      <c r="C135" s="173">
        <v>0.36458333333333331</v>
      </c>
      <c r="D135" s="173">
        <v>0</v>
      </c>
      <c r="E135" s="3">
        <v>0.36458333333333331</v>
      </c>
    </row>
    <row r="136" spans="1:5" x14ac:dyDescent="0.25">
      <c r="A136" s="3">
        <v>8302</v>
      </c>
      <c r="B136" s="15">
        <v>45267</v>
      </c>
      <c r="C136" s="173">
        <v>0</v>
      </c>
      <c r="D136" s="173">
        <v>0</v>
      </c>
      <c r="E136" s="3">
        <v>0</v>
      </c>
    </row>
    <row r="137" spans="1:5" x14ac:dyDescent="0.25">
      <c r="A137" s="3">
        <v>8228</v>
      </c>
      <c r="B137" s="15">
        <v>45267</v>
      </c>
      <c r="C137" s="173">
        <v>0.32500000000000001</v>
      </c>
      <c r="D137" s="173">
        <v>0.27986111111111112</v>
      </c>
      <c r="E137" s="3">
        <v>0</v>
      </c>
    </row>
    <row r="138" spans="1:5" x14ac:dyDescent="0.25">
      <c r="A138" s="3">
        <v>8218</v>
      </c>
      <c r="B138" s="15">
        <v>45267</v>
      </c>
      <c r="C138" s="173">
        <v>0.29166666666666669</v>
      </c>
      <c r="D138" s="173">
        <v>0.28958333333333336</v>
      </c>
      <c r="E138" s="3">
        <v>0</v>
      </c>
    </row>
    <row r="139" spans="1:5" x14ac:dyDescent="0.25">
      <c r="A139" s="3">
        <v>8217</v>
      </c>
      <c r="B139" s="15">
        <v>45267</v>
      </c>
      <c r="C139" s="173">
        <v>0.29166666666666669</v>
      </c>
      <c r="D139" s="173">
        <v>0</v>
      </c>
      <c r="E139" s="3">
        <v>0.29166666666666669</v>
      </c>
    </row>
    <row r="140" spans="1:5" x14ac:dyDescent="0.25">
      <c r="A140" s="3">
        <v>8124</v>
      </c>
      <c r="B140" s="15">
        <v>45267</v>
      </c>
      <c r="C140" s="173">
        <v>0</v>
      </c>
      <c r="D140" s="173">
        <v>0</v>
      </c>
      <c r="E140" s="3">
        <v>0</v>
      </c>
    </row>
    <row r="141" spans="1:5" x14ac:dyDescent="0.25">
      <c r="A141" s="3">
        <v>8123</v>
      </c>
      <c r="B141" s="15">
        <v>45267</v>
      </c>
      <c r="C141" s="173">
        <v>0.41666666666666669</v>
      </c>
      <c r="D141" s="173">
        <v>0</v>
      </c>
      <c r="E141" s="3">
        <v>0.41666666666666669</v>
      </c>
    </row>
    <row r="142" spans="1:5" x14ac:dyDescent="0.25">
      <c r="A142" s="3">
        <v>8122</v>
      </c>
      <c r="B142" s="15">
        <v>45267</v>
      </c>
      <c r="C142" s="173">
        <v>0.36458333333333331</v>
      </c>
      <c r="D142" s="173">
        <v>0.37013888888888891</v>
      </c>
      <c r="E142" s="3">
        <v>0</v>
      </c>
    </row>
    <row r="143" spans="1:5" x14ac:dyDescent="0.25">
      <c r="A143" s="3">
        <v>8106</v>
      </c>
      <c r="B143" s="15">
        <v>45267</v>
      </c>
      <c r="C143" s="173">
        <v>0.36458333333333331</v>
      </c>
      <c r="D143" s="173">
        <v>0.39374999999999999</v>
      </c>
      <c r="E143" s="3">
        <v>0</v>
      </c>
    </row>
    <row r="144" spans="1:5" x14ac:dyDescent="0.25">
      <c r="A144" s="3">
        <v>7973</v>
      </c>
      <c r="B144" s="15">
        <v>45267</v>
      </c>
      <c r="C144" s="173">
        <v>0.33333333333333331</v>
      </c>
      <c r="D144" s="173">
        <v>0.33055555555555555</v>
      </c>
      <c r="E144" s="3">
        <v>0</v>
      </c>
    </row>
    <row r="145" spans="1:5" x14ac:dyDescent="0.25">
      <c r="A145" s="3">
        <v>7938</v>
      </c>
      <c r="B145" s="15">
        <v>45267</v>
      </c>
      <c r="C145" s="173">
        <v>0.41666666666666669</v>
      </c>
      <c r="D145" s="173">
        <v>0.40277777777777779</v>
      </c>
      <c r="E145" s="3">
        <v>0</v>
      </c>
    </row>
    <row r="146" spans="1:5" x14ac:dyDescent="0.25">
      <c r="A146" s="3">
        <v>7935</v>
      </c>
      <c r="B146" s="15">
        <v>45267</v>
      </c>
      <c r="C146" s="173">
        <v>0.36458333333333331</v>
      </c>
      <c r="D146" s="173">
        <v>0.33194444444444443</v>
      </c>
      <c r="E146" s="3">
        <v>0</v>
      </c>
    </row>
    <row r="147" spans="1:5" x14ac:dyDescent="0.25">
      <c r="A147" s="3">
        <v>7890</v>
      </c>
      <c r="B147" s="15">
        <v>45267</v>
      </c>
      <c r="C147" s="173">
        <v>0.41666666666666669</v>
      </c>
      <c r="D147" s="173">
        <v>0</v>
      </c>
      <c r="E147" s="3">
        <v>0</v>
      </c>
    </row>
    <row r="148" spans="1:5" x14ac:dyDescent="0.25">
      <c r="A148" s="3">
        <v>7888</v>
      </c>
      <c r="B148" s="15">
        <v>45267</v>
      </c>
      <c r="C148" s="173">
        <v>0.29166666666666669</v>
      </c>
      <c r="D148" s="173">
        <v>0.28125</v>
      </c>
      <c r="E148" s="3">
        <v>0</v>
      </c>
    </row>
    <row r="149" spans="1:5" x14ac:dyDescent="0.25">
      <c r="A149" s="3">
        <v>7884</v>
      </c>
      <c r="B149" s="15">
        <v>45267</v>
      </c>
      <c r="C149" s="173">
        <v>0.29166666666666669</v>
      </c>
      <c r="D149" s="173">
        <v>0.27708333333333335</v>
      </c>
      <c r="E149" s="3">
        <v>0</v>
      </c>
    </row>
    <row r="150" spans="1:5" x14ac:dyDescent="0.25">
      <c r="A150" s="3">
        <v>7846</v>
      </c>
      <c r="B150" s="15">
        <v>45267</v>
      </c>
      <c r="C150" s="173">
        <v>0.32500000000000001</v>
      </c>
      <c r="D150" s="173">
        <v>0</v>
      </c>
      <c r="E150" s="3">
        <v>0.32500000000000001</v>
      </c>
    </row>
    <row r="151" spans="1:5" x14ac:dyDescent="0.25">
      <c r="A151" s="3">
        <v>7841</v>
      </c>
      <c r="B151" s="15">
        <v>45267</v>
      </c>
      <c r="C151" s="173">
        <v>0.41666666666666669</v>
      </c>
      <c r="D151" s="173">
        <v>0.41180555555555554</v>
      </c>
      <c r="E151" s="3">
        <v>0</v>
      </c>
    </row>
    <row r="152" spans="1:5" x14ac:dyDescent="0.25">
      <c r="A152" s="3">
        <v>7840</v>
      </c>
      <c r="B152" s="15">
        <v>45267</v>
      </c>
      <c r="C152" s="173">
        <v>0.41666666666666669</v>
      </c>
      <c r="D152" s="173">
        <v>0</v>
      </c>
      <c r="E152" s="3">
        <v>0</v>
      </c>
    </row>
    <row r="153" spans="1:5" x14ac:dyDescent="0.25">
      <c r="A153" s="3">
        <v>7820</v>
      </c>
      <c r="B153" s="15">
        <v>45267</v>
      </c>
      <c r="C153" s="173">
        <v>0.36458333333333331</v>
      </c>
      <c r="D153" s="173">
        <v>0</v>
      </c>
      <c r="E153" s="3">
        <v>0.36458333333333331</v>
      </c>
    </row>
    <row r="154" spans="1:5" x14ac:dyDescent="0.25">
      <c r="A154" s="3">
        <v>7739</v>
      </c>
      <c r="B154" s="15">
        <v>45267</v>
      </c>
      <c r="C154" s="173">
        <v>0.33333333333333331</v>
      </c>
      <c r="D154" s="173">
        <v>0</v>
      </c>
      <c r="E154" s="3">
        <v>0.33333333333333331</v>
      </c>
    </row>
    <row r="155" spans="1:5" x14ac:dyDescent="0.25">
      <c r="A155" s="3">
        <v>7607</v>
      </c>
      <c r="B155" s="15">
        <v>45267</v>
      </c>
      <c r="C155" s="173">
        <v>0.16666666666666666</v>
      </c>
      <c r="D155" s="173">
        <v>0.16666666666666666</v>
      </c>
      <c r="E155" s="3">
        <v>0</v>
      </c>
    </row>
    <row r="156" spans="1:5" x14ac:dyDescent="0.25">
      <c r="A156" s="3">
        <v>7605</v>
      </c>
      <c r="B156" s="15">
        <v>45267</v>
      </c>
      <c r="C156" s="173">
        <v>0.16666666666666666</v>
      </c>
      <c r="D156" s="173">
        <v>0.17430555555555555</v>
      </c>
      <c r="E156" s="3">
        <v>0</v>
      </c>
    </row>
    <row r="157" spans="1:5" x14ac:dyDescent="0.25">
      <c r="A157" s="3">
        <v>7603</v>
      </c>
      <c r="B157" s="15">
        <v>45267</v>
      </c>
      <c r="C157" s="173">
        <v>0.32500000000000001</v>
      </c>
      <c r="D157" s="173">
        <v>0</v>
      </c>
      <c r="E157" s="3">
        <v>0.32500000000000001</v>
      </c>
    </row>
    <row r="158" spans="1:5" x14ac:dyDescent="0.25">
      <c r="A158" s="3">
        <v>7595</v>
      </c>
      <c r="B158" s="15">
        <v>45267</v>
      </c>
      <c r="C158" s="173">
        <v>0.36458333333333331</v>
      </c>
      <c r="D158" s="173">
        <v>0</v>
      </c>
      <c r="E158" s="3">
        <v>0.36458333333333331</v>
      </c>
    </row>
    <row r="159" spans="1:5" x14ac:dyDescent="0.25">
      <c r="A159" s="3">
        <v>7592</v>
      </c>
      <c r="B159" s="15">
        <v>45267</v>
      </c>
      <c r="C159" s="173">
        <v>0.25</v>
      </c>
      <c r="D159" s="173">
        <v>0</v>
      </c>
      <c r="E159" s="3">
        <v>0.25</v>
      </c>
    </row>
    <row r="160" spans="1:5" x14ac:dyDescent="0.25">
      <c r="A160" s="3">
        <v>7590</v>
      </c>
      <c r="B160" s="15">
        <v>45267</v>
      </c>
      <c r="C160" s="173">
        <v>0.16666666666666666</v>
      </c>
      <c r="D160" s="173">
        <v>0.16319444444444445</v>
      </c>
      <c r="E160" s="3">
        <v>0</v>
      </c>
    </row>
    <row r="161" spans="1:5" x14ac:dyDescent="0.25">
      <c r="A161" s="3">
        <v>7589</v>
      </c>
      <c r="B161" s="15">
        <v>45267</v>
      </c>
      <c r="C161" s="173">
        <v>0.29166666666666669</v>
      </c>
      <c r="D161" s="173">
        <v>0</v>
      </c>
      <c r="E161" s="3">
        <v>0.29166666666666669</v>
      </c>
    </row>
    <row r="162" spans="1:5" x14ac:dyDescent="0.25">
      <c r="A162" s="3">
        <v>9857</v>
      </c>
      <c r="B162" s="15">
        <v>45266</v>
      </c>
      <c r="C162" s="173">
        <v>0.32500000000000001</v>
      </c>
      <c r="D162" s="173">
        <v>0.36319444444444443</v>
      </c>
      <c r="E162" s="3">
        <v>0</v>
      </c>
    </row>
    <row r="163" spans="1:5" x14ac:dyDescent="0.25">
      <c r="A163" s="3">
        <v>9245</v>
      </c>
      <c r="B163" s="15">
        <v>45266</v>
      </c>
      <c r="C163" s="173">
        <v>0.36458333333333331</v>
      </c>
      <c r="D163" s="173">
        <v>0</v>
      </c>
      <c r="E163" s="3">
        <v>0.36458333333333331</v>
      </c>
    </row>
    <row r="164" spans="1:5" x14ac:dyDescent="0.25">
      <c r="A164" s="3">
        <v>9232</v>
      </c>
      <c r="B164" s="15">
        <v>45266</v>
      </c>
      <c r="C164" s="173">
        <v>0</v>
      </c>
      <c r="D164" s="173">
        <v>0</v>
      </c>
      <c r="E164" s="3">
        <v>0</v>
      </c>
    </row>
    <row r="165" spans="1:5" x14ac:dyDescent="0.25">
      <c r="A165" s="3">
        <v>8887</v>
      </c>
      <c r="B165" s="15">
        <v>45266</v>
      </c>
      <c r="C165" s="173">
        <v>0.32500000000000001</v>
      </c>
      <c r="D165" s="173">
        <v>0</v>
      </c>
      <c r="E165" s="3">
        <v>0.32500000000000001</v>
      </c>
    </row>
    <row r="166" spans="1:5" x14ac:dyDescent="0.25">
      <c r="A166" s="3">
        <v>8308</v>
      </c>
      <c r="B166" s="15">
        <v>45266</v>
      </c>
      <c r="C166" s="173">
        <v>0.36458333333333331</v>
      </c>
      <c r="D166" s="173">
        <v>0.36180555555555555</v>
      </c>
      <c r="E166" s="3">
        <v>0</v>
      </c>
    </row>
    <row r="167" spans="1:5" x14ac:dyDescent="0.25">
      <c r="A167" s="3">
        <v>8306</v>
      </c>
      <c r="B167" s="15">
        <v>45266</v>
      </c>
      <c r="C167" s="173">
        <v>0.16666666666666666</v>
      </c>
      <c r="D167" s="173">
        <v>0</v>
      </c>
      <c r="E167" s="3">
        <v>0.16666666666666666</v>
      </c>
    </row>
    <row r="168" spans="1:5" x14ac:dyDescent="0.25">
      <c r="A168" s="3">
        <v>8302</v>
      </c>
      <c r="B168" s="15">
        <v>45266</v>
      </c>
      <c r="C168" s="173">
        <v>0.36458333333333331</v>
      </c>
      <c r="D168" s="173">
        <v>9.7222222222222224E-2</v>
      </c>
      <c r="E168" s="3">
        <v>0</v>
      </c>
    </row>
    <row r="169" spans="1:5" x14ac:dyDescent="0.25">
      <c r="A169" s="3">
        <v>8228</v>
      </c>
      <c r="B169" s="15">
        <v>45266</v>
      </c>
      <c r="C169" s="173">
        <v>0.32500000000000001</v>
      </c>
      <c r="D169" s="173">
        <v>0.29583333333333334</v>
      </c>
      <c r="E169" s="3">
        <v>0</v>
      </c>
    </row>
    <row r="170" spans="1:5" x14ac:dyDescent="0.25">
      <c r="A170" s="3">
        <v>8218</v>
      </c>
      <c r="B170" s="15">
        <v>45266</v>
      </c>
      <c r="C170" s="173">
        <v>0.29166666666666669</v>
      </c>
      <c r="D170" s="173">
        <v>0.28958333333333336</v>
      </c>
      <c r="E170" s="3">
        <v>0</v>
      </c>
    </row>
    <row r="171" spans="1:5" x14ac:dyDescent="0.25">
      <c r="A171" s="3">
        <v>8217</v>
      </c>
      <c r="B171" s="15">
        <v>45266</v>
      </c>
      <c r="C171" s="173">
        <v>0</v>
      </c>
      <c r="D171" s="173">
        <v>0</v>
      </c>
      <c r="E171" s="3">
        <v>0</v>
      </c>
    </row>
    <row r="172" spans="1:5" x14ac:dyDescent="0.25">
      <c r="A172" s="3">
        <v>8124</v>
      </c>
      <c r="B172" s="15">
        <v>45266</v>
      </c>
      <c r="C172" s="173">
        <v>0.3125</v>
      </c>
      <c r="D172" s="173">
        <v>0.27361111111111114</v>
      </c>
      <c r="E172" s="3">
        <v>0</v>
      </c>
    </row>
    <row r="173" spans="1:5" x14ac:dyDescent="0.25">
      <c r="A173" s="3">
        <v>8123</v>
      </c>
      <c r="B173" s="15">
        <v>45266</v>
      </c>
      <c r="C173" s="173">
        <v>0</v>
      </c>
      <c r="D173" s="173">
        <v>0</v>
      </c>
      <c r="E173" s="3">
        <v>0</v>
      </c>
    </row>
    <row r="174" spans="1:5" x14ac:dyDescent="0.25">
      <c r="A174" s="3">
        <v>8122</v>
      </c>
      <c r="B174" s="15">
        <v>45266</v>
      </c>
      <c r="C174" s="173">
        <v>0.36458333333333331</v>
      </c>
      <c r="D174" s="173">
        <v>0.41249999999999998</v>
      </c>
      <c r="E174" s="3">
        <v>0</v>
      </c>
    </row>
    <row r="175" spans="1:5" x14ac:dyDescent="0.25">
      <c r="A175" s="3">
        <v>8106</v>
      </c>
      <c r="B175" s="15">
        <v>45266</v>
      </c>
      <c r="C175" s="173">
        <v>0</v>
      </c>
      <c r="D175" s="173">
        <v>0</v>
      </c>
      <c r="E175" s="3">
        <v>0</v>
      </c>
    </row>
    <row r="176" spans="1:5" x14ac:dyDescent="0.25">
      <c r="A176" s="3">
        <v>7973</v>
      </c>
      <c r="B176" s="15">
        <v>45266</v>
      </c>
      <c r="C176" s="173">
        <v>0.41666666666666669</v>
      </c>
      <c r="D176" s="173">
        <v>0.41319444444444442</v>
      </c>
      <c r="E176" s="3">
        <v>0</v>
      </c>
    </row>
    <row r="177" spans="1:5" x14ac:dyDescent="0.25">
      <c r="A177" s="3">
        <v>7938</v>
      </c>
      <c r="B177" s="15">
        <v>45266</v>
      </c>
      <c r="C177" s="173">
        <v>0.33333333333333331</v>
      </c>
      <c r="D177" s="173">
        <v>0.32361111111111113</v>
      </c>
      <c r="E177" s="3">
        <v>0</v>
      </c>
    </row>
    <row r="178" spans="1:5" x14ac:dyDescent="0.25">
      <c r="A178" s="3">
        <v>7935</v>
      </c>
      <c r="B178" s="15">
        <v>45266</v>
      </c>
      <c r="C178" s="173">
        <v>0.36458333333333331</v>
      </c>
      <c r="D178" s="173">
        <v>0.39374999999999999</v>
      </c>
      <c r="E178" s="3">
        <v>0</v>
      </c>
    </row>
    <row r="179" spans="1:5" x14ac:dyDescent="0.25">
      <c r="A179" s="3">
        <v>7890</v>
      </c>
      <c r="B179" s="15">
        <v>45266</v>
      </c>
      <c r="C179" s="173">
        <v>0</v>
      </c>
      <c r="D179" s="173">
        <v>0</v>
      </c>
      <c r="E179" s="3">
        <v>0</v>
      </c>
    </row>
    <row r="180" spans="1:5" x14ac:dyDescent="0.25">
      <c r="A180" s="3">
        <v>7888</v>
      </c>
      <c r="B180" s="15">
        <v>45266</v>
      </c>
      <c r="C180" s="173">
        <v>0.41666666666666669</v>
      </c>
      <c r="D180" s="173">
        <v>0.41111111111111109</v>
      </c>
      <c r="E180" s="3">
        <v>0</v>
      </c>
    </row>
    <row r="181" spans="1:5" x14ac:dyDescent="0.25">
      <c r="A181" s="3">
        <v>7884</v>
      </c>
      <c r="B181" s="15">
        <v>45266</v>
      </c>
      <c r="C181" s="173">
        <v>0</v>
      </c>
      <c r="D181" s="173">
        <v>0</v>
      </c>
      <c r="E181" s="3">
        <v>0</v>
      </c>
    </row>
    <row r="182" spans="1:5" x14ac:dyDescent="0.25">
      <c r="A182" s="3">
        <v>7846</v>
      </c>
      <c r="B182" s="15">
        <v>45266</v>
      </c>
      <c r="C182" s="173">
        <v>0.32500000000000001</v>
      </c>
      <c r="D182" s="173">
        <v>0</v>
      </c>
      <c r="E182" s="3">
        <v>0.32500000000000001</v>
      </c>
    </row>
    <row r="183" spans="1:5" x14ac:dyDescent="0.25">
      <c r="A183" s="3">
        <v>7841</v>
      </c>
      <c r="B183" s="15">
        <v>45266</v>
      </c>
      <c r="C183" s="173">
        <v>0</v>
      </c>
      <c r="D183" s="173">
        <v>0</v>
      </c>
      <c r="E183" s="3">
        <v>0</v>
      </c>
    </row>
    <row r="184" spans="1:5" x14ac:dyDescent="0.25">
      <c r="A184" s="3">
        <v>7840</v>
      </c>
      <c r="B184" s="15">
        <v>45266</v>
      </c>
      <c r="C184" s="173">
        <v>0.33333333333333331</v>
      </c>
      <c r="D184" s="173">
        <v>0</v>
      </c>
      <c r="E184" s="3">
        <v>0</v>
      </c>
    </row>
    <row r="185" spans="1:5" x14ac:dyDescent="0.25">
      <c r="A185" s="3">
        <v>7826</v>
      </c>
      <c r="B185" s="15">
        <v>45266</v>
      </c>
      <c r="C185" s="173">
        <v>0.36458333333333331</v>
      </c>
      <c r="D185" s="173">
        <v>0</v>
      </c>
      <c r="E185" s="3">
        <v>0.36458333333333331</v>
      </c>
    </row>
    <row r="186" spans="1:5" x14ac:dyDescent="0.25">
      <c r="A186" s="3">
        <v>7820</v>
      </c>
      <c r="B186" s="15">
        <v>45266</v>
      </c>
      <c r="C186" s="173">
        <v>0</v>
      </c>
      <c r="D186" s="173">
        <v>0</v>
      </c>
      <c r="E186" s="3">
        <v>0</v>
      </c>
    </row>
    <row r="187" spans="1:5" x14ac:dyDescent="0.25">
      <c r="A187" s="3">
        <v>7739</v>
      </c>
      <c r="B187" s="15">
        <v>45266</v>
      </c>
      <c r="C187" s="173">
        <v>0.41666666666666669</v>
      </c>
      <c r="D187" s="173">
        <v>0.41458333333333336</v>
      </c>
      <c r="E187" s="3">
        <v>0</v>
      </c>
    </row>
    <row r="188" spans="1:5" x14ac:dyDescent="0.25">
      <c r="A188" s="3">
        <v>7607</v>
      </c>
      <c r="B188" s="15">
        <v>45266</v>
      </c>
      <c r="C188" s="173">
        <v>0.16666666666666666</v>
      </c>
      <c r="D188" s="173">
        <v>0.16666666666666666</v>
      </c>
      <c r="E188" s="3">
        <v>0</v>
      </c>
    </row>
    <row r="189" spans="1:5" x14ac:dyDescent="0.25">
      <c r="A189" s="3">
        <v>7605</v>
      </c>
      <c r="B189" s="15">
        <v>45266</v>
      </c>
      <c r="C189" s="173">
        <v>0.16666666666666666</v>
      </c>
      <c r="D189" s="173">
        <v>0.1763888888888889</v>
      </c>
      <c r="E189" s="3">
        <v>0</v>
      </c>
    </row>
    <row r="190" spans="1:5" x14ac:dyDescent="0.25">
      <c r="A190" s="3">
        <v>7603</v>
      </c>
      <c r="B190" s="15">
        <v>45266</v>
      </c>
      <c r="C190" s="173">
        <v>0.32500000000000001</v>
      </c>
      <c r="D190" s="173">
        <v>0</v>
      </c>
      <c r="E190" s="3">
        <v>0.32500000000000001</v>
      </c>
    </row>
    <row r="191" spans="1:5" x14ac:dyDescent="0.25">
      <c r="A191" s="3">
        <v>7595</v>
      </c>
      <c r="B191" s="15">
        <v>45266</v>
      </c>
      <c r="C191" s="173">
        <v>0.36458333333333331</v>
      </c>
      <c r="D191" s="173">
        <v>0</v>
      </c>
      <c r="E191" s="3">
        <v>0.36458333333333331</v>
      </c>
    </row>
    <row r="192" spans="1:5" x14ac:dyDescent="0.25">
      <c r="A192" s="3">
        <v>7592</v>
      </c>
      <c r="B192" s="15">
        <v>45266</v>
      </c>
      <c r="C192" s="173">
        <v>0</v>
      </c>
      <c r="D192" s="173">
        <v>0</v>
      </c>
      <c r="E192" s="3">
        <v>0</v>
      </c>
    </row>
    <row r="193" spans="1:5" x14ac:dyDescent="0.25">
      <c r="A193" s="3">
        <v>7590</v>
      </c>
      <c r="B193" s="15">
        <v>45266</v>
      </c>
      <c r="C193" s="173">
        <v>0</v>
      </c>
      <c r="D193" s="173">
        <v>0</v>
      </c>
      <c r="E193" s="3">
        <v>0</v>
      </c>
    </row>
    <row r="194" spans="1:5" x14ac:dyDescent="0.25">
      <c r="A194" s="3">
        <v>7589</v>
      </c>
      <c r="B194" s="15">
        <v>45266</v>
      </c>
      <c r="C194" s="173">
        <v>0</v>
      </c>
      <c r="D194" s="173">
        <v>0</v>
      </c>
      <c r="E194" s="3">
        <v>0</v>
      </c>
    </row>
    <row r="195" spans="1:5" x14ac:dyDescent="0.25">
      <c r="A195" s="3">
        <v>9857</v>
      </c>
      <c r="B195" s="15">
        <v>45265</v>
      </c>
      <c r="C195" s="173">
        <v>0.32500000000000001</v>
      </c>
      <c r="D195" s="173">
        <v>0.33124999999999999</v>
      </c>
      <c r="E195" s="3">
        <v>0</v>
      </c>
    </row>
    <row r="196" spans="1:5" x14ac:dyDescent="0.25">
      <c r="A196" s="3">
        <v>9245</v>
      </c>
      <c r="B196" s="15">
        <v>45265</v>
      </c>
      <c r="C196" s="173">
        <v>0.36458333333333331</v>
      </c>
      <c r="D196" s="173">
        <v>0</v>
      </c>
      <c r="E196" s="3">
        <v>0.36458333333333331</v>
      </c>
    </row>
    <row r="197" spans="1:5" x14ac:dyDescent="0.25">
      <c r="A197" s="3">
        <v>9232</v>
      </c>
      <c r="B197" s="15">
        <v>45265</v>
      </c>
      <c r="C197" s="173">
        <v>0.41666666666666669</v>
      </c>
      <c r="D197" s="173">
        <v>0</v>
      </c>
      <c r="E197" s="3">
        <v>0.41666666666666669</v>
      </c>
    </row>
    <row r="198" spans="1:5" x14ac:dyDescent="0.25">
      <c r="A198" s="3">
        <v>8887</v>
      </c>
      <c r="B198" s="15">
        <v>45265</v>
      </c>
      <c r="C198" s="173">
        <v>0.32500000000000001</v>
      </c>
      <c r="D198" s="173">
        <v>0</v>
      </c>
      <c r="E198" s="3">
        <v>0.32500000000000001</v>
      </c>
    </row>
    <row r="199" spans="1:5" x14ac:dyDescent="0.25">
      <c r="A199" s="3">
        <v>8308</v>
      </c>
      <c r="B199" s="15">
        <v>45265</v>
      </c>
      <c r="C199" s="173">
        <v>0.36458333333333331</v>
      </c>
      <c r="D199" s="173">
        <v>0.33958333333333335</v>
      </c>
      <c r="E199" s="3">
        <v>0</v>
      </c>
    </row>
    <row r="200" spans="1:5" x14ac:dyDescent="0.25">
      <c r="A200" s="3">
        <v>8306</v>
      </c>
      <c r="B200" s="15">
        <v>45265</v>
      </c>
      <c r="C200" s="173">
        <v>0.16666666666666666</v>
      </c>
      <c r="D200" s="173">
        <v>0</v>
      </c>
      <c r="E200" s="3">
        <v>0.16666666666666666</v>
      </c>
    </row>
    <row r="201" spans="1:5" x14ac:dyDescent="0.25">
      <c r="A201" s="3">
        <v>8302</v>
      </c>
      <c r="B201" s="15">
        <v>45265</v>
      </c>
      <c r="C201" s="173">
        <v>0.36458333333333331</v>
      </c>
      <c r="D201" s="173">
        <v>0.34583333333333333</v>
      </c>
      <c r="E201" s="3">
        <v>0</v>
      </c>
    </row>
    <row r="202" spans="1:5" x14ac:dyDescent="0.25">
      <c r="A202" s="3">
        <v>8228</v>
      </c>
      <c r="B202" s="15">
        <v>45265</v>
      </c>
      <c r="C202" s="173">
        <v>0.32500000000000001</v>
      </c>
      <c r="D202" s="173">
        <v>0.44027777777777777</v>
      </c>
      <c r="E202" s="3">
        <v>0</v>
      </c>
    </row>
    <row r="203" spans="1:5" x14ac:dyDescent="0.25">
      <c r="A203" s="3">
        <v>8218</v>
      </c>
      <c r="B203" s="15">
        <v>45265</v>
      </c>
      <c r="C203" s="173">
        <v>0</v>
      </c>
      <c r="D203" s="173">
        <v>0</v>
      </c>
      <c r="E203" s="3">
        <v>0</v>
      </c>
    </row>
    <row r="204" spans="1:5" x14ac:dyDescent="0.25">
      <c r="A204" s="3">
        <v>8217</v>
      </c>
      <c r="B204" s="15">
        <v>45265</v>
      </c>
      <c r="C204" s="173">
        <v>0.29166666666666669</v>
      </c>
      <c r="D204" s="173">
        <v>0</v>
      </c>
      <c r="E204" s="3">
        <v>0</v>
      </c>
    </row>
    <row r="205" spans="1:5" x14ac:dyDescent="0.25">
      <c r="A205" s="3">
        <v>8124</v>
      </c>
      <c r="B205" s="15">
        <v>45265</v>
      </c>
      <c r="C205" s="173">
        <v>0.29166666666666669</v>
      </c>
      <c r="D205" s="173">
        <v>0.29583333333333334</v>
      </c>
      <c r="E205" s="3">
        <v>0</v>
      </c>
    </row>
    <row r="206" spans="1:5" x14ac:dyDescent="0.25">
      <c r="A206" s="3">
        <v>8123</v>
      </c>
      <c r="B206" s="15">
        <v>45265</v>
      </c>
      <c r="C206" s="173">
        <v>0.33333333333333331</v>
      </c>
      <c r="D206" s="173">
        <v>0</v>
      </c>
      <c r="E206" s="3">
        <v>0.33333333333333331</v>
      </c>
    </row>
    <row r="207" spans="1:5" x14ac:dyDescent="0.25">
      <c r="A207" s="3">
        <v>8122</v>
      </c>
      <c r="B207" s="15">
        <v>45265</v>
      </c>
      <c r="C207" s="173">
        <v>0.36458333333333331</v>
      </c>
      <c r="D207" s="173">
        <v>0.3215277777777778</v>
      </c>
      <c r="E207" s="3">
        <v>0</v>
      </c>
    </row>
    <row r="208" spans="1:5" x14ac:dyDescent="0.25">
      <c r="A208" s="3">
        <v>8106</v>
      </c>
      <c r="B208" s="15">
        <v>45265</v>
      </c>
      <c r="C208" s="173">
        <v>0.36458333333333331</v>
      </c>
      <c r="D208" s="173">
        <v>0.33750000000000002</v>
      </c>
      <c r="E208" s="3">
        <v>0</v>
      </c>
    </row>
    <row r="209" spans="1:5" x14ac:dyDescent="0.25">
      <c r="A209" s="3">
        <v>7973</v>
      </c>
      <c r="B209" s="15">
        <v>45265</v>
      </c>
      <c r="C209" s="173">
        <v>0.41666666666666669</v>
      </c>
      <c r="D209" s="173">
        <v>0.41736111111111113</v>
      </c>
      <c r="E209" s="3">
        <v>0</v>
      </c>
    </row>
    <row r="210" spans="1:5" x14ac:dyDescent="0.25">
      <c r="A210" s="3">
        <v>7938</v>
      </c>
      <c r="B210" s="15">
        <v>45265</v>
      </c>
      <c r="C210" s="173">
        <v>0.33333333333333331</v>
      </c>
      <c r="D210" s="173">
        <v>0.33124999999999999</v>
      </c>
      <c r="E210" s="3">
        <v>0</v>
      </c>
    </row>
    <row r="211" spans="1:5" x14ac:dyDescent="0.25">
      <c r="A211" s="3">
        <v>7935</v>
      </c>
      <c r="B211" s="15">
        <v>45265</v>
      </c>
      <c r="C211" s="173">
        <v>0.36458333333333331</v>
      </c>
      <c r="D211" s="173">
        <v>0.40347222222222223</v>
      </c>
      <c r="E211" s="3">
        <v>0</v>
      </c>
    </row>
    <row r="212" spans="1:5" x14ac:dyDescent="0.25">
      <c r="A212" s="3">
        <v>7890</v>
      </c>
      <c r="B212" s="15">
        <v>45265</v>
      </c>
      <c r="C212" s="173">
        <v>0.41666666666666669</v>
      </c>
      <c r="D212" s="173">
        <v>0.35486111111111113</v>
      </c>
      <c r="E212" s="3">
        <v>0</v>
      </c>
    </row>
    <row r="213" spans="1:5" x14ac:dyDescent="0.25">
      <c r="A213" s="3">
        <v>7888</v>
      </c>
      <c r="B213" s="15">
        <v>45265</v>
      </c>
      <c r="C213" s="173">
        <v>0.29166666666666669</v>
      </c>
      <c r="D213" s="173">
        <v>0.29583333333333334</v>
      </c>
      <c r="E213" s="3">
        <v>0</v>
      </c>
    </row>
    <row r="214" spans="1:5" x14ac:dyDescent="0.25">
      <c r="A214" s="3">
        <v>7884</v>
      </c>
      <c r="B214" s="15">
        <v>45265</v>
      </c>
      <c r="C214" s="173">
        <v>0.41666666666666669</v>
      </c>
      <c r="D214" s="173">
        <v>0.16319444444444445</v>
      </c>
      <c r="E214" s="3">
        <v>0</v>
      </c>
    </row>
    <row r="215" spans="1:5" x14ac:dyDescent="0.25">
      <c r="A215" s="3">
        <v>7846</v>
      </c>
      <c r="B215" s="15">
        <v>45265</v>
      </c>
      <c r="C215" s="173">
        <v>0.32500000000000001</v>
      </c>
      <c r="D215" s="173">
        <v>0</v>
      </c>
      <c r="E215" s="3">
        <v>0.32500000000000001</v>
      </c>
    </row>
    <row r="216" spans="1:5" x14ac:dyDescent="0.25">
      <c r="A216" s="3">
        <v>7841</v>
      </c>
      <c r="B216" s="15">
        <v>45265</v>
      </c>
      <c r="C216" s="173">
        <v>0.29166666666666669</v>
      </c>
      <c r="D216" s="173">
        <v>0.29305555555555557</v>
      </c>
      <c r="E216" s="3">
        <v>0</v>
      </c>
    </row>
    <row r="217" spans="1:5" x14ac:dyDescent="0.25">
      <c r="A217" s="3">
        <v>7840</v>
      </c>
      <c r="B217" s="15">
        <v>45265</v>
      </c>
      <c r="C217" s="173">
        <v>0</v>
      </c>
      <c r="D217" s="173">
        <v>0</v>
      </c>
      <c r="E217" s="3">
        <v>0</v>
      </c>
    </row>
    <row r="218" spans="1:5" x14ac:dyDescent="0.25">
      <c r="A218" s="3">
        <v>7826</v>
      </c>
      <c r="B218" s="15">
        <v>45265</v>
      </c>
      <c r="C218" s="173">
        <v>0</v>
      </c>
      <c r="D218" s="173">
        <v>0</v>
      </c>
      <c r="E218" s="3">
        <v>0</v>
      </c>
    </row>
    <row r="219" spans="1:5" x14ac:dyDescent="0.25">
      <c r="A219" s="3">
        <v>7820</v>
      </c>
      <c r="B219" s="15">
        <v>45265</v>
      </c>
      <c r="C219" s="173">
        <v>0.36458333333333331</v>
      </c>
      <c r="D219" s="173">
        <v>0</v>
      </c>
      <c r="E219" s="3">
        <v>0</v>
      </c>
    </row>
    <row r="220" spans="1:5" x14ac:dyDescent="0.25">
      <c r="A220" s="3">
        <v>7739</v>
      </c>
      <c r="B220" s="15">
        <v>45265</v>
      </c>
      <c r="C220" s="173">
        <v>0.41666666666666669</v>
      </c>
      <c r="D220" s="173">
        <v>0.41388888888888886</v>
      </c>
      <c r="E220" s="3">
        <v>0</v>
      </c>
    </row>
    <row r="221" spans="1:5" x14ac:dyDescent="0.25">
      <c r="A221" s="3">
        <v>7607</v>
      </c>
      <c r="B221" s="15">
        <v>45265</v>
      </c>
      <c r="C221" s="173">
        <v>0.16666666666666666</v>
      </c>
      <c r="D221" s="173">
        <v>0.16666666666666666</v>
      </c>
      <c r="E221" s="3">
        <v>0</v>
      </c>
    </row>
    <row r="222" spans="1:5" x14ac:dyDescent="0.25">
      <c r="A222" s="3">
        <v>7605</v>
      </c>
      <c r="B222" s="15">
        <v>45265</v>
      </c>
      <c r="C222" s="173">
        <v>0.1875</v>
      </c>
      <c r="D222" s="173">
        <v>0</v>
      </c>
      <c r="E222" s="3">
        <v>0</v>
      </c>
    </row>
    <row r="223" spans="1:5" x14ac:dyDescent="0.25">
      <c r="A223" s="3">
        <v>7603</v>
      </c>
      <c r="B223" s="15">
        <v>45265</v>
      </c>
      <c r="C223" s="173">
        <v>0.32500000000000001</v>
      </c>
      <c r="D223" s="173">
        <v>0</v>
      </c>
      <c r="E223" s="3">
        <v>0.32500000000000001</v>
      </c>
    </row>
    <row r="224" spans="1:5" x14ac:dyDescent="0.25">
      <c r="A224" s="3">
        <v>7595</v>
      </c>
      <c r="B224" s="15">
        <v>45265</v>
      </c>
      <c r="C224" s="173">
        <v>0.36458333333333331</v>
      </c>
      <c r="D224" s="173">
        <v>0</v>
      </c>
      <c r="E224" s="3">
        <v>0.36458333333333331</v>
      </c>
    </row>
    <row r="225" spans="1:5" x14ac:dyDescent="0.25">
      <c r="A225" s="3">
        <v>7592</v>
      </c>
      <c r="B225" s="15">
        <v>45265</v>
      </c>
      <c r="C225" s="173">
        <v>0.25</v>
      </c>
      <c r="D225" s="173">
        <v>0.25138888888888888</v>
      </c>
      <c r="E225" s="3">
        <v>0</v>
      </c>
    </row>
    <row r="226" spans="1:5" x14ac:dyDescent="0.25">
      <c r="A226" s="3">
        <v>7590</v>
      </c>
      <c r="B226" s="15">
        <v>45265</v>
      </c>
      <c r="C226" s="173">
        <v>0.16666666666666666</v>
      </c>
      <c r="D226" s="173">
        <v>0.16319444444444445</v>
      </c>
      <c r="E226" s="3">
        <v>0</v>
      </c>
    </row>
    <row r="227" spans="1:5" x14ac:dyDescent="0.25">
      <c r="A227" s="3">
        <v>7589</v>
      </c>
      <c r="B227" s="15">
        <v>45265</v>
      </c>
      <c r="C227" s="173">
        <v>0.29166666666666669</v>
      </c>
      <c r="D227" s="173">
        <v>0</v>
      </c>
      <c r="E227" s="3">
        <v>0.29166666666666669</v>
      </c>
    </row>
    <row r="228" spans="1:5" x14ac:dyDescent="0.25">
      <c r="A228" s="3">
        <v>9857</v>
      </c>
      <c r="B228" s="15">
        <v>45264</v>
      </c>
      <c r="C228" s="173">
        <v>0.32500000000000001</v>
      </c>
      <c r="D228" s="173">
        <v>0.32777777777777778</v>
      </c>
      <c r="E228" s="3">
        <v>0</v>
      </c>
    </row>
    <row r="229" spans="1:5" x14ac:dyDescent="0.25">
      <c r="A229" s="3">
        <v>9245</v>
      </c>
      <c r="B229" s="15">
        <v>45264</v>
      </c>
      <c r="C229" s="173">
        <v>0.16666666666666666</v>
      </c>
      <c r="D229" s="173">
        <v>0</v>
      </c>
      <c r="E229" s="3">
        <v>0.16666666666666666</v>
      </c>
    </row>
    <row r="230" spans="1:5" x14ac:dyDescent="0.25">
      <c r="A230" s="3">
        <v>9232</v>
      </c>
      <c r="B230" s="15">
        <v>45264</v>
      </c>
      <c r="C230" s="173">
        <v>0.29166666666666669</v>
      </c>
      <c r="D230" s="173">
        <v>0</v>
      </c>
      <c r="E230" s="3">
        <v>0.29166666666666669</v>
      </c>
    </row>
    <row r="231" spans="1:5" x14ac:dyDescent="0.25">
      <c r="A231" s="3">
        <v>8887</v>
      </c>
      <c r="B231" s="15">
        <v>45264</v>
      </c>
      <c r="C231" s="173">
        <v>0.32500000000000001</v>
      </c>
      <c r="D231" s="173">
        <v>0</v>
      </c>
      <c r="E231" s="3">
        <v>0.32500000000000001</v>
      </c>
    </row>
    <row r="232" spans="1:5" x14ac:dyDescent="0.25">
      <c r="A232" s="3">
        <v>8308</v>
      </c>
      <c r="B232" s="15">
        <v>45264</v>
      </c>
      <c r="C232" s="173">
        <v>0.16666666666666666</v>
      </c>
      <c r="D232" s="173">
        <v>0.22361111111111112</v>
      </c>
      <c r="E232" s="3">
        <v>0</v>
      </c>
    </row>
    <row r="233" spans="1:5" x14ac:dyDescent="0.25">
      <c r="A233" s="3">
        <v>8306</v>
      </c>
      <c r="B233" s="15">
        <v>45264</v>
      </c>
      <c r="C233" s="173">
        <v>0</v>
      </c>
      <c r="D233" s="173">
        <v>0</v>
      </c>
      <c r="E233" s="3">
        <v>0</v>
      </c>
    </row>
    <row r="234" spans="1:5" x14ac:dyDescent="0.25">
      <c r="A234" s="3">
        <v>8302</v>
      </c>
      <c r="B234" s="15">
        <v>45264</v>
      </c>
      <c r="C234" s="173">
        <v>0.36458333333333331</v>
      </c>
      <c r="D234" s="173">
        <v>0.27986111111111112</v>
      </c>
      <c r="E234" s="3">
        <v>0</v>
      </c>
    </row>
    <row r="235" spans="1:5" x14ac:dyDescent="0.25">
      <c r="A235" s="3">
        <v>8228</v>
      </c>
      <c r="B235" s="15">
        <v>45264</v>
      </c>
      <c r="C235" s="173">
        <v>0.32500000000000001</v>
      </c>
      <c r="D235" s="173">
        <v>0.37638888888888888</v>
      </c>
      <c r="E235" s="3">
        <v>0</v>
      </c>
    </row>
    <row r="236" spans="1:5" x14ac:dyDescent="0.25">
      <c r="A236" s="3">
        <v>8218</v>
      </c>
      <c r="B236" s="15">
        <v>45264</v>
      </c>
      <c r="C236" s="173">
        <v>0</v>
      </c>
      <c r="D236" s="173">
        <v>0</v>
      </c>
      <c r="E236" s="3">
        <v>0</v>
      </c>
    </row>
    <row r="237" spans="1:5" x14ac:dyDescent="0.25">
      <c r="A237" s="3">
        <v>8217</v>
      </c>
      <c r="B237" s="15">
        <v>45264</v>
      </c>
      <c r="C237" s="173">
        <v>0.29166666666666669</v>
      </c>
      <c r="D237" s="173">
        <v>0</v>
      </c>
      <c r="E237" s="3">
        <v>0</v>
      </c>
    </row>
    <row r="238" spans="1:5" x14ac:dyDescent="0.25">
      <c r="A238" s="3">
        <v>8124</v>
      </c>
      <c r="B238" s="15">
        <v>45264</v>
      </c>
      <c r="C238" s="173">
        <v>0.3125</v>
      </c>
      <c r="D238" s="173">
        <v>0.2638888888888889</v>
      </c>
      <c r="E238" s="3">
        <v>4.1666666666666664E-2</v>
      </c>
    </row>
    <row r="239" spans="1:5" x14ac:dyDescent="0.25">
      <c r="A239" s="3">
        <v>8123</v>
      </c>
      <c r="B239" s="15">
        <v>45264</v>
      </c>
      <c r="C239" s="173">
        <v>0.41666666666666669</v>
      </c>
      <c r="D239" s="173">
        <v>0</v>
      </c>
      <c r="E239" s="3">
        <v>0.41666666666666669</v>
      </c>
    </row>
    <row r="240" spans="1:5" x14ac:dyDescent="0.25">
      <c r="A240" s="3">
        <v>8122</v>
      </c>
      <c r="B240" s="15">
        <v>45264</v>
      </c>
      <c r="C240" s="173">
        <v>0.16666666666666666</v>
      </c>
      <c r="D240" s="173">
        <v>0.21666666666666667</v>
      </c>
      <c r="E240" s="3">
        <v>0</v>
      </c>
    </row>
    <row r="241" spans="1:5" x14ac:dyDescent="0.25">
      <c r="A241" s="3">
        <v>8106</v>
      </c>
      <c r="B241" s="15">
        <v>45264</v>
      </c>
      <c r="C241" s="173">
        <v>0.36458333333333331</v>
      </c>
      <c r="D241" s="173">
        <v>1.3194444444444444E-2</v>
      </c>
      <c r="E241" s="3">
        <v>0</v>
      </c>
    </row>
    <row r="242" spans="1:5" x14ac:dyDescent="0.25">
      <c r="A242" s="3">
        <v>7973</v>
      </c>
      <c r="B242" s="15">
        <v>45264</v>
      </c>
      <c r="C242" s="173">
        <v>0</v>
      </c>
      <c r="D242" s="173">
        <v>0</v>
      </c>
      <c r="E242" s="3">
        <v>0</v>
      </c>
    </row>
    <row r="243" spans="1:5" x14ac:dyDescent="0.25">
      <c r="A243" s="3">
        <v>7938</v>
      </c>
      <c r="B243" s="15">
        <v>45264</v>
      </c>
      <c r="C243" s="173">
        <v>0.41666666666666669</v>
      </c>
      <c r="D243" s="173">
        <v>0.40763888888888888</v>
      </c>
      <c r="E243" s="3">
        <v>0</v>
      </c>
    </row>
    <row r="244" spans="1:5" x14ac:dyDescent="0.25">
      <c r="A244" s="3">
        <v>7935</v>
      </c>
      <c r="B244" s="15">
        <v>45264</v>
      </c>
      <c r="C244" s="173">
        <v>0.16666666666666666</v>
      </c>
      <c r="D244" s="173">
        <v>0.24583333333333332</v>
      </c>
      <c r="E244" s="3">
        <v>0</v>
      </c>
    </row>
    <row r="245" spans="1:5" x14ac:dyDescent="0.25">
      <c r="A245" s="3">
        <v>7890</v>
      </c>
      <c r="B245" s="15">
        <v>45264</v>
      </c>
      <c r="C245" s="173">
        <v>0.29166666666666669</v>
      </c>
      <c r="D245" s="173">
        <v>0.29652777777777778</v>
      </c>
      <c r="E245" s="3">
        <v>0</v>
      </c>
    </row>
    <row r="246" spans="1:5" x14ac:dyDescent="0.25">
      <c r="A246" s="3">
        <v>7888</v>
      </c>
      <c r="B246" s="15">
        <v>45264</v>
      </c>
      <c r="C246" s="173">
        <v>0</v>
      </c>
      <c r="D246" s="173">
        <v>0</v>
      </c>
      <c r="E246" s="3">
        <v>0</v>
      </c>
    </row>
    <row r="247" spans="1:5" x14ac:dyDescent="0.25">
      <c r="A247" s="3">
        <v>7884</v>
      </c>
      <c r="B247" s="15">
        <v>45264</v>
      </c>
      <c r="C247" s="173">
        <v>0.29166666666666669</v>
      </c>
      <c r="D247" s="173">
        <v>0.29166666666666669</v>
      </c>
      <c r="E247" s="3">
        <v>0</v>
      </c>
    </row>
    <row r="248" spans="1:5" x14ac:dyDescent="0.25">
      <c r="A248" s="3">
        <v>7846</v>
      </c>
      <c r="B248" s="15">
        <v>45264</v>
      </c>
      <c r="C248" s="173">
        <v>0.32500000000000001</v>
      </c>
      <c r="D248" s="173">
        <v>0</v>
      </c>
      <c r="E248" s="3">
        <v>0.32916666666666666</v>
      </c>
    </row>
    <row r="249" spans="1:5" x14ac:dyDescent="0.25">
      <c r="A249" s="3">
        <v>7841</v>
      </c>
      <c r="B249" s="15">
        <v>45264</v>
      </c>
      <c r="C249" s="173">
        <v>0.41666666666666669</v>
      </c>
      <c r="D249" s="173">
        <v>0.40347222222222223</v>
      </c>
      <c r="E249" s="3">
        <v>0</v>
      </c>
    </row>
    <row r="250" spans="1:5" x14ac:dyDescent="0.25">
      <c r="A250" s="3">
        <v>7840</v>
      </c>
      <c r="B250" s="15">
        <v>45264</v>
      </c>
      <c r="C250" s="173">
        <v>0.41666666666666669</v>
      </c>
      <c r="D250" s="173">
        <v>0</v>
      </c>
      <c r="E250" s="3">
        <v>0.10416666666666667</v>
      </c>
    </row>
    <row r="251" spans="1:5" x14ac:dyDescent="0.25">
      <c r="A251" s="3">
        <v>7826</v>
      </c>
      <c r="B251" s="15">
        <v>45264</v>
      </c>
      <c r="C251" s="173">
        <v>0.36458333333333331</v>
      </c>
      <c r="D251" s="173">
        <v>0</v>
      </c>
      <c r="E251" s="3">
        <v>0.36458333333333331</v>
      </c>
    </row>
    <row r="252" spans="1:5" x14ac:dyDescent="0.25">
      <c r="A252" s="3">
        <v>7820</v>
      </c>
      <c r="B252" s="15">
        <v>45264</v>
      </c>
      <c r="C252" s="173">
        <v>0.36458333333333331</v>
      </c>
      <c r="D252" s="173">
        <v>0</v>
      </c>
      <c r="E252" s="3">
        <v>0</v>
      </c>
    </row>
    <row r="253" spans="1:5" x14ac:dyDescent="0.25">
      <c r="A253" s="3">
        <v>7739</v>
      </c>
      <c r="B253" s="15">
        <v>45264</v>
      </c>
      <c r="C253" s="173">
        <v>0</v>
      </c>
      <c r="D253" s="173">
        <v>0</v>
      </c>
      <c r="E253" s="3">
        <v>0</v>
      </c>
    </row>
    <row r="254" spans="1:5" x14ac:dyDescent="0.25">
      <c r="A254" s="3">
        <v>7607</v>
      </c>
      <c r="B254" s="15">
        <v>45264</v>
      </c>
      <c r="C254" s="173">
        <v>0.16666666666666666</v>
      </c>
      <c r="D254" s="173">
        <v>0.16666666666666666</v>
      </c>
      <c r="E254" s="3">
        <v>0</v>
      </c>
    </row>
    <row r="255" spans="1:5" x14ac:dyDescent="0.25">
      <c r="A255" s="3">
        <v>7605</v>
      </c>
      <c r="B255" s="15">
        <v>45264</v>
      </c>
      <c r="C255" s="173">
        <v>0.1875</v>
      </c>
      <c r="D255" s="173">
        <v>0</v>
      </c>
      <c r="E255" s="3">
        <v>0</v>
      </c>
    </row>
    <row r="256" spans="1:5" x14ac:dyDescent="0.25">
      <c r="A256" s="3">
        <v>7603</v>
      </c>
      <c r="B256" s="15">
        <v>45264</v>
      </c>
      <c r="C256" s="173">
        <v>0.32500000000000001</v>
      </c>
      <c r="D256" s="173">
        <v>0</v>
      </c>
      <c r="E256" s="3">
        <v>0.32500000000000001</v>
      </c>
    </row>
    <row r="257" spans="1:5" x14ac:dyDescent="0.25">
      <c r="A257" s="3">
        <v>7595</v>
      </c>
      <c r="B257" s="15">
        <v>45264</v>
      </c>
      <c r="C257" s="173">
        <v>0.36458333333333331</v>
      </c>
      <c r="D257" s="173">
        <v>0</v>
      </c>
      <c r="E257" s="3">
        <v>0.36458333333333331</v>
      </c>
    </row>
    <row r="258" spans="1:5" x14ac:dyDescent="0.25">
      <c r="A258" s="3">
        <v>7592</v>
      </c>
      <c r="B258" s="15">
        <v>45264</v>
      </c>
      <c r="C258" s="173">
        <v>0.33333333333333331</v>
      </c>
      <c r="D258" s="173">
        <v>0.34166666666666667</v>
      </c>
      <c r="E258" s="3">
        <v>0</v>
      </c>
    </row>
    <row r="259" spans="1:5" x14ac:dyDescent="0.25">
      <c r="A259" s="3">
        <v>7590</v>
      </c>
      <c r="B259" s="15">
        <v>45264</v>
      </c>
      <c r="C259" s="173">
        <v>0.16666666666666666</v>
      </c>
      <c r="D259" s="173">
        <v>0.16319444444444445</v>
      </c>
      <c r="E259" s="3">
        <v>0</v>
      </c>
    </row>
    <row r="260" spans="1:5" x14ac:dyDescent="0.25">
      <c r="A260" s="3">
        <v>7589</v>
      </c>
      <c r="B260" s="15">
        <v>45264</v>
      </c>
      <c r="C260" s="173">
        <v>0</v>
      </c>
      <c r="D260" s="173">
        <v>0</v>
      </c>
      <c r="E260" s="3">
        <v>0</v>
      </c>
    </row>
    <row r="261" spans="1:5" x14ac:dyDescent="0.25">
      <c r="A261" s="3">
        <v>9857</v>
      </c>
      <c r="B261" s="15">
        <v>45262</v>
      </c>
      <c r="C261" s="173">
        <v>0</v>
      </c>
      <c r="D261" s="173">
        <v>0</v>
      </c>
      <c r="E261" s="3">
        <v>0</v>
      </c>
    </row>
    <row r="262" spans="1:5" x14ac:dyDescent="0.25">
      <c r="A262" s="3">
        <v>9245</v>
      </c>
      <c r="B262" s="15">
        <v>45262</v>
      </c>
      <c r="C262" s="173">
        <v>0.16666666666666666</v>
      </c>
      <c r="D262" s="173">
        <v>0</v>
      </c>
      <c r="E262" s="3">
        <v>0.16666666666666666</v>
      </c>
    </row>
    <row r="263" spans="1:5" x14ac:dyDescent="0.25">
      <c r="A263" s="3">
        <v>9232</v>
      </c>
      <c r="B263" s="15">
        <v>45262</v>
      </c>
      <c r="C263" s="173">
        <v>0.16666666666666666</v>
      </c>
      <c r="D263" s="173">
        <v>0</v>
      </c>
      <c r="E263" s="3">
        <v>0.16666666666666666</v>
      </c>
    </row>
    <row r="264" spans="1:5" x14ac:dyDescent="0.25">
      <c r="A264" s="3">
        <v>8887</v>
      </c>
      <c r="B264" s="15">
        <v>45262</v>
      </c>
      <c r="C264" s="173">
        <v>0</v>
      </c>
      <c r="D264" s="173">
        <v>0</v>
      </c>
      <c r="E264" s="3">
        <v>0</v>
      </c>
    </row>
    <row r="265" spans="1:5" x14ac:dyDescent="0.25">
      <c r="A265" s="3">
        <v>8308</v>
      </c>
      <c r="B265" s="15">
        <v>45262</v>
      </c>
      <c r="C265" s="173">
        <v>0.16666666666666666</v>
      </c>
      <c r="D265" s="173">
        <v>0.19027777777777777</v>
      </c>
      <c r="E265" s="3">
        <v>0</v>
      </c>
    </row>
    <row r="266" spans="1:5" x14ac:dyDescent="0.25">
      <c r="A266" s="3">
        <v>8306</v>
      </c>
      <c r="B266" s="15">
        <v>45262</v>
      </c>
      <c r="C266" s="173">
        <v>0</v>
      </c>
      <c r="D266" s="173">
        <v>0</v>
      </c>
      <c r="E266" s="3">
        <v>0</v>
      </c>
    </row>
    <row r="267" spans="1:5" x14ac:dyDescent="0.25">
      <c r="A267" s="3">
        <v>8302</v>
      </c>
      <c r="B267" s="15">
        <v>45262</v>
      </c>
      <c r="C267" s="173">
        <v>0</v>
      </c>
      <c r="D267" s="173">
        <v>0</v>
      </c>
      <c r="E267" s="3">
        <v>0</v>
      </c>
    </row>
    <row r="268" spans="1:5" x14ac:dyDescent="0.25">
      <c r="A268" s="3">
        <v>8228</v>
      </c>
      <c r="B268" s="15">
        <v>45262</v>
      </c>
      <c r="C268" s="173">
        <v>0</v>
      </c>
      <c r="D268" s="173">
        <v>0</v>
      </c>
      <c r="E268" s="3">
        <v>0</v>
      </c>
    </row>
    <row r="269" spans="1:5" x14ac:dyDescent="0.25">
      <c r="A269" s="3">
        <v>8218</v>
      </c>
      <c r="B269" s="15">
        <v>45262</v>
      </c>
      <c r="C269" s="173">
        <v>0</v>
      </c>
      <c r="D269" s="173">
        <v>0</v>
      </c>
      <c r="E269" s="3">
        <v>0</v>
      </c>
    </row>
    <row r="270" spans="1:5" x14ac:dyDescent="0.25">
      <c r="A270" s="3">
        <v>8217</v>
      </c>
      <c r="B270" s="15">
        <v>45262</v>
      </c>
      <c r="C270" s="173">
        <v>0</v>
      </c>
      <c r="D270" s="173">
        <v>0</v>
      </c>
      <c r="E270" s="3">
        <v>0</v>
      </c>
    </row>
    <row r="271" spans="1:5" x14ac:dyDescent="0.25">
      <c r="A271" s="3">
        <v>8124</v>
      </c>
      <c r="B271" s="15">
        <v>45262</v>
      </c>
      <c r="C271" s="173">
        <v>0</v>
      </c>
      <c r="D271" s="173">
        <v>0</v>
      </c>
      <c r="E271" s="3">
        <v>0</v>
      </c>
    </row>
    <row r="272" spans="1:5" x14ac:dyDescent="0.25">
      <c r="A272" s="3">
        <v>8123</v>
      </c>
      <c r="B272" s="15">
        <v>45262</v>
      </c>
      <c r="C272" s="173">
        <v>0</v>
      </c>
      <c r="D272" s="173">
        <v>0</v>
      </c>
      <c r="E272" s="3">
        <v>0</v>
      </c>
    </row>
    <row r="273" spans="1:5" x14ac:dyDescent="0.25">
      <c r="A273" s="3">
        <v>8122</v>
      </c>
      <c r="B273" s="15">
        <v>45262</v>
      </c>
      <c r="C273" s="173">
        <v>0.16666666666666666</v>
      </c>
      <c r="D273" s="173">
        <v>0.18263888888888888</v>
      </c>
      <c r="E273" s="3">
        <v>0</v>
      </c>
    </row>
    <row r="274" spans="1:5" x14ac:dyDescent="0.25">
      <c r="A274" s="3">
        <v>8106</v>
      </c>
      <c r="B274" s="15">
        <v>45262</v>
      </c>
      <c r="C274" s="173">
        <v>0</v>
      </c>
      <c r="D274" s="173">
        <v>0</v>
      </c>
      <c r="E274" s="3">
        <v>0</v>
      </c>
    </row>
    <row r="275" spans="1:5" x14ac:dyDescent="0.25">
      <c r="A275" s="3">
        <v>7973</v>
      </c>
      <c r="B275" s="15">
        <v>45262</v>
      </c>
      <c r="C275" s="173">
        <v>0.16666666666666666</v>
      </c>
      <c r="D275" s="173">
        <v>0.18819444444444444</v>
      </c>
      <c r="E275" s="3">
        <v>0</v>
      </c>
    </row>
    <row r="276" spans="1:5" x14ac:dyDescent="0.25">
      <c r="A276" s="3">
        <v>7938</v>
      </c>
      <c r="B276" s="15">
        <v>45262</v>
      </c>
      <c r="C276" s="173">
        <v>0</v>
      </c>
      <c r="D276" s="173">
        <v>0</v>
      </c>
      <c r="E276" s="3">
        <v>0</v>
      </c>
    </row>
    <row r="277" spans="1:5" x14ac:dyDescent="0.25">
      <c r="A277" s="3">
        <v>7935</v>
      </c>
      <c r="B277" s="15">
        <v>45262</v>
      </c>
      <c r="C277" s="173">
        <v>0.16666666666666666</v>
      </c>
      <c r="D277" s="173">
        <v>0.19097222222222221</v>
      </c>
      <c r="E277" s="3">
        <v>0</v>
      </c>
    </row>
    <row r="278" spans="1:5" x14ac:dyDescent="0.25">
      <c r="A278" s="3">
        <v>7890</v>
      </c>
      <c r="B278" s="15">
        <v>45262</v>
      </c>
      <c r="C278" s="173">
        <v>0.16666666666666666</v>
      </c>
      <c r="D278" s="173">
        <v>0.19791666666666666</v>
      </c>
      <c r="E278" s="3">
        <v>0</v>
      </c>
    </row>
    <row r="279" spans="1:5" x14ac:dyDescent="0.25">
      <c r="A279" s="3">
        <v>7888</v>
      </c>
      <c r="B279" s="15">
        <v>45262</v>
      </c>
      <c r="C279" s="173">
        <v>0</v>
      </c>
      <c r="D279" s="173">
        <v>0</v>
      </c>
      <c r="E279" s="3">
        <v>0</v>
      </c>
    </row>
    <row r="280" spans="1:5" x14ac:dyDescent="0.25">
      <c r="A280" s="3">
        <v>7884</v>
      </c>
      <c r="B280" s="15">
        <v>45262</v>
      </c>
      <c r="C280" s="173">
        <v>0.16666666666666666</v>
      </c>
      <c r="D280" s="173">
        <v>0.18402777777777779</v>
      </c>
      <c r="E280" s="3">
        <v>0</v>
      </c>
    </row>
    <row r="281" spans="1:5" x14ac:dyDescent="0.25">
      <c r="A281" s="3">
        <v>7846</v>
      </c>
      <c r="B281" s="15">
        <v>45262</v>
      </c>
      <c r="C281" s="173">
        <v>0</v>
      </c>
      <c r="D281" s="173">
        <v>0</v>
      </c>
      <c r="E281" s="3">
        <v>0</v>
      </c>
    </row>
    <row r="282" spans="1:5" x14ac:dyDescent="0.25">
      <c r="A282" s="3">
        <v>7841</v>
      </c>
      <c r="B282" s="15">
        <v>45262</v>
      </c>
      <c r="C282" s="173">
        <v>0</v>
      </c>
      <c r="D282" s="173">
        <v>0</v>
      </c>
      <c r="E282" s="3">
        <v>0</v>
      </c>
    </row>
    <row r="283" spans="1:5" x14ac:dyDescent="0.25">
      <c r="A283" s="3">
        <v>7840</v>
      </c>
      <c r="B283" s="15">
        <v>45262</v>
      </c>
      <c r="C283" s="173">
        <v>0</v>
      </c>
      <c r="D283" s="173">
        <v>0</v>
      </c>
      <c r="E283" s="3">
        <v>0</v>
      </c>
    </row>
    <row r="284" spans="1:5" x14ac:dyDescent="0.25">
      <c r="A284" s="3">
        <v>7826</v>
      </c>
      <c r="B284" s="15">
        <v>45262</v>
      </c>
      <c r="C284" s="173">
        <v>0</v>
      </c>
      <c r="D284" s="173">
        <v>0</v>
      </c>
      <c r="E284" s="3">
        <v>0</v>
      </c>
    </row>
    <row r="285" spans="1:5" x14ac:dyDescent="0.25">
      <c r="A285" s="3">
        <v>7820</v>
      </c>
      <c r="B285" s="15">
        <v>45262</v>
      </c>
      <c r="C285" s="173">
        <v>0</v>
      </c>
      <c r="D285" s="173">
        <v>0</v>
      </c>
      <c r="E285" s="3">
        <v>0</v>
      </c>
    </row>
    <row r="286" spans="1:5" x14ac:dyDescent="0.25">
      <c r="A286" s="3">
        <v>7739</v>
      </c>
      <c r="B286" s="15">
        <v>45262</v>
      </c>
      <c r="C286" s="173">
        <v>0.16666666666666666</v>
      </c>
      <c r="D286" s="173">
        <v>0.19305555555555556</v>
      </c>
      <c r="E286" s="3">
        <v>0</v>
      </c>
    </row>
    <row r="287" spans="1:5" x14ac:dyDescent="0.25">
      <c r="A287" s="3">
        <v>7607</v>
      </c>
      <c r="B287" s="15">
        <v>45262</v>
      </c>
      <c r="C287" s="173">
        <v>0</v>
      </c>
      <c r="D287" s="173">
        <v>0</v>
      </c>
      <c r="E287" s="3">
        <v>0</v>
      </c>
    </row>
    <row r="288" spans="1:5" x14ac:dyDescent="0.25">
      <c r="A288" s="3">
        <v>7605</v>
      </c>
      <c r="B288" s="15">
        <v>45262</v>
      </c>
      <c r="C288" s="173">
        <v>0</v>
      </c>
      <c r="D288" s="173">
        <v>0</v>
      </c>
      <c r="E288" s="3">
        <v>0</v>
      </c>
    </row>
    <row r="289" spans="1:5" x14ac:dyDescent="0.25">
      <c r="A289" s="3">
        <v>7603</v>
      </c>
      <c r="B289" s="15">
        <v>45262</v>
      </c>
      <c r="C289" s="173">
        <v>0</v>
      </c>
      <c r="D289" s="173">
        <v>0</v>
      </c>
      <c r="E289" s="3">
        <v>0</v>
      </c>
    </row>
    <row r="290" spans="1:5" x14ac:dyDescent="0.25">
      <c r="A290" s="3">
        <v>7595</v>
      </c>
      <c r="B290" s="15">
        <v>45262</v>
      </c>
      <c r="C290" s="173">
        <v>0</v>
      </c>
      <c r="D290" s="173">
        <v>0</v>
      </c>
      <c r="E290" s="3">
        <v>0</v>
      </c>
    </row>
    <row r="291" spans="1:5" x14ac:dyDescent="0.25">
      <c r="A291" s="3">
        <v>7592</v>
      </c>
      <c r="B291" s="15">
        <v>45262</v>
      </c>
      <c r="C291" s="173">
        <v>0</v>
      </c>
      <c r="D291" s="173">
        <v>0</v>
      </c>
      <c r="E291" s="3">
        <v>0</v>
      </c>
    </row>
    <row r="292" spans="1:5" x14ac:dyDescent="0.25">
      <c r="A292" s="3">
        <v>7590</v>
      </c>
      <c r="B292" s="15">
        <v>45262</v>
      </c>
      <c r="C292" s="173">
        <v>0</v>
      </c>
      <c r="D292" s="173">
        <v>0</v>
      </c>
      <c r="E292" s="3">
        <v>0</v>
      </c>
    </row>
    <row r="293" spans="1:5" x14ac:dyDescent="0.25">
      <c r="A293" s="3">
        <v>7589</v>
      </c>
      <c r="B293" s="15">
        <v>45262</v>
      </c>
      <c r="C293" s="173">
        <v>0</v>
      </c>
      <c r="D293" s="173">
        <v>0</v>
      </c>
      <c r="E293" s="3">
        <v>0</v>
      </c>
    </row>
    <row r="294" spans="1:5" x14ac:dyDescent="0.25">
      <c r="A294" s="3">
        <v>9857</v>
      </c>
      <c r="B294" s="15">
        <v>45261</v>
      </c>
      <c r="C294" s="173">
        <v>0.32500000000000001</v>
      </c>
      <c r="D294" s="173">
        <v>0.32013888888888886</v>
      </c>
      <c r="E294" s="3">
        <v>0</v>
      </c>
    </row>
    <row r="295" spans="1:5" x14ac:dyDescent="0.25">
      <c r="A295" s="3">
        <v>9245</v>
      </c>
      <c r="B295" s="15">
        <v>45261</v>
      </c>
      <c r="C295" s="173">
        <v>0.36458333333333331</v>
      </c>
      <c r="D295" s="173">
        <v>0</v>
      </c>
      <c r="E295" s="3">
        <v>0.36458333333333331</v>
      </c>
    </row>
    <row r="296" spans="1:5" x14ac:dyDescent="0.25">
      <c r="A296" s="3">
        <v>9232</v>
      </c>
      <c r="B296" s="15">
        <v>45261</v>
      </c>
      <c r="C296" s="173">
        <v>0.41666666666666669</v>
      </c>
      <c r="D296" s="173">
        <v>0</v>
      </c>
      <c r="E296" s="3">
        <v>0.41666666666666669</v>
      </c>
    </row>
    <row r="297" spans="1:5" x14ac:dyDescent="0.25">
      <c r="A297" s="3">
        <v>8887</v>
      </c>
      <c r="B297" s="15">
        <v>45261</v>
      </c>
      <c r="C297" s="173">
        <v>0.32500000000000001</v>
      </c>
      <c r="D297" s="173">
        <v>0</v>
      </c>
      <c r="E297" s="3">
        <v>0.32500000000000001</v>
      </c>
    </row>
    <row r="298" spans="1:5" x14ac:dyDescent="0.25">
      <c r="A298" s="3">
        <v>8308</v>
      </c>
      <c r="B298" s="15">
        <v>45261</v>
      </c>
      <c r="C298" s="173">
        <v>0.36458333333333331</v>
      </c>
      <c r="D298" s="173">
        <v>0.37777777777777777</v>
      </c>
      <c r="E298" s="3">
        <v>0</v>
      </c>
    </row>
    <row r="299" spans="1:5" x14ac:dyDescent="0.25">
      <c r="A299" s="3">
        <v>8306</v>
      </c>
      <c r="B299" s="15">
        <v>45261</v>
      </c>
      <c r="C299" s="173">
        <v>0.16666666666666666</v>
      </c>
      <c r="D299" s="173">
        <v>0</v>
      </c>
      <c r="E299" s="3">
        <v>0.16666666666666666</v>
      </c>
    </row>
    <row r="300" spans="1:5" x14ac:dyDescent="0.25">
      <c r="A300" s="3">
        <v>8302</v>
      </c>
      <c r="B300" s="15">
        <v>45261</v>
      </c>
      <c r="C300" s="173">
        <v>0.36458333333333331</v>
      </c>
      <c r="D300" s="173">
        <v>0.34861111111111109</v>
      </c>
      <c r="E300" s="3">
        <v>0</v>
      </c>
    </row>
    <row r="301" spans="1:5" x14ac:dyDescent="0.25">
      <c r="A301" s="3">
        <v>8228</v>
      </c>
      <c r="B301" s="15">
        <v>45261</v>
      </c>
      <c r="C301" s="173">
        <v>0.32500000000000001</v>
      </c>
      <c r="D301" s="173">
        <v>0.39930555555555558</v>
      </c>
      <c r="E301" s="3">
        <v>0</v>
      </c>
    </row>
    <row r="302" spans="1:5" x14ac:dyDescent="0.25">
      <c r="A302" s="3">
        <v>8218</v>
      </c>
      <c r="B302" s="15">
        <v>45261</v>
      </c>
      <c r="C302" s="173">
        <v>0.29166666666666669</v>
      </c>
      <c r="D302" s="173">
        <v>0.24583333333333332</v>
      </c>
      <c r="E302" s="3">
        <v>0</v>
      </c>
    </row>
    <row r="303" spans="1:5" x14ac:dyDescent="0.25">
      <c r="A303" s="3">
        <v>8217</v>
      </c>
      <c r="B303" s="15">
        <v>45261</v>
      </c>
      <c r="C303" s="173">
        <v>0</v>
      </c>
      <c r="D303" s="173">
        <v>0</v>
      </c>
      <c r="E303" s="3">
        <v>0</v>
      </c>
    </row>
    <row r="304" spans="1:5" x14ac:dyDescent="0.25">
      <c r="A304" s="3">
        <v>8124</v>
      </c>
      <c r="B304" s="15">
        <v>45261</v>
      </c>
      <c r="C304" s="173">
        <v>0</v>
      </c>
      <c r="D304" s="173">
        <v>0</v>
      </c>
      <c r="E304" s="3">
        <v>0</v>
      </c>
    </row>
    <row r="305" spans="1:5" x14ac:dyDescent="0.25">
      <c r="A305" s="3">
        <v>8123</v>
      </c>
      <c r="B305" s="15">
        <v>45261</v>
      </c>
      <c r="C305" s="173">
        <v>0.41666666666666669</v>
      </c>
      <c r="D305" s="173">
        <v>0</v>
      </c>
      <c r="E305" s="3">
        <v>0.41666666666666669</v>
      </c>
    </row>
    <row r="306" spans="1:5" x14ac:dyDescent="0.25">
      <c r="A306" s="3">
        <v>8122</v>
      </c>
      <c r="B306" s="15">
        <v>45261</v>
      </c>
      <c r="C306" s="173">
        <v>0.36458333333333331</v>
      </c>
      <c r="D306" s="173">
        <v>0.32013888888888886</v>
      </c>
      <c r="E306" s="3">
        <v>0</v>
      </c>
    </row>
    <row r="307" spans="1:5" x14ac:dyDescent="0.25">
      <c r="A307" s="3">
        <v>8106</v>
      </c>
      <c r="B307" s="15">
        <v>45261</v>
      </c>
      <c r="C307" s="173">
        <v>0.36458333333333331</v>
      </c>
      <c r="D307" s="173">
        <v>0.35138888888888886</v>
      </c>
      <c r="E307" s="3">
        <v>0</v>
      </c>
    </row>
    <row r="308" spans="1:5" x14ac:dyDescent="0.25">
      <c r="A308" s="3">
        <v>7973</v>
      </c>
      <c r="B308" s="15">
        <v>45261</v>
      </c>
      <c r="C308" s="173">
        <v>0.33333333333333331</v>
      </c>
      <c r="D308" s="173">
        <v>0.32777777777777778</v>
      </c>
      <c r="E308" s="3">
        <v>0</v>
      </c>
    </row>
    <row r="309" spans="1:5" x14ac:dyDescent="0.25">
      <c r="A309" s="3">
        <v>7938</v>
      </c>
      <c r="B309" s="15">
        <v>45261</v>
      </c>
      <c r="C309" s="173">
        <v>0.41666666666666669</v>
      </c>
      <c r="D309" s="173">
        <v>0</v>
      </c>
      <c r="E309" s="3">
        <v>0.41666666666666669</v>
      </c>
    </row>
    <row r="310" spans="1:5" x14ac:dyDescent="0.25">
      <c r="A310" s="3">
        <v>7935</v>
      </c>
      <c r="B310" s="15">
        <v>45261</v>
      </c>
      <c r="C310" s="173">
        <v>0.36458333333333331</v>
      </c>
      <c r="D310" s="173">
        <v>0.36249999999999999</v>
      </c>
      <c r="E310" s="3">
        <v>0</v>
      </c>
    </row>
    <row r="311" spans="1:5" x14ac:dyDescent="0.25">
      <c r="A311" s="3">
        <v>7890</v>
      </c>
      <c r="B311" s="15">
        <v>45261</v>
      </c>
      <c r="C311" s="173">
        <v>0.41666666666666669</v>
      </c>
      <c r="D311" s="173">
        <v>0.41666666666666669</v>
      </c>
      <c r="E311" s="3">
        <v>0</v>
      </c>
    </row>
    <row r="312" spans="1:5" x14ac:dyDescent="0.25">
      <c r="A312" s="3">
        <v>7888</v>
      </c>
      <c r="B312" s="15">
        <v>45261</v>
      </c>
      <c r="C312" s="173">
        <v>0.29166666666666669</v>
      </c>
      <c r="D312" s="173">
        <v>0.2951388888888889</v>
      </c>
      <c r="E312" s="3">
        <v>0</v>
      </c>
    </row>
    <row r="313" spans="1:5" x14ac:dyDescent="0.25">
      <c r="A313" s="3">
        <v>7884</v>
      </c>
      <c r="B313" s="15">
        <v>45261</v>
      </c>
      <c r="C313" s="173">
        <v>0.29166666666666669</v>
      </c>
      <c r="D313" s="173">
        <v>0.30625000000000002</v>
      </c>
      <c r="E313" s="3">
        <v>0</v>
      </c>
    </row>
    <row r="314" spans="1:5" x14ac:dyDescent="0.25">
      <c r="A314" s="3">
        <v>7846</v>
      </c>
      <c r="B314" s="15">
        <v>45261</v>
      </c>
      <c r="C314" s="173">
        <v>0.32500000000000001</v>
      </c>
      <c r="D314" s="173">
        <v>0.26874999999999999</v>
      </c>
      <c r="E314" s="3">
        <v>0</v>
      </c>
    </row>
    <row r="315" spans="1:5" x14ac:dyDescent="0.25">
      <c r="A315" s="3">
        <v>7841</v>
      </c>
      <c r="B315" s="15">
        <v>45261</v>
      </c>
      <c r="C315" s="173">
        <v>0.29166666666666669</v>
      </c>
      <c r="D315" s="173">
        <v>0.29583333333333334</v>
      </c>
      <c r="E315" s="3">
        <v>0</v>
      </c>
    </row>
    <row r="316" spans="1:5" x14ac:dyDescent="0.25">
      <c r="A316" s="3">
        <v>7840</v>
      </c>
      <c r="B316" s="15">
        <v>45261</v>
      </c>
      <c r="C316" s="173">
        <v>0.41666666666666669</v>
      </c>
      <c r="D316" s="173">
        <v>0</v>
      </c>
      <c r="E316" s="3">
        <v>0.41666666666666669</v>
      </c>
    </row>
    <row r="317" spans="1:5" x14ac:dyDescent="0.25">
      <c r="A317" s="3">
        <v>7826</v>
      </c>
      <c r="B317" s="15">
        <v>45261</v>
      </c>
      <c r="C317" s="173">
        <v>0.36458333333333331</v>
      </c>
      <c r="D317" s="173">
        <v>0</v>
      </c>
      <c r="E317" s="3">
        <v>0.36458333333333331</v>
      </c>
    </row>
    <row r="318" spans="1:5" x14ac:dyDescent="0.25">
      <c r="A318" s="3">
        <v>7820</v>
      </c>
      <c r="B318" s="15">
        <v>45261</v>
      </c>
      <c r="C318" s="173">
        <v>0.36458333333333331</v>
      </c>
      <c r="D318" s="173">
        <v>0.29722222222222222</v>
      </c>
      <c r="E318" s="3">
        <v>0</v>
      </c>
    </row>
    <row r="319" spans="1:5" x14ac:dyDescent="0.25">
      <c r="A319" s="3">
        <v>7739</v>
      </c>
      <c r="B319" s="15">
        <v>45261</v>
      </c>
      <c r="C319" s="173">
        <v>0.33333333333333331</v>
      </c>
      <c r="D319" s="173">
        <v>0.33124999999999999</v>
      </c>
      <c r="E319" s="3">
        <v>0</v>
      </c>
    </row>
    <row r="320" spans="1:5" x14ac:dyDescent="0.25">
      <c r="A320" s="3">
        <v>7607</v>
      </c>
      <c r="B320" s="15">
        <v>45261</v>
      </c>
      <c r="C320" s="173">
        <v>0.16666666666666666</v>
      </c>
      <c r="D320" s="173">
        <v>0.16666666666666666</v>
      </c>
      <c r="E320" s="3">
        <v>0</v>
      </c>
    </row>
    <row r="321" spans="1:5" x14ac:dyDescent="0.25">
      <c r="A321" s="3">
        <v>7605</v>
      </c>
      <c r="B321" s="15">
        <v>45261</v>
      </c>
      <c r="C321" s="173">
        <v>0</v>
      </c>
      <c r="D321" s="173">
        <v>0</v>
      </c>
      <c r="E321" s="3">
        <v>0</v>
      </c>
    </row>
    <row r="322" spans="1:5" x14ac:dyDescent="0.25">
      <c r="A322" s="3">
        <v>7603</v>
      </c>
      <c r="B322" s="15">
        <v>45261</v>
      </c>
      <c r="C322" s="173">
        <v>0.32500000000000001</v>
      </c>
      <c r="D322" s="173">
        <v>0</v>
      </c>
      <c r="E322" s="3">
        <v>0.32500000000000001</v>
      </c>
    </row>
    <row r="323" spans="1:5" x14ac:dyDescent="0.25">
      <c r="A323" s="3">
        <v>7595</v>
      </c>
      <c r="B323" s="15">
        <v>45261</v>
      </c>
      <c r="C323" s="173">
        <v>0.36458333333333331</v>
      </c>
      <c r="D323" s="173">
        <v>0</v>
      </c>
      <c r="E323" s="3">
        <v>0.36458333333333331</v>
      </c>
    </row>
    <row r="324" spans="1:5" x14ac:dyDescent="0.25">
      <c r="A324" s="3">
        <v>7592</v>
      </c>
      <c r="B324" s="15">
        <v>45261</v>
      </c>
      <c r="C324" s="173">
        <v>0</v>
      </c>
      <c r="D324" s="173">
        <v>0</v>
      </c>
      <c r="E324" s="3">
        <v>0</v>
      </c>
    </row>
    <row r="325" spans="1:5" x14ac:dyDescent="0.25">
      <c r="A325" s="3">
        <v>7590</v>
      </c>
      <c r="B325" s="15">
        <v>45261</v>
      </c>
      <c r="C325" s="173">
        <v>0</v>
      </c>
      <c r="D325" s="173">
        <v>0</v>
      </c>
      <c r="E325" s="3">
        <v>0</v>
      </c>
    </row>
    <row r="326" spans="1:5" x14ac:dyDescent="0.25">
      <c r="A326" s="3">
        <v>7589</v>
      </c>
      <c r="B326" s="15">
        <v>45261</v>
      </c>
      <c r="C326" s="173">
        <v>0.29166666666666669</v>
      </c>
      <c r="D326" s="173">
        <v>0.24652777777777779</v>
      </c>
      <c r="E326" s="3">
        <v>0</v>
      </c>
    </row>
  </sheetData>
  <sortState ref="A2:E326">
    <sortCondition descending="1" ref="B1:B325"/>
    <sortCondition descending="1" ref="A1:A325"/>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A1:B2"/>
  <sheetViews>
    <sheetView workbookViewId="0">
      <selection activeCell="B3" sqref="B3"/>
    </sheetView>
  </sheetViews>
  <sheetFormatPr baseColWidth="10" defaultRowHeight="15" x14ac:dyDescent="0.25"/>
  <sheetData>
    <row r="1" spans="1:2" x14ac:dyDescent="0.25">
      <c r="A1" s="3" t="s">
        <v>339</v>
      </c>
      <c r="B1" s="15">
        <v>45274.337962962964</v>
      </c>
    </row>
    <row r="2" spans="1:2" x14ac:dyDescent="0.25">
      <c r="A2" s="3" t="s">
        <v>340</v>
      </c>
      <c r="B2" s="15">
        <v>45286.472268518519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G11"/>
  <sheetViews>
    <sheetView showRowColHeaders="0" workbookViewId="0">
      <selection activeCell="D13" sqref="D13"/>
    </sheetView>
  </sheetViews>
  <sheetFormatPr baseColWidth="10" defaultRowHeight="15" x14ac:dyDescent="0.25"/>
  <cols>
    <col min="1" max="1" width="17.5703125" style="3" bestFit="1" customWidth="1"/>
    <col min="2" max="2" width="15.7109375" style="3" bestFit="1" customWidth="1"/>
    <col min="3" max="3" width="17.5703125" style="3" bestFit="1" customWidth="1"/>
    <col min="4" max="4" width="15.85546875" style="3" customWidth="1"/>
    <col min="5" max="5" width="20.28515625" style="3" customWidth="1"/>
    <col min="6" max="6" width="11.42578125" style="3"/>
    <col min="7" max="7" width="22.42578125" style="3" customWidth="1"/>
    <col min="8" max="16384" width="11.42578125" style="3"/>
  </cols>
  <sheetData>
    <row r="1" spans="1:7" x14ac:dyDescent="0.25">
      <c r="A1" s="3" t="s">
        <v>226</v>
      </c>
      <c r="B1" s="3" t="s">
        <v>227</v>
      </c>
      <c r="C1" s="3" t="s">
        <v>228</v>
      </c>
      <c r="D1" s="3" t="s">
        <v>229</v>
      </c>
      <c r="E1" s="3" t="s">
        <v>230</v>
      </c>
      <c r="G1" s="3" t="s">
        <v>231</v>
      </c>
    </row>
    <row r="2" spans="1:7" ht="26.25" x14ac:dyDescent="0.4">
      <c r="A2" s="3" t="s">
        <v>232</v>
      </c>
      <c r="B2" s="3" t="s">
        <v>233</v>
      </c>
      <c r="C2" s="3" t="s">
        <v>234</v>
      </c>
      <c r="G2" s="49" t="s">
        <v>232</v>
      </c>
    </row>
    <row r="3" spans="1:7" x14ac:dyDescent="0.25">
      <c r="A3" s="3" t="s">
        <v>233</v>
      </c>
      <c r="B3" s="3" t="s">
        <v>233</v>
      </c>
      <c r="G3" s="50" t="s">
        <v>233</v>
      </c>
    </row>
    <row r="4" spans="1:7" x14ac:dyDescent="0.25">
      <c r="A4" s="3" t="s">
        <v>235</v>
      </c>
      <c r="B4" s="3" t="s">
        <v>233</v>
      </c>
      <c r="C4" s="3" t="s">
        <v>237</v>
      </c>
      <c r="G4" s="51" t="s">
        <v>235</v>
      </c>
    </row>
    <row r="5" spans="1:7" ht="15.75" x14ac:dyDescent="0.25">
      <c r="A5" s="3" t="s">
        <v>236</v>
      </c>
      <c r="B5" s="3" t="s">
        <v>239</v>
      </c>
      <c r="G5" s="52" t="s">
        <v>236</v>
      </c>
    </row>
    <row r="6" spans="1:7" ht="15.75" x14ac:dyDescent="0.25">
      <c r="A6" s="52" t="s">
        <v>238</v>
      </c>
      <c r="B6" s="3" t="s">
        <v>241</v>
      </c>
      <c r="G6" s="52" t="s">
        <v>238</v>
      </c>
    </row>
    <row r="7" spans="1:7" x14ac:dyDescent="0.25">
      <c r="A7" s="3" t="s">
        <v>240</v>
      </c>
      <c r="B7" s="3" t="s">
        <v>240</v>
      </c>
      <c r="G7" s="50" t="s">
        <v>240</v>
      </c>
    </row>
    <row r="8" spans="1:7" x14ac:dyDescent="0.25">
      <c r="A8" s="3" t="s">
        <v>236</v>
      </c>
      <c r="B8" s="3" t="s">
        <v>243</v>
      </c>
      <c r="G8" s="53" t="s">
        <v>242</v>
      </c>
    </row>
    <row r="9" spans="1:7" ht="15.75" x14ac:dyDescent="0.25">
      <c r="A9" s="3" t="s">
        <v>291</v>
      </c>
      <c r="B9" s="3" t="s">
        <v>292</v>
      </c>
      <c r="E9" s="3" t="s">
        <v>293</v>
      </c>
      <c r="G9" s="139" t="s">
        <v>291</v>
      </c>
    </row>
    <row r="10" spans="1:7" x14ac:dyDescent="0.25">
      <c r="A10" s="3" t="s">
        <v>388</v>
      </c>
      <c r="B10" s="3" t="s">
        <v>388</v>
      </c>
      <c r="E10" s="3" t="s">
        <v>389</v>
      </c>
      <c r="G10" s="235" t="s">
        <v>388</v>
      </c>
    </row>
    <row r="11" spans="1:7" x14ac:dyDescent="0.25">
      <c r="A11" s="3" t="s">
        <v>390</v>
      </c>
      <c r="B11" s="3" t="s">
        <v>233</v>
      </c>
      <c r="C11" s="3" t="s">
        <v>390</v>
      </c>
      <c r="E11" s="3" t="s">
        <v>389</v>
      </c>
      <c r="G11" s="236" t="s">
        <v>390</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C44859D7-13E8-4BD9-8403-C371CBDFEF82}">
  <ds:schemaRefs/>
</ds:datastoreItem>
</file>

<file path=customXml/itemProps2.xml><?xml version="1.0" encoding="utf-8"?>
<ds:datastoreItem xmlns:ds="http://schemas.openxmlformats.org/officeDocument/2006/customXml" ds:itemID="{CEC3CFEB-C061-4AE7-A98B-00D100CC016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18</vt:i4>
      </vt:variant>
      <vt:variant>
        <vt:lpstr>Plages nommées</vt:lpstr>
      </vt:variant>
      <vt:variant>
        <vt:i4>47</vt:i4>
      </vt:variant>
    </vt:vector>
  </HeadingPairs>
  <TitlesOfParts>
    <vt:vector size="65" baseType="lpstr">
      <vt:lpstr>supervisions</vt:lpstr>
      <vt:lpstr>Accueil</vt:lpstr>
      <vt:lpstr>ICS</vt:lpstr>
      <vt:lpstr>Encadrement</vt:lpstr>
      <vt:lpstr>Calendrier</vt:lpstr>
      <vt:lpstr>Présence</vt:lpstr>
      <vt:lpstr>DataState</vt:lpstr>
      <vt:lpstr>PARAMETRES</vt:lpstr>
      <vt:lpstr>EFFECTIFS</vt:lpstr>
      <vt:lpstr>PLANNING_DATA</vt:lpstr>
      <vt:lpstr>salles</vt:lpstr>
      <vt:lpstr>referents</vt:lpstr>
      <vt:lpstr>pega</vt:lpstr>
      <vt:lpstr>formations</vt:lpstr>
      <vt:lpstr>formations_inscriptions</vt:lpstr>
      <vt:lpstr>horav</vt:lpstr>
      <vt:lpstr>flags</vt:lpstr>
      <vt:lpstr>form_skin</vt:lpstr>
      <vt:lpstr>ACTIVITE_DATE</vt:lpstr>
      <vt:lpstr>ACTIVITE_ICS_HEADER</vt:lpstr>
      <vt:lpstr>ACTIVITE_TELEPHONIQUE_HEADER</vt:lpstr>
      <vt:lpstr>C_1_DT</vt:lpstr>
      <vt:lpstr>C_2_DT</vt:lpstr>
      <vt:lpstr>C_3_DT</vt:lpstr>
      <vt:lpstr>C_4_DT</vt:lpstr>
      <vt:lpstr>C_5_DT</vt:lpstr>
      <vt:lpstr>C_6_DT</vt:lpstr>
      <vt:lpstr>CADRES_PLANNING_PATH</vt:lpstr>
      <vt:lpstr>CADRES_VUE_HEADER</vt:lpstr>
      <vt:lpstr>CALENDAR_1</vt:lpstr>
      <vt:lpstr>CALENDAR_2</vt:lpstr>
      <vt:lpstr>CALENDAR_3</vt:lpstr>
      <vt:lpstr>CALENDAR_4</vt:lpstr>
      <vt:lpstr>CALENDAR_5</vt:lpstr>
      <vt:lpstr>CALENDAR_6</vt:lpstr>
      <vt:lpstr>CALENDAR_DATE</vt:lpstr>
      <vt:lpstr>CALENDAR_HOUR_HEADER</vt:lpstr>
      <vt:lpstr>CALENDAR_TYPE_TITLE</vt:lpstr>
      <vt:lpstr>CAMENDAR_DATE</vt:lpstr>
      <vt:lpstr>CIS_1_DT</vt:lpstr>
      <vt:lpstr>CIS_2_DT</vt:lpstr>
      <vt:lpstr>CIS_3_DT</vt:lpstr>
      <vt:lpstr>CIS_4_DT</vt:lpstr>
      <vt:lpstr>CIS_5_DT</vt:lpstr>
      <vt:lpstr>CIS_6_DT</vt:lpstr>
      <vt:lpstr>DATA_DATES_HEADER</vt:lpstr>
      <vt:lpstr>DATA_HOLE_HEADER</vt:lpstr>
      <vt:lpstr>DISPLAYED_TEAM_NAME</vt:lpstr>
      <vt:lpstr>EFFECTIF_HEAD</vt:lpstr>
      <vt:lpstr>FAKE_USER</vt:lpstr>
      <vt:lpstr>HOME_DATE</vt:lpstr>
      <vt:lpstr>HORAV_FILES_PATH</vt:lpstr>
      <vt:lpstr>ICS_PLANNING_HEADER</vt:lpstr>
      <vt:lpstr>ICS_PLANNING_PATH</vt:lpstr>
      <vt:lpstr>JOUR_CADRES</vt:lpstr>
      <vt:lpstr>JOUR_ICS</vt:lpstr>
      <vt:lpstr>PEGA_FOLDER</vt:lpstr>
      <vt:lpstr>REPAS_ARRIVEE_MAX</vt:lpstr>
      <vt:lpstr>REPAS_DEPART_MIN</vt:lpstr>
      <vt:lpstr>REPAS_DUREE</vt:lpstr>
      <vt:lpstr>SALLES_LIST</vt:lpstr>
      <vt:lpstr>TEMPS_COM_EXPR</vt:lpstr>
      <vt:lpstr>TEMPS_COM_MODEL</vt:lpstr>
      <vt:lpstr>USERS_LIST</vt:lpstr>
      <vt:lpstr>USERS_TABLE</vt:lpstr>
    </vt:vector>
  </TitlesOfParts>
  <Company>CNAMTS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PAILLERY LUDOVIC (CPAM ALPES-MARITIMES)</dc:creator>
  <cp:lastModifiedBy>vmoffice</cp:lastModifiedBy>
  <dcterms:created xsi:type="dcterms:W3CDTF">2023-06-27T11:35:29Z</dcterms:created>
  <dcterms:modified xsi:type="dcterms:W3CDTF">2024-01-07T12:48:12Z</dcterms:modified>
</cp:coreProperties>
</file>