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excell tools\"/>
    </mc:Choice>
  </mc:AlternateContent>
  <bookViews>
    <workbookView xWindow="0" yWindow="0" windowWidth="28800" windowHeight="10470"/>
  </bookViews>
  <sheets>
    <sheet name="FORMATION_CALENDAR" sheetId="1" r:id="rId1"/>
    <sheet name="FORMATION_DATA" sheetId="2" r:id="rId2"/>
    <sheet name="FORMATION_INSCRIPTION_DATA" sheetId="3" r:id="rId3"/>
  </sheets>
  <functionGroups builtInGroupCount="18"/>
  <definedNames>
    <definedName name="FD_1">FORMATION_CALENDAR!$E$6</definedName>
    <definedName name="FD_2">FORMATION_CALENDAR!$G$6</definedName>
    <definedName name="FD_3">FORMATION_CALENDAR!$I$6</definedName>
    <definedName name="FD_4">FORMATION_CALENDAR!$K$6</definedName>
    <definedName name="FD_5">FORMATION_CALENDAR!$M$6</definedName>
    <definedName name="FD_6">FORMATION_CALENDAR!$O$6</definedName>
    <definedName name="FORMATION_DATE">FORMATION_CALENDAR!$I$4</definedName>
    <definedName name="FORMATION_TITLE">FORMATION_CALENDAR!$A$1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2" l="1"/>
  <c r="G3" i="2"/>
  <c r="G4" i="2"/>
  <c r="G5" i="2"/>
  <c r="G6" i="2"/>
  <c r="G7" i="2"/>
  <c r="G8" i="2"/>
  <c r="G9" i="2"/>
  <c r="G10" i="2"/>
  <c r="G11" i="2"/>
  <c r="G12" i="2"/>
  <c r="E6" i="1"/>
  <c r="G6" i="1" l="1"/>
  <c r="I6" i="1" s="1"/>
  <c r="K6" i="1" s="1"/>
  <c r="M6" i="1" s="1"/>
  <c r="O6" i="1" s="1"/>
</calcChain>
</file>

<file path=xl/sharedStrings.xml><?xml version="1.0" encoding="utf-8"?>
<sst xmlns="http://schemas.openxmlformats.org/spreadsheetml/2006/main" count="79" uniqueCount="63">
  <si>
    <t>id</t>
  </si>
  <si>
    <t>theme</t>
  </si>
  <si>
    <t>animateur</t>
  </si>
  <si>
    <t>debut</t>
  </si>
  <si>
    <t>fin</t>
  </si>
  <si>
    <t>salle_id</t>
  </si>
  <si>
    <t>nb_inscrits</t>
  </si>
  <si>
    <t>PIED</t>
  </si>
  <si>
    <t>DUPUIS-07455</t>
  </si>
  <si>
    <t>MAIN</t>
  </si>
  <si>
    <t>DIABETE</t>
  </si>
  <si>
    <t>VAL-08154</t>
  </si>
  <si>
    <t>REP-07951</t>
  </si>
  <si>
    <t>semaine du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</si>
  <si>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</si>
  <si>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</si>
  <si>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</si>
  <si>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</si>
  <si>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</si>
  <si>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</si>
  <si>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</si>
  <si>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</si>
  <si>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</si>
  <si>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</si>
  <si>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</si>
  <si>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</si>
  <si>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formation_id</t>
  </si>
  <si>
    <t>ics</t>
  </si>
  <si>
    <t>zex9Ok6h3y</t>
  </si>
  <si>
    <t>26YHyhqKKPccslkqb</t>
  </si>
  <si>
    <t>A22dkaf1uKwzvoEASIpX4</t>
  </si>
  <si>
    <t>E9zv91mc91ycZjCCRcK</t>
  </si>
  <si>
    <t>Aotm45QPtkACb</t>
  </si>
  <si>
    <t>GZZizUilafaIsOlnQ</t>
  </si>
  <si>
    <t>LeMnTPxjlY</t>
  </si>
  <si>
    <t>YFWlIhOnY0V</t>
  </si>
  <si>
    <t>Ew1IO1OeCD8b10DM0Z</t>
  </si>
  <si>
    <t>x6kWMnILduRkHiweU</t>
  </si>
  <si>
    <t>1ZzBFEDCQM6v</t>
  </si>
  <si>
    <t>MkL7MOeiFxbC1BYpzzFe</t>
  </si>
  <si>
    <t>KogXCQN0MXThZBshG</t>
  </si>
  <si>
    <t>Y1OucC8CXQjrT5b</t>
  </si>
  <si>
    <t>O3mNOM2E8PM6Hyza6</t>
  </si>
  <si>
    <t>AyLJp1L7K0DD1</t>
  </si>
  <si>
    <t>z7sIPhnnSChEstyY</t>
  </si>
  <si>
    <t>p17DOM9CW0TiduDKc</t>
  </si>
  <si>
    <t>4uiRFcxnCt35</t>
  </si>
  <si>
    <t>8LntEY00wZmWB</t>
  </si>
  <si>
    <t>IDQ7YOPyrBEF6TW4i</t>
  </si>
  <si>
    <t>QbeS5G2SvW52EgkwB8bxd</t>
  </si>
  <si>
    <t>DEcLwTrz9f2NVQitaRy</t>
  </si>
  <si>
    <t>fgEJhWF0ZDUQ4iJLQdnKS</t>
  </si>
  <si>
    <t>tGE3bIoRIsN8KhJDS</t>
  </si>
  <si>
    <t>YrjHod6JSh54I</t>
  </si>
  <si>
    <t>YJzxBecXUsddwU5Ux</t>
  </si>
  <si>
    <t>xVKsoETf4kGX2UQ7</t>
  </si>
  <si>
    <t>sBPwdoy6sGNrq</t>
  </si>
  <si>
    <t>YvPX5fTru19r8yY0</t>
  </si>
  <si>
    <t>pPPxcskvvYDAVAX5PiP6</t>
  </si>
  <si>
    <t>YpQDCfmsQcEqrcY5bBmwn</t>
  </si>
  <si>
    <t>Ecu5AzTiYE</t>
  </si>
  <si>
    <t>GFSUmSnpwf</t>
  </si>
  <si>
    <t>PLANNING DE FORMATIONS - Animateur: TOUS - Type de formation: 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</si>
</sst>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dddd\ dd\ mmmm"/>
  </numFmts>
  <fonts count="7" x14ac:knownFonts="1">
    <font>
      <sz val="11"/>
      <color theme="1"/>
      <name val="Calibri"/>
      <family val="2"/>
      <scheme val="minor"/>
    </font>
    <font>
      <sz val="14"/>
      <color theme="8" tint="-0.499984740745262"/>
      <name val="Calibri"/>
      <family val="2"/>
      <scheme val="minor"/>
    </font>
    <font>
      <sz val="16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sz val="18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/>
      <right/>
      <top style="thin">
        <color theme="1" tint="0.249977111117893"/>
      </top>
      <bottom/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/>
    <xf numFmtId="166" fontId="1" fillId="2" borderId="0" xfId="0" applyNumberFormat="1" applyFont="1" applyFill="1" applyAlignment="1">
      <alignment horizontal="center" vertical="center"/>
    </xf>
    <xf numFmtId="0" fontId="0" fillId="0" borderId="0" xfId="0" applyFill="1" applyBorder="1"/>
    <xf numFmtId="0" fontId="0" fillId="2" borderId="1" xfId="0" applyFill="1" applyBorder="1"/>
    <xf numFmtId="0" fontId="0" fillId="2" borderId="2" xfId="0" applyFill="1" applyBorder="1"/>
    <xf numFmtId="0" fontId="0" fillId="0" borderId="1" xfId="0" applyFill="1" applyBorder="1"/>
    <xf numFmtId="0" fontId="4" fillId="2" borderId="2" xfId="0" applyFont="1" applyFill="1" applyBorder="1" applyAlignment="1">
      <alignment horizontal="right" vertical="center"/>
    </xf>
    <xf numFmtId="49" fontId="5" fillId="0" borderId="0" xfId="0" applyNumberFormat="1" applyFont="1" applyAlignment="1">
      <alignment horizontal="right" vertical="center"/>
    </xf>
    <xf numFmtId="0" fontId="4" fillId="0" borderId="1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center" vertical="center"/>
    </xf>
    <xf numFmtId="20" fontId="4" fillId="2" borderId="2" xfId="0" applyNumberFormat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14" fontId="2" fillId="3" borderId="7" xfId="0" applyNumberFormat="1" applyFont="1" applyFill="1" applyBorder="1" applyAlignment="1">
      <alignment horizontal="center" vertical="center"/>
    </xf>
    <xf numFmtId="14" fontId="2" fillId="3" borderId="3" xfId="0" applyNumberFormat="1" applyFont="1" applyFill="1" applyBorder="1" applyAlignment="1">
      <alignment horizontal="center" vertical="center"/>
    </xf>
    <xf numFmtId="14" fontId="2" fillId="3" borderId="8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7"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685800</xdr:colOff>
      <xdr:row>3</xdr:row>
      <xdr:rowOff>76200</xdr:rowOff>
    </xdr:from>
    <xdr:to>
      <xdr:col>10</xdr:col>
      <xdr:colOff>962025</xdr:colOff>
      <xdr:row>3</xdr:row>
      <xdr:rowOff>200025</xdr:rowOff>
    </xdr:to>
    <xdr:sp macro="[0]!nextFormationWeek" textlink="">
      <xdr:nvSpPr>
        <xdr:cNvPr id="2" name="Flèche droite 1"/>
        <xdr:cNvSpPr/>
      </xdr:nvSpPr>
      <xdr:spPr>
        <a:xfrm>
          <a:off x="8162925" y="647700"/>
          <a:ext cx="276225" cy="123825"/>
        </a:xfrm>
        <a:prstGeom prst="rightArrow">
          <a:avLst/>
        </a:prstGeom>
        <a:solidFill>
          <a:schemeClr val="accent5">
            <a:lumMod val="75000"/>
          </a:schemeClr>
        </a:solidFill>
        <a:ln w="9525">
          <a:solidFill>
            <a:schemeClr val="accent5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704850</xdr:colOff>
      <xdr:row>3</xdr:row>
      <xdr:rowOff>76200</xdr:rowOff>
    </xdr:from>
    <xdr:to>
      <xdr:col>8</xdr:col>
      <xdr:colOff>981075</xdr:colOff>
      <xdr:row>3</xdr:row>
      <xdr:rowOff>200025</xdr:rowOff>
    </xdr:to>
    <xdr:sp macro="[0]!previousFormationWeek" textlink="">
      <xdr:nvSpPr>
        <xdr:cNvPr id="3" name="Flèche droite 2"/>
        <xdr:cNvSpPr/>
      </xdr:nvSpPr>
      <xdr:spPr>
        <a:xfrm rot="10800000">
          <a:off x="6467475" y="647700"/>
          <a:ext cx="276225" cy="123825"/>
        </a:xfrm>
        <a:prstGeom prst="rightArrow">
          <a:avLst/>
        </a:prstGeom>
        <a:solidFill>
          <a:schemeClr val="accent5">
            <a:lumMod val="75000"/>
          </a:schemeClr>
        </a:solidFill>
        <a:ln w="9525">
          <a:solidFill>
            <a:schemeClr val="accent5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104775</xdr:colOff>
      <xdr:row>2</xdr:row>
      <xdr:rowOff>19049</xdr:rowOff>
    </xdr:from>
    <xdr:to>
      <xdr:col>4</xdr:col>
      <xdr:colOff>628650</xdr:colOff>
      <xdr:row>3</xdr:row>
      <xdr:rowOff>180974</xdr:rowOff>
    </xdr:to>
    <xdr:sp macro="" textlink="">
      <xdr:nvSpPr>
        <xdr:cNvPr id="4" name="Rectangle 3"/>
        <xdr:cNvSpPr/>
      </xdr:nvSpPr>
      <xdr:spPr>
        <a:xfrm>
          <a:off x="104775" y="485774"/>
          <a:ext cx="1704975" cy="352425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+ Ajouter une formation</a:t>
          </a:r>
        </a:p>
      </xdr:txBody>
    </xdr:sp>
    <xdr:clientData/>
  </xdr:twoCellAnchor>
  <xdr:twoCellAnchor>
    <xdr:from>
      <xdr:col>12</xdr:col>
      <xdr:colOff>1704975</xdr:colOff>
      <xdr:row>2</xdr:row>
      <xdr:rowOff>85725</xdr:rowOff>
    </xdr:from>
    <xdr:to>
      <xdr:col>14</xdr:col>
      <xdr:colOff>1600200</xdr:colOff>
      <xdr:row>3</xdr:row>
      <xdr:rowOff>228600</xdr:rowOff>
    </xdr:to>
    <xdr:sp macro="" textlink="">
      <xdr:nvSpPr>
        <xdr:cNvPr id="7" name="FORMATION_MODEL"/>
        <xdr:cNvSpPr/>
      </xdr:nvSpPr>
      <xdr:spPr>
        <a:xfrm>
          <a:off x="10201275" y="466725"/>
          <a:ext cx="1724025" cy="3333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FORMATION MODEL</a:t>
          </a:r>
        </a:p>
      </xdr:txBody>
    </xdr:sp>
    <xdr:clientData/>
  </xdr:twoCellAnchor>
  <xdr:twoCellAnchor>
    <xdr:from>
      <xdr:col>14</xdr:col>
      <xdr:colOff>1676400</xdr:colOff>
      <xdr:row>2</xdr:row>
      <xdr:rowOff>85725</xdr:rowOff>
    </xdr:from>
    <xdr:to>
      <xdr:col>16</xdr:col>
      <xdr:colOff>533400</xdr:colOff>
      <xdr:row>3</xdr:row>
      <xdr:rowOff>228600</xdr:rowOff>
    </xdr:to>
    <xdr:sp macro="" textlink="">
      <xdr:nvSpPr>
        <xdr:cNvPr id="150" name="ANIMATEUR_MODEL"/>
        <xdr:cNvSpPr/>
      </xdr:nvSpPr>
      <xdr:spPr>
        <a:xfrm>
          <a:off x="12001500" y="552450"/>
          <a:ext cx="1400175" cy="3333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50">
              <a:solidFill>
                <a:schemeClr val="tx1">
                  <a:lumMod val="85000"/>
                  <a:lumOff val="15000"/>
                </a:schemeClr>
              </a:solidFill>
            </a:rPr>
            <a:t>ANIMATEUR MODEL</a:t>
          </a:r>
        </a:p>
      </xdr:txBody>
    </xdr:sp>
    <xdr:clientData/>
  </xdr:twoCellAnchor>
  <xdr:twoCellAnchor>
    <xdr:from>
      <xdr:col>16</xdr:col>
      <xdr:colOff>590551</xdr:colOff>
      <xdr:row>2</xdr:row>
      <xdr:rowOff>85725</xdr:rowOff>
    </xdr:from>
    <xdr:to>
      <xdr:col>18</xdr:col>
      <xdr:colOff>600075</xdr:colOff>
      <xdr:row>3</xdr:row>
      <xdr:rowOff>228600</xdr:rowOff>
    </xdr:to>
    <xdr:sp macro="" textlink="">
      <xdr:nvSpPr>
        <xdr:cNvPr id="824" name="FORMATION_TYPE_MODEL"/>
        <xdr:cNvSpPr/>
      </xdr:nvSpPr>
      <xdr:spPr>
        <a:xfrm>
          <a:off x="13458826" y="552450"/>
          <a:ext cx="1533524" cy="333375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TYPE FORMATION MODEL</a:t>
          </a:r>
        </a:p>
      </xdr:txBody>
    </xdr:sp>
    <xdr:clientData/>
  </xdr:twoCellAnchor>
  <xdr:twoCellAnchor>
    <xdr:from>
      <xdr:col>4</xdr:col>
      <xdr:colOff>12700</xdr:colOff>
      <xdr:row>7</xdr:row>
      <xdr:rowOff>230188</xdr:rowOff>
    </xdr:from>
    <xdr:to>
      <xdr:col>4</xdr:col>
      <xdr:colOff>1768475</xdr:colOff>
      <xdr:row>11</xdr:row>
      <xdr:rowOff>1</xdr:rowOff>
    </xdr:to>
    <xdr:sp macro="'displayFormationPane &quot;1&quot;'" textlink="">
      <xdr:nvSpPr>
        <xdr:cNvPr id="1741" name="FORMATION_SHAPE_1"/>
        <xdr:cNvSpPr/>
      </xdr:nvSpPr>
      <xdr:spPr>
        <a:xfrm>
          <a:off x="1193800" y="1735138"/>
          <a:ext cx="1755775" cy="874713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DUPUIS-07455: 08:50 - 12:00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PIED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Salle 1, 1 inscrits</a:t>
          </a:r>
        </a:p>
      </xdr:txBody>
    </xdr:sp>
    <xdr:clientData/>
  </xdr:twoCellAnchor>
  <xdr:twoCellAnchor>
    <xdr:from>
      <xdr:col>4</xdr:col>
      <xdr:colOff>12700</xdr:colOff>
      <xdr:row>12</xdr:row>
      <xdr:rowOff>276224</xdr:rowOff>
    </xdr:from>
    <xdr:to>
      <xdr:col>4</xdr:col>
      <xdr:colOff>1768475</xdr:colOff>
      <xdr:row>14</xdr:row>
      <xdr:rowOff>276224</xdr:rowOff>
    </xdr:to>
    <xdr:sp macro="'displayFormationPane &quot;2&quot;'" textlink="">
      <xdr:nvSpPr>
        <xdr:cNvPr id="1742" name="FORMATION_SHAPE_2"/>
        <xdr:cNvSpPr/>
      </xdr:nvSpPr>
      <xdr:spPr>
        <a:xfrm>
          <a:off x="1193800" y="3162299"/>
          <a:ext cx="1755775" cy="5524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VAL-08154: 14:00 - 16:00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MAIN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Salle 2, 2 inscrits</a:t>
          </a:r>
        </a:p>
      </xdr:txBody>
    </xdr:sp>
    <xdr:clientData/>
  </xdr:twoCellAnchor>
  <xdr:twoCellAnchor>
    <xdr:from>
      <xdr:col>6</xdr:col>
      <xdr:colOff>12700</xdr:colOff>
      <xdr:row>9</xdr:row>
      <xdr:rowOff>276224</xdr:rowOff>
    </xdr:from>
    <xdr:to>
      <xdr:col>6</xdr:col>
      <xdr:colOff>1768475</xdr:colOff>
      <xdr:row>11</xdr:row>
      <xdr:rowOff>138112</xdr:rowOff>
    </xdr:to>
    <xdr:sp macro="'displayFormationPane &quot;3&quot;'" textlink="">
      <xdr:nvSpPr>
        <xdr:cNvPr id="1743" name="FORMATION_SHAPE_3"/>
        <xdr:cNvSpPr/>
      </xdr:nvSpPr>
      <xdr:spPr>
        <a:xfrm>
          <a:off x="3022600" y="2333624"/>
          <a:ext cx="1755775" cy="414338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REP-07951: 11:00 - 12:30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DIABETE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Salle 1, 2 inscrits</a:t>
          </a:r>
        </a:p>
      </xdr:txBody>
    </xdr:sp>
    <xdr:clientData/>
  </xdr:twoCellAnchor>
  <xdr:twoCellAnchor>
    <xdr:from>
      <xdr:col>6</xdr:col>
      <xdr:colOff>12700</xdr:colOff>
      <xdr:row>14</xdr:row>
      <xdr:rowOff>0</xdr:rowOff>
    </xdr:from>
    <xdr:to>
      <xdr:col>6</xdr:col>
      <xdr:colOff>1768475</xdr:colOff>
      <xdr:row>17</xdr:row>
      <xdr:rowOff>0</xdr:rowOff>
    </xdr:to>
    <xdr:sp macro="'displayFormationPane &quot;4&quot;'" textlink="">
      <xdr:nvSpPr>
        <xdr:cNvPr id="1744" name="FORMATION_SHAPE_4"/>
        <xdr:cNvSpPr/>
      </xdr:nvSpPr>
      <xdr:spPr>
        <a:xfrm>
          <a:off x="3022600" y="3438525"/>
          <a:ext cx="1755775" cy="8286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REP-07951: 15:00 - 18:00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PIED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Salle 2, 5 inscrits</a:t>
          </a:r>
        </a:p>
      </xdr:txBody>
    </xdr:sp>
    <xdr:clientData/>
  </xdr:twoCellAnchor>
  <xdr:twoCellAnchor>
    <xdr:from>
      <xdr:col>8</xdr:col>
      <xdr:colOff>12700</xdr:colOff>
      <xdr:row>7</xdr:row>
      <xdr:rowOff>276224</xdr:rowOff>
    </xdr:from>
    <xdr:to>
      <xdr:col>8</xdr:col>
      <xdr:colOff>1768475</xdr:colOff>
      <xdr:row>11</xdr:row>
      <xdr:rowOff>138112</xdr:rowOff>
    </xdr:to>
    <xdr:sp macro="'displayFormationPane &quot;5&quot;'" textlink="">
      <xdr:nvSpPr>
        <xdr:cNvPr id="1745" name="FORMATION_SHAPE_5"/>
        <xdr:cNvSpPr/>
      </xdr:nvSpPr>
      <xdr:spPr>
        <a:xfrm>
          <a:off x="4851400" y="1781174"/>
          <a:ext cx="1755775" cy="966788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VAL-08154: 09:00 - 12:30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DIABETE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Salle 3, 2 inscrits</a:t>
          </a:r>
        </a:p>
      </xdr:txBody>
    </xdr:sp>
    <xdr:clientData/>
  </xdr:twoCellAnchor>
  <xdr:twoCellAnchor>
    <xdr:from>
      <xdr:col>10</xdr:col>
      <xdr:colOff>12700</xdr:colOff>
      <xdr:row>13</xdr:row>
      <xdr:rowOff>138113</xdr:rowOff>
    </xdr:from>
    <xdr:to>
      <xdr:col>10</xdr:col>
      <xdr:colOff>1768475</xdr:colOff>
      <xdr:row>16</xdr:row>
      <xdr:rowOff>138113</xdr:rowOff>
    </xdr:to>
    <xdr:sp macro="'displayFormationPane &quot;6&quot;'" textlink="">
      <xdr:nvSpPr>
        <xdr:cNvPr id="1746" name="FORMATION_SHAPE_6"/>
        <xdr:cNvSpPr/>
      </xdr:nvSpPr>
      <xdr:spPr>
        <a:xfrm>
          <a:off x="6680200" y="3300413"/>
          <a:ext cx="1755775" cy="8286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VAL-08154: 14:30 - 17:30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DIABETE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Salle 3, 4 inscrits</a:t>
          </a:r>
        </a:p>
      </xdr:txBody>
    </xdr:sp>
    <xdr:clientData/>
  </xdr:twoCellAnchor>
  <xdr:twoCellAnchor>
    <xdr:from>
      <xdr:col>10</xdr:col>
      <xdr:colOff>12700</xdr:colOff>
      <xdr:row>7</xdr:row>
      <xdr:rowOff>276224</xdr:rowOff>
    </xdr:from>
    <xdr:to>
      <xdr:col>10</xdr:col>
      <xdr:colOff>1768475</xdr:colOff>
      <xdr:row>9</xdr:row>
      <xdr:rowOff>276224</xdr:rowOff>
    </xdr:to>
    <xdr:sp macro="'displayFormationPane &quot;7&quot;'" textlink="">
      <xdr:nvSpPr>
        <xdr:cNvPr id="1747" name="FORMATION_SHAPE_7"/>
        <xdr:cNvSpPr/>
      </xdr:nvSpPr>
      <xdr:spPr>
        <a:xfrm>
          <a:off x="6680200" y="1781174"/>
          <a:ext cx="1755775" cy="55245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DUPUIS-07455: 09:00 - 11:00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MAIN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Salle 3, 2 inscrits</a:t>
          </a:r>
        </a:p>
      </xdr:txBody>
    </xdr:sp>
    <xdr:clientData/>
  </xdr:twoCellAnchor>
  <xdr:twoCellAnchor>
    <xdr:from>
      <xdr:col>12</xdr:col>
      <xdr:colOff>12700</xdr:colOff>
      <xdr:row>9</xdr:row>
      <xdr:rowOff>0</xdr:rowOff>
    </xdr:from>
    <xdr:to>
      <xdr:col>12</xdr:col>
      <xdr:colOff>1768475</xdr:colOff>
      <xdr:row>11</xdr:row>
      <xdr:rowOff>138113</xdr:rowOff>
    </xdr:to>
    <xdr:sp macro="'displayFormationPane &quot;8&quot;'" textlink="">
      <xdr:nvSpPr>
        <xdr:cNvPr id="1748" name="FORMATION_SHAPE_8"/>
        <xdr:cNvSpPr/>
      </xdr:nvSpPr>
      <xdr:spPr>
        <a:xfrm>
          <a:off x="8509000" y="2057400"/>
          <a:ext cx="1755775" cy="690563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DUPUIS-07455: 10:00 - 12:30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DIABETE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Salle 1, 1 inscrits</a:t>
          </a:r>
        </a:p>
      </xdr:txBody>
    </xdr:sp>
    <xdr:clientData/>
  </xdr:twoCellAnchor>
  <xdr:twoCellAnchor>
    <xdr:from>
      <xdr:col>12</xdr:col>
      <xdr:colOff>12700</xdr:colOff>
      <xdr:row>14</xdr:row>
      <xdr:rowOff>0</xdr:rowOff>
    </xdr:from>
    <xdr:to>
      <xdr:col>12</xdr:col>
      <xdr:colOff>1768475</xdr:colOff>
      <xdr:row>15</xdr:row>
      <xdr:rowOff>0</xdr:rowOff>
    </xdr:to>
    <xdr:sp macro="'displayFormationPane &quot;9&quot;'" textlink="">
      <xdr:nvSpPr>
        <xdr:cNvPr id="1749" name="FORMATION_SHAPE_9"/>
        <xdr:cNvSpPr/>
      </xdr:nvSpPr>
      <xdr:spPr>
        <a:xfrm>
          <a:off x="8509000" y="3438525"/>
          <a:ext cx="1755775" cy="27622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VAL-08154: 15:00 - 16:00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PIED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Salle 2, 4 inscrits</a:t>
          </a:r>
        </a:p>
      </xdr:txBody>
    </xdr:sp>
    <xdr:clientData/>
  </xdr:twoCellAnchor>
  <xdr:twoCellAnchor>
    <xdr:from>
      <xdr:col>8</xdr:col>
      <xdr:colOff>12700</xdr:colOff>
      <xdr:row>12</xdr:row>
      <xdr:rowOff>0</xdr:rowOff>
    </xdr:from>
    <xdr:to>
      <xdr:col>8</xdr:col>
      <xdr:colOff>1768475</xdr:colOff>
      <xdr:row>14</xdr:row>
      <xdr:rowOff>138113</xdr:rowOff>
    </xdr:to>
    <xdr:sp macro="'displayFormationPane &quot;10&quot;'" textlink="">
      <xdr:nvSpPr>
        <xdr:cNvPr id="1750" name="FORMATION_SHAPE_10"/>
        <xdr:cNvSpPr/>
      </xdr:nvSpPr>
      <xdr:spPr>
        <a:xfrm>
          <a:off x="4851400" y="2886075"/>
          <a:ext cx="1755775" cy="690563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REP-07951: 13:00 - 15:30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PIED</a:t>
          </a:r>
        </a:p>
        <a:p>
          <a:pPr algn="l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Salle 2, 6 inscrits</a:t>
          </a:r>
        </a:p>
      </xdr:txBody>
    </xdr:sp>
    <xdr:clientData/>
  </xdr:twoCellAnchor>
  <xdr:twoCellAnchor>
    <xdr:from>
      <xdr:col>15</xdr:col>
      <xdr:colOff>254000</xdr:colOff>
      <xdr:row>5</xdr:row>
      <xdr:rowOff>3175</xdr:rowOff>
    </xdr:from>
    <xdr:to>
      <xdr:col>17</xdr:col>
      <xdr:colOff>130175</xdr:colOff>
      <xdr:row>5</xdr:row>
      <xdr:rowOff>336550</xdr:rowOff>
    </xdr:to>
    <xdr:sp macro="'toogleFormationAnimateur &quot;DUPUIS-07455&quot;'" textlink="">
      <xdr:nvSpPr>
        <xdr:cNvPr id="1751" name="ANIMATEUR_SHAPE_DUPUIS-07455"/>
        <xdr:cNvSpPr/>
      </xdr:nvSpPr>
      <xdr:spPr>
        <a:xfrm>
          <a:off x="12360275" y="1117600"/>
          <a:ext cx="1400175" cy="3333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50">
              <a:solidFill>
                <a:schemeClr val="tx1">
                  <a:lumMod val="85000"/>
                  <a:lumOff val="15000"/>
                </a:schemeClr>
              </a:solidFill>
            </a:rPr>
            <a:t>DUPUIS-07455</a:t>
          </a:r>
        </a:p>
      </xdr:txBody>
    </xdr:sp>
    <xdr:clientData/>
  </xdr:twoCellAnchor>
  <xdr:twoCellAnchor>
    <xdr:from>
      <xdr:col>15</xdr:col>
      <xdr:colOff>254000</xdr:colOff>
      <xdr:row>7</xdr:row>
      <xdr:rowOff>9525</xdr:rowOff>
    </xdr:from>
    <xdr:to>
      <xdr:col>17</xdr:col>
      <xdr:colOff>130175</xdr:colOff>
      <xdr:row>8</xdr:row>
      <xdr:rowOff>66675</xdr:rowOff>
    </xdr:to>
    <xdr:sp macro="'toogleFormationAnimateur &quot;VAL-08154&quot;'" textlink="">
      <xdr:nvSpPr>
        <xdr:cNvPr id="1752" name="ANIMATEUR_SHAPE_VAL-08154"/>
        <xdr:cNvSpPr/>
      </xdr:nvSpPr>
      <xdr:spPr>
        <a:xfrm>
          <a:off x="12360275" y="1514475"/>
          <a:ext cx="1400175" cy="3333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50">
              <a:solidFill>
                <a:schemeClr val="tx1">
                  <a:lumMod val="85000"/>
                  <a:lumOff val="15000"/>
                </a:schemeClr>
              </a:solidFill>
            </a:rPr>
            <a:t>VAL-08154</a:t>
          </a:r>
        </a:p>
      </xdr:txBody>
    </xdr:sp>
    <xdr:clientData/>
  </xdr:twoCellAnchor>
  <xdr:twoCellAnchor>
    <xdr:from>
      <xdr:col>15</xdr:col>
      <xdr:colOff>254000</xdr:colOff>
      <xdr:row>8</xdr:row>
      <xdr:rowOff>130175</xdr:rowOff>
    </xdr:from>
    <xdr:to>
      <xdr:col>17</xdr:col>
      <xdr:colOff>130175</xdr:colOff>
      <xdr:row>9</xdr:row>
      <xdr:rowOff>187325</xdr:rowOff>
    </xdr:to>
    <xdr:sp macro="'toogleFormationAnimateur &quot;REP-07951&quot;'" textlink="">
      <xdr:nvSpPr>
        <xdr:cNvPr id="1753" name="ANIMATEUR_SHAPE_REP-07951"/>
        <xdr:cNvSpPr/>
      </xdr:nvSpPr>
      <xdr:spPr>
        <a:xfrm>
          <a:off x="12360275" y="1911350"/>
          <a:ext cx="1400175" cy="3333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50">
              <a:solidFill>
                <a:schemeClr val="tx1">
                  <a:lumMod val="85000"/>
                  <a:lumOff val="15000"/>
                </a:schemeClr>
              </a:solidFill>
            </a:rPr>
            <a:t>REP-07951</a:t>
          </a:r>
        </a:p>
      </xdr:txBody>
    </xdr:sp>
    <xdr:clientData/>
  </xdr:twoCellAnchor>
  <xdr:twoCellAnchor>
    <xdr:from>
      <xdr:col>17</xdr:col>
      <xdr:colOff>257175</xdr:colOff>
      <xdr:row>5</xdr:row>
      <xdr:rowOff>3175</xdr:rowOff>
    </xdr:from>
    <xdr:to>
      <xdr:col>19</xdr:col>
      <xdr:colOff>266699</xdr:colOff>
      <xdr:row>5</xdr:row>
      <xdr:rowOff>336550</xdr:rowOff>
    </xdr:to>
    <xdr:sp macro="'toogleFormationType &quot;PIED&quot;'" textlink="">
      <xdr:nvSpPr>
        <xdr:cNvPr id="1754" name="TYPE_SHAPE_PIED"/>
        <xdr:cNvSpPr/>
      </xdr:nvSpPr>
      <xdr:spPr>
        <a:xfrm>
          <a:off x="13887450" y="1117600"/>
          <a:ext cx="1533524" cy="333375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PIED</a:t>
          </a:r>
        </a:p>
      </xdr:txBody>
    </xdr:sp>
    <xdr:clientData/>
  </xdr:twoCellAnchor>
  <xdr:twoCellAnchor>
    <xdr:from>
      <xdr:col>17</xdr:col>
      <xdr:colOff>257175</xdr:colOff>
      <xdr:row>7</xdr:row>
      <xdr:rowOff>9525</xdr:rowOff>
    </xdr:from>
    <xdr:to>
      <xdr:col>19</xdr:col>
      <xdr:colOff>266699</xdr:colOff>
      <xdr:row>8</xdr:row>
      <xdr:rowOff>66675</xdr:rowOff>
    </xdr:to>
    <xdr:sp macro="'toogleFormationType &quot;MAIN&quot;'" textlink="">
      <xdr:nvSpPr>
        <xdr:cNvPr id="1755" name="TYPE_SHAPE_MAIN"/>
        <xdr:cNvSpPr/>
      </xdr:nvSpPr>
      <xdr:spPr>
        <a:xfrm>
          <a:off x="13887450" y="1514475"/>
          <a:ext cx="1533524" cy="333375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MAIN</a:t>
          </a:r>
        </a:p>
      </xdr:txBody>
    </xdr:sp>
    <xdr:clientData/>
  </xdr:twoCellAnchor>
  <xdr:twoCellAnchor>
    <xdr:from>
      <xdr:col>17</xdr:col>
      <xdr:colOff>257175</xdr:colOff>
      <xdr:row>8</xdr:row>
      <xdr:rowOff>130175</xdr:rowOff>
    </xdr:from>
    <xdr:to>
      <xdr:col>19</xdr:col>
      <xdr:colOff>266699</xdr:colOff>
      <xdr:row>9</xdr:row>
      <xdr:rowOff>187325</xdr:rowOff>
    </xdr:to>
    <xdr:sp macro="'toogleFormationType &quot;DIABETE&quot;'" textlink="">
      <xdr:nvSpPr>
        <xdr:cNvPr id="1756" name="TYPE_SHAPE_DIABETE"/>
        <xdr:cNvSpPr/>
      </xdr:nvSpPr>
      <xdr:spPr>
        <a:xfrm>
          <a:off x="13887450" y="1911350"/>
          <a:ext cx="1533524" cy="333375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chemeClr val="tx1">
                  <a:lumMod val="85000"/>
                  <a:lumOff val="15000"/>
                </a:schemeClr>
              </a:solidFill>
            </a:rPr>
            <a:t>DIABETE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au1" displayName="Tableau1" ref="A1:G12" totalsRowShown="0" headerRowDxfId="3">
  <autoFilter ref="A1:G12"/>
  <tableColumns count="7">
    <tableColumn id="1" name="id"/>
    <tableColumn id="2" name="theme" dataDxfId="4"/>
    <tableColumn id="3" name="animateur" dataDxfId="5"/>
    <tableColumn id="4" name="debut" dataDxfId="6"/>
    <tableColumn id="5" name="fin" dataDxfId="2"/>
    <tableColumn id="6" name="salle_id" dataDxfId="1"/>
    <tableColumn id="7" name="nb_inscrits" dataDxfId="0">
      <calculatedColumnFormula>COUNTIF(Tableau2[formation_id],Tableau1[[#This Row],[id]])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A1:B35" totalsRowShown="0">
  <autoFilter ref="A1:B35"/>
  <tableColumns count="2">
    <tableColumn id="1" name="formation_id"/>
    <tableColumn id="2" name="ic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ATION_CALENDAR"/>
  <dimension ref="A1:U20"/>
  <sheetViews>
    <sheetView showGridLines="0" showRowColHeaders="0" tabSelected="1" workbookViewId="0">
      <selection sqref="A1:U1"/>
    </sheetView>
  </sheetViews>
  <sheetFormatPr baseColWidth="10" defaultRowHeight="15" x14ac:dyDescent="0.25"/>
  <cols>
    <col min="1" max="1" width="2.140625" customWidth="1"/>
    <col min="2" max="2" width="3.42578125" customWidth="1"/>
    <col min="4" max="4" width="0.7109375" customWidth="1"/>
    <col min="5" max="5" width="26.7109375" customWidth="1"/>
    <col min="6" max="6" width="0.7109375" customWidth="1"/>
    <col min="7" max="7" width="26.7109375" customWidth="1"/>
    <col min="8" max="8" width="0.7109375" customWidth="1"/>
    <col min="9" max="9" width="26.7109375" customWidth="1"/>
    <col min="10" max="10" width="0.7109375" customWidth="1"/>
    <col min="11" max="11" width="26.7109375" customWidth="1"/>
    <col min="12" max="12" width="0.7109375" customWidth="1"/>
    <col min="13" max="13" width="26.7109375" customWidth="1"/>
    <col min="14" max="14" width="0.7109375" customWidth="1"/>
    <col min="15" max="15" width="26.7109375" customWidth="1"/>
  </cols>
  <sheetData>
    <row r="1" spans="1:21" ht="30" customHeight="1" x14ac:dyDescent="0.25">
      <c r="A1" s="14" t="s">
        <v>62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s="17" customFormat="1" ht="6.75" customHeight="1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</row>
    <row r="3" spans="1:21" x14ac:dyDescent="0.25">
      <c r="I3" s="18" t="s">
        <v>13</v>
      </c>
      <c r="J3" s="19"/>
      <c r="K3" s="20"/>
    </row>
    <row r="4" spans="1:21" ht="21" x14ac:dyDescent="0.25">
      <c r="I4" s="21">
        <v>45202</v>
      </c>
      <c r="J4" s="22"/>
      <c r="K4" s="23"/>
    </row>
    <row r="6" spans="1:21" ht="27" customHeight="1" x14ac:dyDescent="0.25">
      <c r="E6" s="6">
        <f>FORMATION_DATE-(WEEKDAY(FORMATION_DATE,2)-1)</f>
        <v>45201</v>
      </c>
      <c r="G6" s="6">
        <f>FD_1+1</f>
        <v>45202</v>
      </c>
      <c r="I6" s="6">
        <f>FD_2+1</f>
        <v>45203</v>
      </c>
      <c r="K6" s="6">
        <f>FD_3+1</f>
        <v>45204</v>
      </c>
      <c r="M6" s="6">
        <f>FD_4+1</f>
        <v>45205</v>
      </c>
      <c r="O6" s="6">
        <f>FD_5+1</f>
        <v>45206</v>
      </c>
    </row>
    <row r="7" spans="1:21" ht="3.75" customHeight="1" x14ac:dyDescent="0.25"/>
    <row r="8" spans="1:21" ht="21.95" customHeight="1" x14ac:dyDescent="0.25">
      <c r="C8" s="11" t="s">
        <v>14</v>
      </c>
      <c r="E8" s="9"/>
      <c r="F8" s="5"/>
      <c r="G8" s="9"/>
      <c r="H8" s="5"/>
      <c r="I8" s="9"/>
      <c r="J8" s="5"/>
      <c r="K8" s="9"/>
      <c r="L8" s="5"/>
      <c r="M8" s="9"/>
      <c r="N8" s="5"/>
      <c r="O8" s="9"/>
      <c r="P8" s="5"/>
    </row>
    <row r="9" spans="1:21" ht="21.95" customHeight="1" x14ac:dyDescent="0.25">
      <c r="C9" s="12" t="s">
        <v>15</v>
      </c>
      <c r="E9" s="10"/>
      <c r="F9" s="7"/>
      <c r="G9" s="10"/>
      <c r="H9" s="7"/>
      <c r="I9" s="10"/>
      <c r="J9" s="7"/>
      <c r="K9" s="10"/>
      <c r="L9" s="7"/>
      <c r="M9" s="10"/>
      <c r="N9" s="7"/>
      <c r="O9" s="10"/>
      <c r="P9" s="5"/>
    </row>
    <row r="10" spans="1:21" ht="21.95" customHeight="1" x14ac:dyDescent="0.25">
      <c r="C10" s="11" t="s">
        <v>16</v>
      </c>
      <c r="E10" s="8"/>
      <c r="F10" s="5"/>
      <c r="G10" s="8"/>
      <c r="H10" s="5"/>
      <c r="I10" s="8"/>
      <c r="J10" s="5"/>
      <c r="K10" s="8"/>
      <c r="L10" s="5"/>
      <c r="M10" s="8"/>
      <c r="N10" s="5"/>
      <c r="O10" s="8"/>
      <c r="P10" s="5"/>
    </row>
    <row r="11" spans="1:21" ht="21.95" customHeight="1" x14ac:dyDescent="0.25">
      <c r="C11" s="12" t="s">
        <v>17</v>
      </c>
      <c r="E11" s="10"/>
      <c r="F11" s="7"/>
      <c r="G11" s="10"/>
      <c r="H11" s="7"/>
      <c r="I11" s="10"/>
      <c r="J11" s="7"/>
      <c r="K11" s="10"/>
      <c r="L11" s="7"/>
      <c r="M11" s="10"/>
      <c r="N11" s="7"/>
      <c r="O11" s="10"/>
      <c r="P11" s="5"/>
    </row>
    <row r="12" spans="1:21" ht="21.95" customHeight="1" x14ac:dyDescent="0.25">
      <c r="C12" s="11" t="s">
        <v>18</v>
      </c>
      <c r="E12" s="8"/>
      <c r="F12" s="5"/>
      <c r="G12" s="8"/>
      <c r="H12" s="5"/>
      <c r="I12" s="8"/>
      <c r="J12" s="5"/>
      <c r="K12" s="8"/>
      <c r="L12" s="5"/>
      <c r="M12" s="8"/>
      <c r="N12" s="5"/>
      <c r="O12" s="8"/>
      <c r="P12" s="5"/>
    </row>
    <row r="13" spans="1:21" ht="21.95" customHeight="1" x14ac:dyDescent="0.25">
      <c r="C13" s="12" t="s">
        <v>19</v>
      </c>
      <c r="E13" s="10"/>
      <c r="F13" s="7"/>
      <c r="G13" s="10"/>
      <c r="H13" s="7"/>
      <c r="I13" s="10"/>
      <c r="J13" s="7"/>
      <c r="K13" s="10"/>
      <c r="L13" s="7"/>
      <c r="M13" s="10"/>
      <c r="N13" s="7"/>
      <c r="O13" s="10"/>
      <c r="P13" s="5"/>
    </row>
    <row r="14" spans="1:21" ht="21.95" customHeight="1" x14ac:dyDescent="0.25">
      <c r="C14" s="11" t="s">
        <v>20</v>
      </c>
      <c r="E14" s="8"/>
      <c r="F14" s="5"/>
      <c r="G14" s="8"/>
      <c r="H14" s="5"/>
      <c r="I14" s="8"/>
      <c r="J14" s="5"/>
      <c r="K14" s="8"/>
      <c r="L14" s="5"/>
      <c r="M14" s="8"/>
      <c r="N14" s="5"/>
      <c r="O14" s="7"/>
      <c r="P14" s="5"/>
    </row>
    <row r="15" spans="1:21" ht="21.95" customHeight="1" x14ac:dyDescent="0.25">
      <c r="C15" s="12" t="s">
        <v>21</v>
      </c>
      <c r="E15" s="10"/>
      <c r="F15" s="7"/>
      <c r="G15" s="10"/>
      <c r="H15" s="7"/>
      <c r="I15" s="10"/>
      <c r="J15" s="7"/>
      <c r="K15" s="10"/>
      <c r="L15" s="7"/>
      <c r="M15" s="10"/>
      <c r="N15" s="7"/>
      <c r="O15" s="7"/>
      <c r="P15" s="5"/>
    </row>
    <row r="16" spans="1:21" ht="21.95" customHeight="1" x14ac:dyDescent="0.25">
      <c r="C16" s="11" t="s">
        <v>22</v>
      </c>
      <c r="E16" s="8"/>
      <c r="F16" s="5"/>
      <c r="G16" s="8"/>
      <c r="H16" s="5"/>
      <c r="I16" s="8"/>
      <c r="J16" s="5"/>
      <c r="K16" s="8"/>
      <c r="L16" s="5"/>
      <c r="M16" s="8"/>
      <c r="N16" s="5"/>
      <c r="O16" s="7"/>
      <c r="P16" s="5"/>
    </row>
    <row r="17" spans="3:16" ht="21.95" customHeight="1" x14ac:dyDescent="0.25">
      <c r="C17" s="12" t="s">
        <v>23</v>
      </c>
      <c r="E17" s="10"/>
      <c r="F17" s="7"/>
      <c r="G17" s="10"/>
      <c r="H17" s="7"/>
      <c r="I17" s="10"/>
      <c r="J17" s="7"/>
      <c r="K17" s="10"/>
      <c r="L17" s="7"/>
      <c r="M17" s="10"/>
      <c r="N17" s="7"/>
      <c r="O17" s="7"/>
      <c r="P17" s="5"/>
    </row>
    <row r="18" spans="3:16" ht="21.95" customHeight="1" x14ac:dyDescent="0.25">
      <c r="C18" s="11" t="s">
        <v>24</v>
      </c>
      <c r="E18" s="8"/>
      <c r="F18" s="5"/>
      <c r="G18" s="8"/>
      <c r="H18" s="5"/>
      <c r="I18" s="8"/>
      <c r="J18" s="5"/>
      <c r="K18" s="8"/>
      <c r="L18" s="5"/>
      <c r="M18" s="8"/>
      <c r="N18" s="5"/>
      <c r="O18" s="7"/>
      <c r="P18" s="5"/>
    </row>
    <row r="19" spans="3:16" ht="21.95" customHeight="1" x14ac:dyDescent="0.25">
      <c r="C19" s="13" t="s">
        <v>25</v>
      </c>
      <c r="E19" s="10"/>
      <c r="F19" s="7"/>
      <c r="G19" s="10"/>
      <c r="H19" s="7"/>
      <c r="I19" s="10"/>
      <c r="J19" s="7"/>
      <c r="K19" s="10"/>
      <c r="L19" s="7"/>
      <c r="M19" s="10"/>
      <c r="N19" s="7"/>
      <c r="O19" s="7"/>
      <c r="P19" s="5"/>
    </row>
    <row r="20" spans="3:16" ht="21.75" customHeight="1" x14ac:dyDescent="0.25">
      <c r="C20" s="15">
        <v>0.83333333333333337</v>
      </c>
      <c r="E20" s="9"/>
      <c r="F20" s="5"/>
      <c r="G20" s="9"/>
      <c r="H20" s="5"/>
      <c r="I20" s="9"/>
      <c r="J20" s="5"/>
      <c r="K20" s="9"/>
      <c r="L20" s="5"/>
      <c r="M20" s="9"/>
      <c r="N20" s="5"/>
      <c r="O20" s="5"/>
      <c r="P20" s="5"/>
    </row>
  </sheetData>
  <mergeCells count="3">
    <mergeCell ref="I4:K4"/>
    <mergeCell ref="A1:U1"/>
    <mergeCell ref="I3:K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ATION_DATA_SHEET"/>
  <dimension ref="A1:G12"/>
  <sheetViews>
    <sheetView topLeftCell="A4" workbookViewId="0">
      <selection activeCell="B33" sqref="B33:B34"/>
    </sheetView>
  </sheetViews>
  <sheetFormatPr baseColWidth="10" defaultRowHeight="15" x14ac:dyDescent="0.25"/>
  <cols>
    <col min="1" max="1" width="4.85546875" customWidth="1"/>
    <col min="2" max="2" width="35" customWidth="1"/>
    <col min="3" max="3" width="17.42578125" customWidth="1"/>
    <col min="4" max="5" width="25" customWidth="1"/>
    <col min="6" max="7" width="15.42578125" customWidth="1"/>
  </cols>
  <sheetData>
    <row r="1" spans="1:7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5">
      <c r="A2">
        <v>1</v>
      </c>
      <c r="B2" s="4" t="s">
        <v>7</v>
      </c>
      <c r="C2" s="1" t="s">
        <v>8</v>
      </c>
      <c r="D2" s="3">
        <v>45201.368055555555</v>
      </c>
      <c r="E2" s="3">
        <v>45201.5</v>
      </c>
      <c r="F2" s="1">
        <v>1</v>
      </c>
      <c r="G2" s="1">
        <f>COUNTIF(Tableau2[formation_id],Tableau1[[#This Row],[id]])</f>
        <v>1</v>
      </c>
    </row>
    <row r="3" spans="1:7" x14ac:dyDescent="0.25">
      <c r="A3">
        <v>2</v>
      </c>
      <c r="B3" s="4" t="s">
        <v>9</v>
      </c>
      <c r="C3" s="1" t="s">
        <v>11</v>
      </c>
      <c r="D3" s="3">
        <v>45201.583333333336</v>
      </c>
      <c r="E3" s="3">
        <v>45201.666666666664</v>
      </c>
      <c r="F3" s="1">
        <v>2</v>
      </c>
      <c r="G3" s="1">
        <f>COUNTIF(Tableau2[formation_id],Tableau1[[#This Row],[id]])</f>
        <v>2</v>
      </c>
    </row>
    <row r="4" spans="1:7" x14ac:dyDescent="0.25">
      <c r="A4">
        <v>3</v>
      </c>
      <c r="B4" s="4" t="s">
        <v>10</v>
      </c>
      <c r="C4" s="1" t="s">
        <v>12</v>
      </c>
      <c r="D4" s="3">
        <v>45202.458333333336</v>
      </c>
      <c r="E4" s="3">
        <v>45202.520833333336</v>
      </c>
      <c r="F4" s="1">
        <v>1</v>
      </c>
      <c r="G4" s="1">
        <f>COUNTIF(Tableau2[formation_id],Tableau1[[#This Row],[id]])</f>
        <v>2</v>
      </c>
    </row>
    <row r="5" spans="1:7" x14ac:dyDescent="0.25">
      <c r="A5">
        <v>4</v>
      </c>
      <c r="B5" s="4" t="s">
        <v>7</v>
      </c>
      <c r="C5" s="1" t="s">
        <v>12</v>
      </c>
      <c r="D5" s="3">
        <v>45202.625</v>
      </c>
      <c r="E5" s="3">
        <v>45202.75</v>
      </c>
      <c r="F5" s="1">
        <v>2</v>
      </c>
      <c r="G5" s="1">
        <f>COUNTIF(Tableau2[formation_id],Tableau1[[#This Row],[id]])</f>
        <v>5</v>
      </c>
    </row>
    <row r="6" spans="1:7" x14ac:dyDescent="0.25">
      <c r="A6">
        <v>5</v>
      </c>
      <c r="B6" s="4" t="s">
        <v>10</v>
      </c>
      <c r="C6" s="1" t="s">
        <v>11</v>
      </c>
      <c r="D6" s="3">
        <v>45203.375</v>
      </c>
      <c r="E6" s="3">
        <v>45203.520833333336</v>
      </c>
      <c r="F6" s="1">
        <v>3</v>
      </c>
      <c r="G6" s="1">
        <f>COUNTIF(Tableau2[formation_id],Tableau1[[#This Row],[id]])</f>
        <v>2</v>
      </c>
    </row>
    <row r="7" spans="1:7" x14ac:dyDescent="0.25">
      <c r="A7">
        <v>6</v>
      </c>
      <c r="B7" s="4" t="s">
        <v>10</v>
      </c>
      <c r="C7" s="1" t="s">
        <v>11</v>
      </c>
      <c r="D7" s="3">
        <v>45204.604166666664</v>
      </c>
      <c r="E7" s="3">
        <v>45204.729166666664</v>
      </c>
      <c r="F7" s="1">
        <v>3</v>
      </c>
      <c r="G7" s="1">
        <f>COUNTIF(Tableau2[formation_id],Tableau1[[#This Row],[id]])</f>
        <v>4</v>
      </c>
    </row>
    <row r="8" spans="1:7" x14ac:dyDescent="0.25">
      <c r="A8">
        <v>7</v>
      </c>
      <c r="B8" s="4" t="s">
        <v>9</v>
      </c>
      <c r="C8" s="1" t="s">
        <v>8</v>
      </c>
      <c r="D8" s="3">
        <v>45204.375</v>
      </c>
      <c r="E8" s="3">
        <v>45204.458333333336</v>
      </c>
      <c r="F8" s="1">
        <v>3</v>
      </c>
      <c r="G8" s="1">
        <f>COUNTIF(Tableau2[formation_id],Tableau1[[#This Row],[id]])</f>
        <v>2</v>
      </c>
    </row>
    <row r="9" spans="1:7" x14ac:dyDescent="0.25">
      <c r="A9">
        <v>8</v>
      </c>
      <c r="B9" s="4" t="s">
        <v>10</v>
      </c>
      <c r="C9" s="1" t="s">
        <v>8</v>
      </c>
      <c r="D9" s="3">
        <v>45205.416666666664</v>
      </c>
      <c r="E9" s="3">
        <v>45205.520833333336</v>
      </c>
      <c r="F9" s="1">
        <v>1</v>
      </c>
      <c r="G9" s="1">
        <f>COUNTIF(Tableau2[formation_id],Tableau1[[#This Row],[id]])</f>
        <v>1</v>
      </c>
    </row>
    <row r="10" spans="1:7" x14ac:dyDescent="0.25">
      <c r="A10">
        <v>9</v>
      </c>
      <c r="B10" s="4" t="s">
        <v>7</v>
      </c>
      <c r="C10" s="1" t="s">
        <v>11</v>
      </c>
      <c r="D10" s="3">
        <v>45205.625</v>
      </c>
      <c r="E10" s="3">
        <v>45205.666666666664</v>
      </c>
      <c r="F10" s="1">
        <v>2</v>
      </c>
      <c r="G10" s="1">
        <f>COUNTIF(Tableau2[formation_id],Tableau1[[#This Row],[id]])</f>
        <v>4</v>
      </c>
    </row>
    <row r="11" spans="1:7" x14ac:dyDescent="0.25">
      <c r="A11">
        <v>10</v>
      </c>
      <c r="B11" s="4" t="s">
        <v>7</v>
      </c>
      <c r="C11" s="1" t="s">
        <v>12</v>
      </c>
      <c r="D11" s="3">
        <v>45203.541666666664</v>
      </c>
      <c r="E11" s="3">
        <v>45203.645833333336</v>
      </c>
      <c r="F11" s="1">
        <v>2</v>
      </c>
      <c r="G11" s="1">
        <f>COUNTIF(Tableau2[formation_id],Tableau1[[#This Row],[id]])</f>
        <v>6</v>
      </c>
    </row>
    <row r="12" spans="1:7" x14ac:dyDescent="0.25">
      <c r="A12">
        <v>11</v>
      </c>
      <c r="B12" s="4" t="s">
        <v>9</v>
      </c>
      <c r="C12" s="1" t="s">
        <v>12</v>
      </c>
      <c r="D12" s="3">
        <v>45194.5625</v>
      </c>
      <c r="E12" s="3">
        <v>45194.6875</v>
      </c>
      <c r="F12" s="1">
        <v>3</v>
      </c>
      <c r="G12" s="1">
        <f>COUNTIF(Tableau2[formation_id],Tableau1[[#This Row],[id]])</f>
        <v>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SCRIPTION_DATA"/>
  <dimension ref="A1:B35"/>
  <sheetViews>
    <sheetView workbookViewId="0">
      <selection activeCell="I8" sqref="I8"/>
    </sheetView>
  </sheetViews>
  <sheetFormatPr baseColWidth="10" defaultRowHeight="15" x14ac:dyDescent="0.25"/>
  <cols>
    <col min="1" max="1" width="18.7109375" customWidth="1"/>
  </cols>
  <sheetData>
    <row r="1" spans="1:2" x14ac:dyDescent="0.25">
      <c r="A1" t="s">
        <v>26</v>
      </c>
      <c r="B1" t="s">
        <v>27</v>
      </c>
    </row>
    <row r="2" spans="1:2" x14ac:dyDescent="0.25">
      <c r="A2">
        <v>1</v>
      </c>
      <c r="B2" t="s">
        <v>28</v>
      </c>
    </row>
    <row r="3" spans="1:2" x14ac:dyDescent="0.25">
      <c r="A3">
        <v>2</v>
      </c>
      <c r="B3" t="s">
        <v>29</v>
      </c>
    </row>
    <row r="4" spans="1:2" x14ac:dyDescent="0.25">
      <c r="A4">
        <v>2</v>
      </c>
      <c r="B4" t="s">
        <v>30</v>
      </c>
    </row>
    <row r="5" spans="1:2" x14ac:dyDescent="0.25">
      <c r="A5">
        <v>3</v>
      </c>
      <c r="B5" t="s">
        <v>31</v>
      </c>
    </row>
    <row r="6" spans="1:2" x14ac:dyDescent="0.25">
      <c r="A6">
        <v>3</v>
      </c>
      <c r="B6" t="s">
        <v>32</v>
      </c>
    </row>
    <row r="7" spans="1:2" x14ac:dyDescent="0.25">
      <c r="A7">
        <v>4</v>
      </c>
      <c r="B7" t="s">
        <v>33</v>
      </c>
    </row>
    <row r="8" spans="1:2" x14ac:dyDescent="0.25">
      <c r="A8">
        <v>4</v>
      </c>
      <c r="B8" t="s">
        <v>34</v>
      </c>
    </row>
    <row r="9" spans="1:2" x14ac:dyDescent="0.25">
      <c r="A9">
        <v>4</v>
      </c>
      <c r="B9" t="s">
        <v>35</v>
      </c>
    </row>
    <row r="10" spans="1:2" x14ac:dyDescent="0.25">
      <c r="A10">
        <v>4</v>
      </c>
      <c r="B10" t="s">
        <v>36</v>
      </c>
    </row>
    <row r="11" spans="1:2" x14ac:dyDescent="0.25">
      <c r="A11">
        <v>4</v>
      </c>
      <c r="B11" t="s">
        <v>37</v>
      </c>
    </row>
    <row r="12" spans="1:2" x14ac:dyDescent="0.25">
      <c r="A12">
        <v>5</v>
      </c>
      <c r="B12" t="s">
        <v>38</v>
      </c>
    </row>
    <row r="13" spans="1:2" x14ac:dyDescent="0.25">
      <c r="A13">
        <v>5</v>
      </c>
      <c r="B13" t="s">
        <v>39</v>
      </c>
    </row>
    <row r="14" spans="1:2" x14ac:dyDescent="0.25">
      <c r="A14">
        <v>6</v>
      </c>
      <c r="B14" t="s">
        <v>40</v>
      </c>
    </row>
    <row r="15" spans="1:2" x14ac:dyDescent="0.25">
      <c r="A15">
        <v>6</v>
      </c>
      <c r="B15" t="s">
        <v>41</v>
      </c>
    </row>
    <row r="16" spans="1:2" x14ac:dyDescent="0.25">
      <c r="A16">
        <v>6</v>
      </c>
      <c r="B16" t="s">
        <v>42</v>
      </c>
    </row>
    <row r="17" spans="1:2" x14ac:dyDescent="0.25">
      <c r="A17">
        <v>6</v>
      </c>
      <c r="B17" t="s">
        <v>43</v>
      </c>
    </row>
    <row r="18" spans="1:2" x14ac:dyDescent="0.25">
      <c r="A18">
        <v>7</v>
      </c>
      <c r="B18" t="s">
        <v>44</v>
      </c>
    </row>
    <row r="19" spans="1:2" x14ac:dyDescent="0.25">
      <c r="A19">
        <v>7</v>
      </c>
      <c r="B19" t="s">
        <v>45</v>
      </c>
    </row>
    <row r="20" spans="1:2" x14ac:dyDescent="0.25">
      <c r="A20">
        <v>8</v>
      </c>
      <c r="B20" t="s">
        <v>46</v>
      </c>
    </row>
    <row r="21" spans="1:2" x14ac:dyDescent="0.25">
      <c r="A21">
        <v>9</v>
      </c>
      <c r="B21" t="s">
        <v>47</v>
      </c>
    </row>
    <row r="22" spans="1:2" x14ac:dyDescent="0.25">
      <c r="A22">
        <v>9</v>
      </c>
      <c r="B22" t="s">
        <v>48</v>
      </c>
    </row>
    <row r="23" spans="1:2" x14ac:dyDescent="0.25">
      <c r="A23">
        <v>9</v>
      </c>
      <c r="B23" t="s">
        <v>49</v>
      </c>
    </row>
    <row r="24" spans="1:2" x14ac:dyDescent="0.25">
      <c r="A24">
        <v>9</v>
      </c>
      <c r="B24" t="s">
        <v>50</v>
      </c>
    </row>
    <row r="25" spans="1:2" x14ac:dyDescent="0.25">
      <c r="A25">
        <v>10</v>
      </c>
      <c r="B25" t="s">
        <v>51</v>
      </c>
    </row>
    <row r="26" spans="1:2" x14ac:dyDescent="0.25">
      <c r="A26">
        <v>10</v>
      </c>
      <c r="B26" t="s">
        <v>52</v>
      </c>
    </row>
    <row r="27" spans="1:2" x14ac:dyDescent="0.25">
      <c r="A27">
        <v>10</v>
      </c>
      <c r="B27" t="s">
        <v>53</v>
      </c>
    </row>
    <row r="28" spans="1:2" x14ac:dyDescent="0.25">
      <c r="A28">
        <v>10</v>
      </c>
      <c r="B28" t="s">
        <v>54</v>
      </c>
    </row>
    <row r="29" spans="1:2" x14ac:dyDescent="0.25">
      <c r="A29">
        <v>10</v>
      </c>
      <c r="B29" t="s">
        <v>55</v>
      </c>
    </row>
    <row r="30" spans="1:2" x14ac:dyDescent="0.25">
      <c r="A30">
        <v>10</v>
      </c>
      <c r="B30" t="s">
        <v>56</v>
      </c>
    </row>
    <row r="31" spans="1:2" x14ac:dyDescent="0.25">
      <c r="A31">
        <v>11</v>
      </c>
      <c r="B31" t="s">
        <v>57</v>
      </c>
    </row>
    <row r="32" spans="1:2" x14ac:dyDescent="0.25">
      <c r="A32">
        <v>11</v>
      </c>
      <c r="B32" t="s">
        <v>58</v>
      </c>
    </row>
    <row r="33" spans="1:2" x14ac:dyDescent="0.25">
      <c r="A33">
        <v>11</v>
      </c>
      <c r="B33" t="s">
        <v>59</v>
      </c>
    </row>
    <row r="34" spans="1:2" x14ac:dyDescent="0.25">
      <c r="A34">
        <v>11</v>
      </c>
      <c r="B34" t="s">
        <v>60</v>
      </c>
    </row>
    <row r="35" spans="1:2" x14ac:dyDescent="0.25">
      <c r="A35">
        <v>11</v>
      </c>
      <c r="B35" t="s">
        <v>61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FORMATION_CALENDAR</vt:lpstr>
      <vt:lpstr>FORMATION_DATA</vt:lpstr>
      <vt:lpstr>FORMATION_INSCRIPTION_DATA</vt:lpstr>
      <vt:lpstr>FD_1</vt:lpstr>
      <vt:lpstr>FD_2</vt:lpstr>
      <vt:lpstr>FD_3</vt:lpstr>
      <vt:lpstr>FD_4</vt:lpstr>
      <vt:lpstr>FD_5</vt:lpstr>
      <vt:lpstr>FD_6</vt:lpstr>
      <vt:lpstr>FORMATION_DATE</vt:lpstr>
      <vt:lpstr>FORMATION_TITLE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vmoffice</dc:creator>
  <cp:lastModifiedBy>vmoffice</cp:lastModifiedBy>
  <dcterms:created xsi:type="dcterms:W3CDTF">2023-10-22T08:02:15Z</dcterms:created>
  <dcterms:modified xsi:type="dcterms:W3CDTF">2023-10-22T12:34:24Z</dcterms:modified>
</cp:coreProperties>
</file>